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dolfoferraz/Downloads/"/>
    </mc:Choice>
  </mc:AlternateContent>
  <xr:revisionPtr revIDLastSave="0" documentId="13_ncr:1_{D8B98746-1923-B348-AA4C-6C0202756D30}" xr6:coauthVersionLast="47" xr6:coauthVersionMax="47" xr10:uidLastSave="{00000000-0000-0000-0000-000000000000}"/>
  <bookViews>
    <workbookView xWindow="0" yWindow="600" windowWidth="28800" windowHeight="17400" activeTab="2" xr2:uid="{00000000-000D-0000-FFFF-FFFF00000000}"/>
  </bookViews>
  <sheets>
    <sheet name="Dashboard BI" sheetId="1" r:id="rId1"/>
    <sheet name="Configurações" sheetId="2" r:id="rId2"/>
    <sheet name="Janeiro" sheetId="3" r:id="rId3"/>
    <sheet name="Fevereiro" sheetId="4" r:id="rId4"/>
    <sheet name="Março" sheetId="5" r:id="rId5"/>
    <sheet name="Abril" sheetId="6" r:id="rId6"/>
    <sheet name="Maio" sheetId="7" r:id="rId7"/>
    <sheet name="Junho" sheetId="8" r:id="rId8"/>
    <sheet name="Julho" sheetId="9" r:id="rId9"/>
    <sheet name="Agosto" sheetId="10" r:id="rId10"/>
    <sheet name="Setembro" sheetId="11" r:id="rId11"/>
    <sheet name="Outubro" sheetId="12" r:id="rId12"/>
    <sheet name="Novembro" sheetId="13" r:id="rId13"/>
    <sheet name="Dezembro" sheetId="14" r:id="rId14"/>
    <sheet name="Ocorrência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8" i="14" l="1"/>
  <c r="D718" i="14"/>
  <c r="C718" i="14"/>
  <c r="B718" i="14"/>
  <c r="A718" i="14"/>
  <c r="E717" i="14"/>
  <c r="D717" i="14"/>
  <c r="C717" i="14"/>
  <c r="A717" i="14"/>
  <c r="B717" i="14" s="1"/>
  <c r="E716" i="14"/>
  <c r="D716" i="14"/>
  <c r="C716" i="14"/>
  <c r="B716" i="14"/>
  <c r="A716" i="14"/>
  <c r="E715" i="14"/>
  <c r="D715" i="14"/>
  <c r="C715" i="14"/>
  <c r="A715" i="14"/>
  <c r="B715" i="14" s="1"/>
  <c r="E714" i="14"/>
  <c r="D714" i="14"/>
  <c r="C714" i="14"/>
  <c r="A714" i="14"/>
  <c r="B714" i="14" s="1"/>
  <c r="E713" i="14"/>
  <c r="D713" i="14"/>
  <c r="C713" i="14"/>
  <c r="A713" i="14"/>
  <c r="B713" i="14" s="1"/>
  <c r="E712" i="14"/>
  <c r="D712" i="14"/>
  <c r="C712" i="14"/>
  <c r="A712" i="14"/>
  <c r="B712" i="14" s="1"/>
  <c r="E711" i="14"/>
  <c r="D711" i="14"/>
  <c r="C711" i="14"/>
  <c r="A711" i="14"/>
  <c r="B711" i="14" s="1"/>
  <c r="E710" i="14"/>
  <c r="D710" i="14"/>
  <c r="C710" i="14"/>
  <c r="B710" i="14"/>
  <c r="A710" i="14"/>
  <c r="E709" i="14"/>
  <c r="D709" i="14"/>
  <c r="C709" i="14"/>
  <c r="B709" i="14"/>
  <c r="A709" i="14"/>
  <c r="E708" i="14"/>
  <c r="D708" i="14"/>
  <c r="C708" i="14"/>
  <c r="A708" i="14"/>
  <c r="B708" i="14" s="1"/>
  <c r="E707" i="14"/>
  <c r="D707" i="14"/>
  <c r="C707" i="14"/>
  <c r="A707" i="14"/>
  <c r="B707" i="14" s="1"/>
  <c r="E706" i="14"/>
  <c r="D706" i="14"/>
  <c r="C706" i="14"/>
  <c r="A706" i="14"/>
  <c r="B706" i="14" s="1"/>
  <c r="E705" i="14"/>
  <c r="D705" i="14"/>
  <c r="C705" i="14"/>
  <c r="A705" i="14"/>
  <c r="B705" i="14" s="1"/>
  <c r="E704" i="14"/>
  <c r="D704" i="14"/>
  <c r="C704" i="14"/>
  <c r="A704" i="14"/>
  <c r="B704" i="14" s="1"/>
  <c r="E703" i="14"/>
  <c r="D703" i="14"/>
  <c r="C703" i="14"/>
  <c r="B703" i="14"/>
  <c r="A703" i="14"/>
  <c r="E702" i="14"/>
  <c r="D702" i="14"/>
  <c r="C702" i="14"/>
  <c r="B702" i="14"/>
  <c r="A702" i="14"/>
  <c r="E701" i="14"/>
  <c r="D701" i="14"/>
  <c r="C701" i="14"/>
  <c r="B701" i="14"/>
  <c r="A701" i="14"/>
  <c r="E700" i="14"/>
  <c r="D700" i="14"/>
  <c r="C700" i="14"/>
  <c r="A700" i="14"/>
  <c r="B700" i="14" s="1"/>
  <c r="E699" i="14"/>
  <c r="D699" i="14"/>
  <c r="C699" i="14"/>
  <c r="A699" i="14"/>
  <c r="B699" i="14" s="1"/>
  <c r="E698" i="14"/>
  <c r="D698" i="14"/>
  <c r="C698" i="14"/>
  <c r="A698" i="14"/>
  <c r="B698" i="14" s="1"/>
  <c r="E697" i="14"/>
  <c r="D697" i="14"/>
  <c r="C697" i="14"/>
  <c r="A697" i="14"/>
  <c r="B697" i="14" s="1"/>
  <c r="E696" i="14"/>
  <c r="D696" i="14"/>
  <c r="C696" i="14"/>
  <c r="A696" i="14"/>
  <c r="B696" i="14" s="1"/>
  <c r="E695" i="14"/>
  <c r="D695" i="14"/>
  <c r="C695" i="14"/>
  <c r="B695" i="14"/>
  <c r="A695" i="14"/>
  <c r="E694" i="14"/>
  <c r="D694" i="14"/>
  <c r="C694" i="14"/>
  <c r="B694" i="14"/>
  <c r="A694" i="14"/>
  <c r="E693" i="14"/>
  <c r="D693" i="14"/>
  <c r="C693" i="14"/>
  <c r="B693" i="14"/>
  <c r="A693" i="14"/>
  <c r="E692" i="14"/>
  <c r="D692" i="14"/>
  <c r="C692" i="14"/>
  <c r="A692" i="14"/>
  <c r="B692" i="14" s="1"/>
  <c r="E691" i="14"/>
  <c r="D691" i="14"/>
  <c r="C691" i="14"/>
  <c r="A691" i="14"/>
  <c r="B691" i="14" s="1"/>
  <c r="E690" i="14"/>
  <c r="D690" i="14"/>
  <c r="C690" i="14"/>
  <c r="A690" i="14"/>
  <c r="B690" i="14" s="1"/>
  <c r="E689" i="14"/>
  <c r="D689" i="14"/>
  <c r="C689" i="14"/>
  <c r="A689" i="14"/>
  <c r="B689" i="14" s="1"/>
  <c r="E688" i="14"/>
  <c r="D688" i="14"/>
  <c r="C688" i="14"/>
  <c r="B688" i="14"/>
  <c r="A688" i="14"/>
  <c r="E687" i="14"/>
  <c r="D687" i="14"/>
  <c r="C687" i="14"/>
  <c r="B687" i="14"/>
  <c r="A687" i="14"/>
  <c r="E686" i="14"/>
  <c r="D686" i="14"/>
  <c r="C686" i="14"/>
  <c r="B686" i="14"/>
  <c r="A686" i="14"/>
  <c r="E685" i="14"/>
  <c r="D685" i="14"/>
  <c r="C685" i="14"/>
  <c r="B685" i="14"/>
  <c r="A685" i="14"/>
  <c r="E684" i="14"/>
  <c r="D684" i="14"/>
  <c r="C684" i="14"/>
  <c r="A684" i="14"/>
  <c r="B684" i="14" s="1"/>
  <c r="E683" i="14"/>
  <c r="D683" i="14"/>
  <c r="C683" i="14"/>
  <c r="A683" i="14"/>
  <c r="B683" i="14" s="1"/>
  <c r="E682" i="14"/>
  <c r="D682" i="14"/>
  <c r="C682" i="14"/>
  <c r="A682" i="14"/>
  <c r="B682" i="14" s="1"/>
  <c r="E681" i="14"/>
  <c r="D681" i="14"/>
  <c r="C681" i="14"/>
  <c r="B681" i="14"/>
  <c r="A681" i="14"/>
  <c r="E680" i="14"/>
  <c r="D680" i="14"/>
  <c r="C680" i="14"/>
  <c r="B680" i="14"/>
  <c r="A680" i="14"/>
  <c r="E679" i="14"/>
  <c r="D679" i="14"/>
  <c r="C679" i="14"/>
  <c r="B679" i="14"/>
  <c r="A679" i="14"/>
  <c r="E678" i="14"/>
  <c r="D678" i="14"/>
  <c r="C678" i="14"/>
  <c r="A678" i="14"/>
  <c r="B678" i="14" s="1"/>
  <c r="E677" i="14"/>
  <c r="D677" i="14"/>
  <c r="C677" i="14"/>
  <c r="B677" i="14"/>
  <c r="A677" i="14"/>
  <c r="E676" i="14"/>
  <c r="D676" i="14"/>
  <c r="C676" i="14"/>
  <c r="A676" i="14"/>
  <c r="B676" i="14" s="1"/>
  <c r="E675" i="14"/>
  <c r="D675" i="14"/>
  <c r="C675" i="14"/>
  <c r="A675" i="14"/>
  <c r="B675" i="14" s="1"/>
  <c r="E674" i="14"/>
  <c r="D674" i="14"/>
  <c r="C674" i="14"/>
  <c r="A674" i="14"/>
  <c r="B674" i="14" s="1"/>
  <c r="E673" i="14"/>
  <c r="D673" i="14"/>
  <c r="C673" i="14"/>
  <c r="B673" i="14"/>
  <c r="A673" i="14"/>
  <c r="E672" i="14"/>
  <c r="D672" i="14"/>
  <c r="C672" i="14"/>
  <c r="B672" i="14"/>
  <c r="A672" i="14"/>
  <c r="E671" i="14"/>
  <c r="D671" i="14"/>
  <c r="C671" i="14"/>
  <c r="B671" i="14"/>
  <c r="A671" i="14"/>
  <c r="E670" i="14"/>
  <c r="D670" i="14"/>
  <c r="C670" i="14"/>
  <c r="A670" i="14"/>
  <c r="B670" i="14" s="1"/>
  <c r="E669" i="14"/>
  <c r="D669" i="14"/>
  <c r="C669" i="14"/>
  <c r="B669" i="14"/>
  <c r="A669" i="14"/>
  <c r="E668" i="14"/>
  <c r="D668" i="14"/>
  <c r="C668" i="14"/>
  <c r="A668" i="14"/>
  <c r="B668" i="14" s="1"/>
  <c r="E667" i="14"/>
  <c r="D667" i="14"/>
  <c r="C667" i="14"/>
  <c r="A667" i="14"/>
  <c r="B667" i="14" s="1"/>
  <c r="E666" i="14"/>
  <c r="D666" i="14"/>
  <c r="C666" i="14"/>
  <c r="A666" i="14"/>
  <c r="B666" i="14" s="1"/>
  <c r="E665" i="14"/>
  <c r="D665" i="14"/>
  <c r="C665" i="14"/>
  <c r="B665" i="14"/>
  <c r="A665" i="14"/>
  <c r="E664" i="14"/>
  <c r="D664" i="14"/>
  <c r="C664" i="14"/>
  <c r="B664" i="14"/>
  <c r="A664" i="14"/>
  <c r="E663" i="14"/>
  <c r="D663" i="14"/>
  <c r="C663" i="14"/>
  <c r="B663" i="14"/>
  <c r="A663" i="14"/>
  <c r="E662" i="14"/>
  <c r="D662" i="14"/>
  <c r="C662" i="14"/>
  <c r="A662" i="14"/>
  <c r="B662" i="14" s="1"/>
  <c r="E661" i="14"/>
  <c r="D661" i="14"/>
  <c r="C661" i="14"/>
  <c r="B661" i="14"/>
  <c r="A661" i="14"/>
  <c r="E660" i="14"/>
  <c r="D660" i="14"/>
  <c r="C660" i="14"/>
  <c r="A660" i="14"/>
  <c r="B660" i="14" s="1"/>
  <c r="E659" i="14"/>
  <c r="D659" i="14"/>
  <c r="C659" i="14"/>
  <c r="A659" i="14"/>
  <c r="B659" i="14" s="1"/>
  <c r="E658" i="14"/>
  <c r="D658" i="14"/>
  <c r="C658" i="14"/>
  <c r="A658" i="14"/>
  <c r="B658" i="14" s="1"/>
  <c r="E657" i="14"/>
  <c r="D657" i="14"/>
  <c r="C657" i="14"/>
  <c r="B657" i="14"/>
  <c r="A657" i="14"/>
  <c r="E656" i="14"/>
  <c r="D656" i="14"/>
  <c r="C656" i="14"/>
  <c r="B656" i="14"/>
  <c r="A656" i="14"/>
  <c r="E655" i="14"/>
  <c r="D655" i="14"/>
  <c r="C655" i="14"/>
  <c r="B655" i="14"/>
  <c r="A655" i="14"/>
  <c r="E654" i="14"/>
  <c r="D654" i="14"/>
  <c r="C654" i="14"/>
  <c r="B654" i="14"/>
  <c r="A654" i="14"/>
  <c r="E653" i="14"/>
  <c r="D653" i="14"/>
  <c r="C653" i="14"/>
  <c r="B653" i="14"/>
  <c r="A653" i="14"/>
  <c r="E652" i="14"/>
  <c r="D652" i="14"/>
  <c r="C652" i="14"/>
  <c r="A652" i="14"/>
  <c r="B652" i="14" s="1"/>
  <c r="E651" i="14"/>
  <c r="D651" i="14"/>
  <c r="C651" i="14"/>
  <c r="A651" i="14"/>
  <c r="B651" i="14" s="1"/>
  <c r="E650" i="14"/>
  <c r="D650" i="14"/>
  <c r="C650" i="14"/>
  <c r="A650" i="14"/>
  <c r="B650" i="14" s="1"/>
  <c r="E649" i="14"/>
  <c r="D649" i="14"/>
  <c r="C649" i="14"/>
  <c r="B649" i="14"/>
  <c r="A649" i="14"/>
  <c r="E648" i="14"/>
  <c r="D648" i="14"/>
  <c r="C648" i="14"/>
  <c r="B648" i="14"/>
  <c r="A648" i="14"/>
  <c r="E647" i="14"/>
  <c r="D647" i="14"/>
  <c r="C647" i="14"/>
  <c r="B647" i="14"/>
  <c r="A647" i="14"/>
  <c r="E646" i="14"/>
  <c r="D646" i="14"/>
  <c r="C646" i="14"/>
  <c r="A646" i="14"/>
  <c r="B646" i="14" s="1"/>
  <c r="E645" i="14"/>
  <c r="D645" i="14"/>
  <c r="C645" i="14"/>
  <c r="B645" i="14"/>
  <c r="A645" i="14"/>
  <c r="E644" i="14"/>
  <c r="D644" i="14"/>
  <c r="C644" i="14"/>
  <c r="A644" i="14"/>
  <c r="B644" i="14" s="1"/>
  <c r="E643" i="14"/>
  <c r="D643" i="14"/>
  <c r="C643" i="14"/>
  <c r="A643" i="14"/>
  <c r="B643" i="14" s="1"/>
  <c r="E642" i="14"/>
  <c r="D642" i="14"/>
  <c r="C642" i="14"/>
  <c r="A642" i="14"/>
  <c r="B642" i="14" s="1"/>
  <c r="E641" i="14"/>
  <c r="D641" i="14"/>
  <c r="C641" i="14"/>
  <c r="B641" i="14"/>
  <c r="A641" i="14"/>
  <c r="E640" i="14"/>
  <c r="D640" i="14"/>
  <c r="C640" i="14"/>
  <c r="B640" i="14"/>
  <c r="A640" i="14"/>
  <c r="E639" i="14"/>
  <c r="D639" i="14"/>
  <c r="C639" i="14"/>
  <c r="B639" i="14"/>
  <c r="A639" i="14"/>
  <c r="E638" i="14"/>
  <c r="D638" i="14"/>
  <c r="C638" i="14"/>
  <c r="A638" i="14"/>
  <c r="B638" i="14" s="1"/>
  <c r="E637" i="14"/>
  <c r="D637" i="14"/>
  <c r="C637" i="14"/>
  <c r="B637" i="14"/>
  <c r="A637" i="14"/>
  <c r="E636" i="14"/>
  <c r="D636" i="14"/>
  <c r="C636" i="14"/>
  <c r="A636" i="14"/>
  <c r="B636" i="14" s="1"/>
  <c r="E635" i="14"/>
  <c r="D635" i="14"/>
  <c r="C635" i="14"/>
  <c r="A635" i="14"/>
  <c r="B635" i="14" s="1"/>
  <c r="E634" i="14"/>
  <c r="D634" i="14"/>
  <c r="C634" i="14"/>
  <c r="A634" i="14"/>
  <c r="B634" i="14" s="1"/>
  <c r="E633" i="14"/>
  <c r="D633" i="14"/>
  <c r="C633" i="14"/>
  <c r="B633" i="14"/>
  <c r="A633" i="14"/>
  <c r="E632" i="14"/>
  <c r="D632" i="14"/>
  <c r="C632" i="14"/>
  <c r="B632" i="14"/>
  <c r="A632" i="14"/>
  <c r="E631" i="14"/>
  <c r="D631" i="14"/>
  <c r="C631" i="14"/>
  <c r="B631" i="14"/>
  <c r="A631" i="14"/>
  <c r="E630" i="14"/>
  <c r="D630" i="14"/>
  <c r="C630" i="14"/>
  <c r="A630" i="14"/>
  <c r="B630" i="14" s="1"/>
  <c r="E629" i="14"/>
  <c r="D629" i="14"/>
  <c r="C629" i="14"/>
  <c r="B629" i="14"/>
  <c r="A629" i="14"/>
  <c r="E628" i="14"/>
  <c r="D628" i="14"/>
  <c r="C628" i="14"/>
  <c r="A628" i="14"/>
  <c r="B628" i="14" s="1"/>
  <c r="E627" i="14"/>
  <c r="D627" i="14"/>
  <c r="C627" i="14"/>
  <c r="A627" i="14"/>
  <c r="B627" i="14" s="1"/>
  <c r="E626" i="14"/>
  <c r="D626" i="14"/>
  <c r="C626" i="14"/>
  <c r="A626" i="14"/>
  <c r="B626" i="14" s="1"/>
  <c r="E625" i="14"/>
  <c r="D625" i="14"/>
  <c r="C625" i="14"/>
  <c r="B625" i="14"/>
  <c r="A625" i="14"/>
  <c r="E624" i="14"/>
  <c r="D624" i="14"/>
  <c r="C624" i="14"/>
  <c r="B624" i="14"/>
  <c r="A624" i="14"/>
  <c r="E623" i="14"/>
  <c r="D623" i="14"/>
  <c r="C623" i="14"/>
  <c r="B623" i="14"/>
  <c r="A623" i="14"/>
  <c r="E622" i="14"/>
  <c r="D622" i="14"/>
  <c r="C622" i="14"/>
  <c r="B622" i="14"/>
  <c r="A622" i="14"/>
  <c r="E621" i="14"/>
  <c r="D621" i="14"/>
  <c r="C621" i="14"/>
  <c r="B621" i="14"/>
  <c r="A621" i="14"/>
  <c r="E620" i="14"/>
  <c r="D620" i="14"/>
  <c r="C620" i="14"/>
  <c r="A620" i="14"/>
  <c r="B620" i="14" s="1"/>
  <c r="E619" i="14"/>
  <c r="D619" i="14"/>
  <c r="C619" i="14"/>
  <c r="A619" i="14"/>
  <c r="B619" i="14" s="1"/>
  <c r="E618" i="14"/>
  <c r="D618" i="14"/>
  <c r="C618" i="14"/>
  <c r="A618" i="14"/>
  <c r="B618" i="14" s="1"/>
  <c r="E617" i="14"/>
  <c r="D617" i="14"/>
  <c r="C617" i="14"/>
  <c r="B617" i="14"/>
  <c r="A617" i="14"/>
  <c r="E616" i="14"/>
  <c r="D616" i="14"/>
  <c r="C616" i="14"/>
  <c r="B616" i="14"/>
  <c r="A616" i="14"/>
  <c r="E615" i="14"/>
  <c r="D615" i="14"/>
  <c r="C615" i="14"/>
  <c r="B615" i="14"/>
  <c r="A615" i="14"/>
  <c r="E614" i="14"/>
  <c r="D614" i="14"/>
  <c r="C614" i="14"/>
  <c r="A614" i="14"/>
  <c r="B614" i="14" s="1"/>
  <c r="E613" i="14"/>
  <c r="D613" i="14"/>
  <c r="C613" i="14"/>
  <c r="B613" i="14"/>
  <c r="A613" i="14"/>
  <c r="E612" i="14"/>
  <c r="D612" i="14"/>
  <c r="C612" i="14"/>
  <c r="A612" i="14"/>
  <c r="B612" i="14" s="1"/>
  <c r="E611" i="14"/>
  <c r="D611" i="14"/>
  <c r="C611" i="14"/>
  <c r="A611" i="14"/>
  <c r="B611" i="14" s="1"/>
  <c r="E610" i="14"/>
  <c r="D610" i="14"/>
  <c r="C610" i="14"/>
  <c r="A610" i="14"/>
  <c r="B610" i="14" s="1"/>
  <c r="E609" i="14"/>
  <c r="D609" i="14"/>
  <c r="C609" i="14"/>
  <c r="B609" i="14"/>
  <c r="A609" i="14"/>
  <c r="E608" i="14"/>
  <c r="D608" i="14"/>
  <c r="C608" i="14"/>
  <c r="B608" i="14"/>
  <c r="A608" i="14"/>
  <c r="E607" i="14"/>
  <c r="D607" i="14"/>
  <c r="C607" i="14"/>
  <c r="B607" i="14"/>
  <c r="A607" i="14"/>
  <c r="E606" i="14"/>
  <c r="D606" i="14"/>
  <c r="C606" i="14"/>
  <c r="A606" i="14"/>
  <c r="B606" i="14" s="1"/>
  <c r="E605" i="14"/>
  <c r="D605" i="14"/>
  <c r="C605" i="14"/>
  <c r="B605" i="14"/>
  <c r="A605" i="14"/>
  <c r="E604" i="14"/>
  <c r="D604" i="14"/>
  <c r="C604" i="14"/>
  <c r="A604" i="14"/>
  <c r="B604" i="14" s="1"/>
  <c r="E603" i="14"/>
  <c r="D603" i="14"/>
  <c r="C603" i="14"/>
  <c r="A603" i="14"/>
  <c r="B603" i="14" s="1"/>
  <c r="E602" i="14"/>
  <c r="D602" i="14"/>
  <c r="C602" i="14"/>
  <c r="A602" i="14"/>
  <c r="B602" i="14" s="1"/>
  <c r="E601" i="14"/>
  <c r="D601" i="14"/>
  <c r="C601" i="14"/>
  <c r="B601" i="14"/>
  <c r="A601" i="14"/>
  <c r="E600" i="14"/>
  <c r="D600" i="14"/>
  <c r="C600" i="14"/>
  <c r="B600" i="14"/>
  <c r="A600" i="14"/>
  <c r="E599" i="14"/>
  <c r="D599" i="14"/>
  <c r="C599" i="14"/>
  <c r="B599" i="14"/>
  <c r="A599" i="14"/>
  <c r="E598" i="14"/>
  <c r="D598" i="14"/>
  <c r="C598" i="14"/>
  <c r="A598" i="14"/>
  <c r="B598" i="14" s="1"/>
  <c r="E597" i="14"/>
  <c r="D597" i="14"/>
  <c r="C597" i="14"/>
  <c r="B597" i="14"/>
  <c r="A597" i="14"/>
  <c r="E596" i="14"/>
  <c r="D596" i="14"/>
  <c r="C596" i="14"/>
  <c r="A596" i="14"/>
  <c r="B596" i="14" s="1"/>
  <c r="E595" i="14"/>
  <c r="D595" i="14"/>
  <c r="C595" i="14"/>
  <c r="A595" i="14"/>
  <c r="B595" i="14" s="1"/>
  <c r="E594" i="14"/>
  <c r="D594" i="14"/>
  <c r="C594" i="14"/>
  <c r="A594" i="14"/>
  <c r="B594" i="14" s="1"/>
  <c r="E593" i="14"/>
  <c r="D593" i="14"/>
  <c r="C593" i="14"/>
  <c r="B593" i="14"/>
  <c r="A593" i="14"/>
  <c r="E592" i="14"/>
  <c r="D592" i="14"/>
  <c r="C592" i="14"/>
  <c r="B592" i="14"/>
  <c r="A592" i="14"/>
  <c r="E591" i="14"/>
  <c r="D591" i="14"/>
  <c r="C591" i="14"/>
  <c r="B591" i="14"/>
  <c r="A591" i="14"/>
  <c r="E590" i="14"/>
  <c r="D590" i="14"/>
  <c r="C590" i="14"/>
  <c r="B590" i="14"/>
  <c r="A590" i="14"/>
  <c r="E589" i="14"/>
  <c r="D589" i="14"/>
  <c r="C589" i="14"/>
  <c r="B589" i="14"/>
  <c r="A589" i="14"/>
  <c r="E588" i="14"/>
  <c r="D588" i="14"/>
  <c r="C588" i="14"/>
  <c r="A588" i="14"/>
  <c r="B588" i="14" s="1"/>
  <c r="E587" i="14"/>
  <c r="D587" i="14"/>
  <c r="C587" i="14"/>
  <c r="A587" i="14"/>
  <c r="B587" i="14" s="1"/>
  <c r="E586" i="14"/>
  <c r="D586" i="14"/>
  <c r="C586" i="14"/>
  <c r="A586" i="14"/>
  <c r="B586" i="14" s="1"/>
  <c r="E585" i="14"/>
  <c r="D585" i="14"/>
  <c r="C585" i="14"/>
  <c r="B585" i="14"/>
  <c r="A585" i="14"/>
  <c r="E584" i="14"/>
  <c r="D584" i="14"/>
  <c r="C584" i="14"/>
  <c r="B584" i="14"/>
  <c r="A584" i="14"/>
  <c r="E583" i="14"/>
  <c r="D583" i="14"/>
  <c r="C583" i="14"/>
  <c r="A583" i="14"/>
  <c r="B583" i="14" s="1"/>
  <c r="E582" i="14"/>
  <c r="D582" i="14"/>
  <c r="C582" i="14"/>
  <c r="A582" i="14"/>
  <c r="B582" i="14" s="1"/>
  <c r="E581" i="14"/>
  <c r="D581" i="14"/>
  <c r="C581" i="14"/>
  <c r="B581" i="14"/>
  <c r="A581" i="14"/>
  <c r="E580" i="14"/>
  <c r="D580" i="14"/>
  <c r="C580" i="14"/>
  <c r="A580" i="14"/>
  <c r="B580" i="14" s="1"/>
  <c r="E579" i="14"/>
  <c r="D579" i="14"/>
  <c r="C579" i="14"/>
  <c r="A579" i="14"/>
  <c r="B579" i="14" s="1"/>
  <c r="E578" i="14"/>
  <c r="D578" i="14"/>
  <c r="C578" i="14"/>
  <c r="B578" i="14"/>
  <c r="A578" i="14"/>
  <c r="E577" i="14"/>
  <c r="D577" i="14"/>
  <c r="C577" i="14"/>
  <c r="B577" i="14"/>
  <c r="A577" i="14"/>
  <c r="E576" i="14"/>
  <c r="D576" i="14"/>
  <c r="C576" i="14"/>
  <c r="B576" i="14"/>
  <c r="A576" i="14"/>
  <c r="E575" i="14"/>
  <c r="D575" i="14"/>
  <c r="C575" i="14"/>
  <c r="A575" i="14"/>
  <c r="B575" i="14" s="1"/>
  <c r="E574" i="14"/>
  <c r="D574" i="14"/>
  <c r="C574" i="14"/>
  <c r="B574" i="14"/>
  <c r="A574" i="14"/>
  <c r="E573" i="14"/>
  <c r="D573" i="14"/>
  <c r="C573" i="14"/>
  <c r="B573" i="14"/>
  <c r="A573" i="14"/>
  <c r="E572" i="14"/>
  <c r="D572" i="14"/>
  <c r="C572" i="14"/>
  <c r="A572" i="14"/>
  <c r="B572" i="14" s="1"/>
  <c r="E571" i="14"/>
  <c r="D571" i="14"/>
  <c r="C571" i="14"/>
  <c r="A571" i="14"/>
  <c r="B571" i="14" s="1"/>
  <c r="E570" i="14"/>
  <c r="D570" i="14"/>
  <c r="C570" i="14"/>
  <c r="A570" i="14"/>
  <c r="B570" i="14" s="1"/>
  <c r="E569" i="14"/>
  <c r="D569" i="14"/>
  <c r="C569" i="14"/>
  <c r="B569" i="14"/>
  <c r="A569" i="14"/>
  <c r="E568" i="14"/>
  <c r="D568" i="14"/>
  <c r="C568" i="14"/>
  <c r="B568" i="14"/>
  <c r="A568" i="14"/>
  <c r="E567" i="14"/>
  <c r="D567" i="14"/>
  <c r="C567" i="14"/>
  <c r="A567" i="14"/>
  <c r="B567" i="14" s="1"/>
  <c r="E566" i="14"/>
  <c r="D566" i="14"/>
  <c r="C566" i="14"/>
  <c r="A566" i="14"/>
  <c r="B566" i="14" s="1"/>
  <c r="E565" i="14"/>
  <c r="D565" i="14"/>
  <c r="C565" i="14"/>
  <c r="B565" i="14"/>
  <c r="A565" i="14"/>
  <c r="E564" i="14"/>
  <c r="D564" i="14"/>
  <c r="C564" i="14"/>
  <c r="A564" i="14"/>
  <c r="B564" i="14" s="1"/>
  <c r="E563" i="14"/>
  <c r="D563" i="14"/>
  <c r="C563" i="14"/>
  <c r="A563" i="14"/>
  <c r="B563" i="14" s="1"/>
  <c r="E562" i="14"/>
  <c r="D562" i="14"/>
  <c r="C562" i="14"/>
  <c r="B562" i="14"/>
  <c r="A562" i="14"/>
  <c r="E561" i="14"/>
  <c r="D561" i="14"/>
  <c r="C561" i="14"/>
  <c r="B561" i="14"/>
  <c r="A561" i="14"/>
  <c r="E560" i="14"/>
  <c r="D560" i="14"/>
  <c r="C560" i="14"/>
  <c r="B560" i="14"/>
  <c r="A560" i="14"/>
  <c r="E559" i="14"/>
  <c r="D559" i="14"/>
  <c r="C559" i="14"/>
  <c r="A559" i="14"/>
  <c r="B559" i="14" s="1"/>
  <c r="E558" i="14"/>
  <c r="D558" i="14"/>
  <c r="C558" i="14"/>
  <c r="B558" i="14"/>
  <c r="A558" i="14"/>
  <c r="E557" i="14"/>
  <c r="D557" i="14"/>
  <c r="C557" i="14"/>
  <c r="B557" i="14"/>
  <c r="A557" i="14"/>
  <c r="E556" i="14"/>
  <c r="D556" i="14"/>
  <c r="C556" i="14"/>
  <c r="A556" i="14"/>
  <c r="B556" i="14" s="1"/>
  <c r="E555" i="14"/>
  <c r="D555" i="14"/>
  <c r="C555" i="14"/>
  <c r="A555" i="14"/>
  <c r="B555" i="14" s="1"/>
  <c r="E554" i="14"/>
  <c r="D554" i="14"/>
  <c r="C554" i="14"/>
  <c r="A554" i="14"/>
  <c r="B554" i="14" s="1"/>
  <c r="E553" i="14"/>
  <c r="D553" i="14"/>
  <c r="C553" i="14"/>
  <c r="B553" i="14"/>
  <c r="A553" i="14"/>
  <c r="E552" i="14"/>
  <c r="D552" i="14"/>
  <c r="C552" i="14"/>
  <c r="B552" i="14"/>
  <c r="A552" i="14"/>
  <c r="E551" i="14"/>
  <c r="D551" i="14"/>
  <c r="C551" i="14"/>
  <c r="A551" i="14"/>
  <c r="B551" i="14" s="1"/>
  <c r="E550" i="14"/>
  <c r="D550" i="14"/>
  <c r="C550" i="14"/>
  <c r="A550" i="14"/>
  <c r="B550" i="14" s="1"/>
  <c r="E549" i="14"/>
  <c r="D549" i="14"/>
  <c r="C549" i="14"/>
  <c r="B549" i="14"/>
  <c r="A549" i="14"/>
  <c r="E548" i="14"/>
  <c r="D548" i="14"/>
  <c r="C548" i="14"/>
  <c r="A548" i="14"/>
  <c r="B548" i="14" s="1"/>
  <c r="E547" i="14"/>
  <c r="D547" i="14"/>
  <c r="C547" i="14"/>
  <c r="A547" i="14"/>
  <c r="B547" i="14" s="1"/>
  <c r="E546" i="14"/>
  <c r="D546" i="14"/>
  <c r="C546" i="14"/>
  <c r="B546" i="14"/>
  <c r="A546" i="14"/>
  <c r="E545" i="14"/>
  <c r="D545" i="14"/>
  <c r="C545" i="14"/>
  <c r="B545" i="14"/>
  <c r="A545" i="14"/>
  <c r="E544" i="14"/>
  <c r="D544" i="14"/>
  <c r="C544" i="14"/>
  <c r="B544" i="14"/>
  <c r="A544" i="14"/>
  <c r="E543" i="14"/>
  <c r="D543" i="14"/>
  <c r="C543" i="14"/>
  <c r="A543" i="14"/>
  <c r="B543" i="14" s="1"/>
  <c r="E542" i="14"/>
  <c r="D542" i="14"/>
  <c r="C542" i="14"/>
  <c r="B542" i="14"/>
  <c r="A542" i="14"/>
  <c r="E541" i="14"/>
  <c r="D541" i="14"/>
  <c r="C541" i="14"/>
  <c r="B541" i="14"/>
  <c r="A541" i="14"/>
  <c r="E540" i="14"/>
  <c r="D540" i="14"/>
  <c r="C540" i="14"/>
  <c r="A540" i="14"/>
  <c r="B540" i="14" s="1"/>
  <c r="E539" i="14"/>
  <c r="D539" i="14"/>
  <c r="C539" i="14"/>
  <c r="A539" i="14"/>
  <c r="B539" i="14" s="1"/>
  <c r="E538" i="14"/>
  <c r="D538" i="14"/>
  <c r="C538" i="14"/>
  <c r="A538" i="14"/>
  <c r="B538" i="14" s="1"/>
  <c r="E537" i="14"/>
  <c r="D537" i="14"/>
  <c r="C537" i="14"/>
  <c r="B537" i="14"/>
  <c r="A537" i="14"/>
  <c r="E536" i="14"/>
  <c r="D536" i="14"/>
  <c r="C536" i="14"/>
  <c r="B536" i="14"/>
  <c r="A536" i="14"/>
  <c r="E535" i="14"/>
  <c r="D535" i="14"/>
  <c r="C535" i="14"/>
  <c r="A535" i="14"/>
  <c r="B535" i="14" s="1"/>
  <c r="E534" i="14"/>
  <c r="D534" i="14"/>
  <c r="C534" i="14"/>
  <c r="A534" i="14"/>
  <c r="B534" i="14" s="1"/>
  <c r="E533" i="14"/>
  <c r="D533" i="14"/>
  <c r="C533" i="14"/>
  <c r="B533" i="14"/>
  <c r="A533" i="14"/>
  <c r="E532" i="14"/>
  <c r="D532" i="14"/>
  <c r="C532" i="14"/>
  <c r="A532" i="14"/>
  <c r="B532" i="14" s="1"/>
  <c r="E531" i="14"/>
  <c r="D531" i="14"/>
  <c r="C531" i="14"/>
  <c r="A531" i="14"/>
  <c r="B531" i="14" s="1"/>
  <c r="E530" i="14"/>
  <c r="D530" i="14"/>
  <c r="C530" i="14"/>
  <c r="B530" i="14"/>
  <c r="A530" i="14"/>
  <c r="E529" i="14"/>
  <c r="D529" i="14"/>
  <c r="C529" i="14"/>
  <c r="B529" i="14"/>
  <c r="A529" i="14"/>
  <c r="E528" i="14"/>
  <c r="D528" i="14"/>
  <c r="C528" i="14"/>
  <c r="B528" i="14"/>
  <c r="A528" i="14"/>
  <c r="E527" i="14"/>
  <c r="D527" i="14"/>
  <c r="C527" i="14"/>
  <c r="A527" i="14"/>
  <c r="B527" i="14" s="1"/>
  <c r="E526" i="14"/>
  <c r="D526" i="14"/>
  <c r="C526" i="14"/>
  <c r="B526" i="14"/>
  <c r="A526" i="14"/>
  <c r="E525" i="14"/>
  <c r="D525" i="14"/>
  <c r="C525" i="14"/>
  <c r="B525" i="14"/>
  <c r="A525" i="14"/>
  <c r="E524" i="14"/>
  <c r="D524" i="14"/>
  <c r="C524" i="14"/>
  <c r="A524" i="14"/>
  <c r="B524" i="14" s="1"/>
  <c r="E523" i="14"/>
  <c r="D523" i="14"/>
  <c r="C523" i="14"/>
  <c r="A523" i="14"/>
  <c r="B523" i="14" s="1"/>
  <c r="E522" i="14"/>
  <c r="D522" i="14"/>
  <c r="C522" i="14"/>
  <c r="A522" i="14"/>
  <c r="B522" i="14" s="1"/>
  <c r="E521" i="14"/>
  <c r="D521" i="14"/>
  <c r="C521" i="14"/>
  <c r="B521" i="14"/>
  <c r="A521" i="14"/>
  <c r="E520" i="14"/>
  <c r="D520" i="14"/>
  <c r="C520" i="14"/>
  <c r="B520" i="14"/>
  <c r="A520" i="14"/>
  <c r="E519" i="14"/>
  <c r="D519" i="14"/>
  <c r="C519" i="14"/>
  <c r="A519" i="14"/>
  <c r="B519" i="14" s="1"/>
  <c r="E518" i="14"/>
  <c r="D518" i="14"/>
  <c r="C518" i="14"/>
  <c r="A518" i="14"/>
  <c r="B518" i="14" s="1"/>
  <c r="E517" i="14"/>
  <c r="D517" i="14"/>
  <c r="C517" i="14"/>
  <c r="B517" i="14"/>
  <c r="A517" i="14"/>
  <c r="E516" i="14"/>
  <c r="D516" i="14"/>
  <c r="C516" i="14"/>
  <c r="A516" i="14"/>
  <c r="B516" i="14" s="1"/>
  <c r="E515" i="14"/>
  <c r="D515" i="14"/>
  <c r="C515" i="14"/>
  <c r="A515" i="14"/>
  <c r="B515" i="14" s="1"/>
  <c r="E514" i="14"/>
  <c r="D514" i="14"/>
  <c r="C514" i="14"/>
  <c r="B514" i="14"/>
  <c r="A514" i="14"/>
  <c r="E513" i="14"/>
  <c r="D513" i="14"/>
  <c r="C513" i="14"/>
  <c r="B513" i="14"/>
  <c r="A513" i="14"/>
  <c r="E512" i="14"/>
  <c r="D512" i="14"/>
  <c r="C512" i="14"/>
  <c r="B512" i="14"/>
  <c r="A512" i="14"/>
  <c r="E511" i="14"/>
  <c r="D511" i="14"/>
  <c r="C511" i="14"/>
  <c r="A511" i="14"/>
  <c r="B511" i="14" s="1"/>
  <c r="E510" i="14"/>
  <c r="D510" i="14"/>
  <c r="C510" i="14"/>
  <c r="B510" i="14"/>
  <c r="A510" i="14"/>
  <c r="E509" i="14"/>
  <c r="D509" i="14"/>
  <c r="C509" i="14"/>
  <c r="B509" i="14"/>
  <c r="A509" i="14"/>
  <c r="E508" i="14"/>
  <c r="D508" i="14"/>
  <c r="C508" i="14"/>
  <c r="A508" i="14"/>
  <c r="B508" i="14" s="1"/>
  <c r="E507" i="14"/>
  <c r="D507" i="14"/>
  <c r="C507" i="14"/>
  <c r="A507" i="14"/>
  <c r="B507" i="14" s="1"/>
  <c r="E506" i="14"/>
  <c r="D506" i="14"/>
  <c r="C506" i="14"/>
  <c r="A506" i="14"/>
  <c r="B506" i="14" s="1"/>
  <c r="E505" i="14"/>
  <c r="D505" i="14"/>
  <c r="C505" i="14"/>
  <c r="B505" i="14"/>
  <c r="A505" i="14"/>
  <c r="E504" i="14"/>
  <c r="D504" i="14"/>
  <c r="C504" i="14"/>
  <c r="B504" i="14"/>
  <c r="A504" i="14"/>
  <c r="E503" i="14"/>
  <c r="D503" i="14"/>
  <c r="C503" i="14"/>
  <c r="A503" i="14"/>
  <c r="B503" i="14" s="1"/>
  <c r="E502" i="14"/>
  <c r="D502" i="14"/>
  <c r="C502" i="14"/>
  <c r="A502" i="14"/>
  <c r="B502" i="14" s="1"/>
  <c r="E501" i="14"/>
  <c r="D501" i="14"/>
  <c r="C501" i="14"/>
  <c r="A501" i="14"/>
  <c r="B501" i="14" s="1"/>
  <c r="E500" i="14"/>
  <c r="D500" i="14"/>
  <c r="C500" i="14"/>
  <c r="A500" i="14"/>
  <c r="B500" i="14" s="1"/>
  <c r="E499" i="14"/>
  <c r="D499" i="14"/>
  <c r="C499" i="14"/>
  <c r="A499" i="14"/>
  <c r="B499" i="14" s="1"/>
  <c r="E498" i="14"/>
  <c r="D498" i="14"/>
  <c r="C498" i="14"/>
  <c r="B498" i="14"/>
  <c r="A498" i="14"/>
  <c r="E497" i="14"/>
  <c r="D497" i="14"/>
  <c r="C497" i="14"/>
  <c r="B497" i="14"/>
  <c r="A497" i="14"/>
  <c r="E496" i="14"/>
  <c r="D496" i="14"/>
  <c r="C496" i="14"/>
  <c r="B496" i="14"/>
  <c r="A496" i="14"/>
  <c r="E495" i="14"/>
  <c r="D495" i="14"/>
  <c r="C495" i="14"/>
  <c r="A495" i="14"/>
  <c r="B495" i="14" s="1"/>
  <c r="E494" i="14"/>
  <c r="D494" i="14"/>
  <c r="C494" i="14"/>
  <c r="B494" i="14"/>
  <c r="A494" i="14"/>
  <c r="E493" i="14"/>
  <c r="D493" i="14"/>
  <c r="C493" i="14"/>
  <c r="A493" i="14"/>
  <c r="B493" i="14" s="1"/>
  <c r="E492" i="14"/>
  <c r="D492" i="14"/>
  <c r="C492" i="14"/>
  <c r="A492" i="14"/>
  <c r="B492" i="14" s="1"/>
  <c r="E491" i="14"/>
  <c r="D491" i="14"/>
  <c r="C491" i="14"/>
  <c r="A491" i="14"/>
  <c r="B491" i="14" s="1"/>
  <c r="E490" i="14"/>
  <c r="D490" i="14"/>
  <c r="C490" i="14"/>
  <c r="A490" i="14"/>
  <c r="B490" i="14" s="1"/>
  <c r="E489" i="14"/>
  <c r="D489" i="14"/>
  <c r="C489" i="14"/>
  <c r="B489" i="14"/>
  <c r="A489" i="14"/>
  <c r="E488" i="14"/>
  <c r="D488" i="14"/>
  <c r="C488" i="14"/>
  <c r="B488" i="14"/>
  <c r="A488" i="14"/>
  <c r="E487" i="14"/>
  <c r="D487" i="14"/>
  <c r="C487" i="14"/>
  <c r="A487" i="14"/>
  <c r="B487" i="14" s="1"/>
  <c r="E486" i="14"/>
  <c r="D486" i="14"/>
  <c r="C486" i="14"/>
  <c r="A486" i="14"/>
  <c r="B486" i="14" s="1"/>
  <c r="E485" i="14"/>
  <c r="D485" i="14"/>
  <c r="C485" i="14"/>
  <c r="A485" i="14"/>
  <c r="B485" i="14" s="1"/>
  <c r="E484" i="14"/>
  <c r="D484" i="14"/>
  <c r="C484" i="14"/>
  <c r="A484" i="14"/>
  <c r="B484" i="14" s="1"/>
  <c r="E483" i="14"/>
  <c r="D483" i="14"/>
  <c r="C483" i="14"/>
  <c r="A483" i="14"/>
  <c r="B483" i="14" s="1"/>
  <c r="E482" i="14"/>
  <c r="D482" i="14"/>
  <c r="C482" i="14"/>
  <c r="B482" i="14"/>
  <c r="A482" i="14"/>
  <c r="E481" i="14"/>
  <c r="D481" i="14"/>
  <c r="C481" i="14"/>
  <c r="B481" i="14"/>
  <c r="A481" i="14"/>
  <c r="E480" i="14"/>
  <c r="D480" i="14"/>
  <c r="C480" i="14"/>
  <c r="B480" i="14"/>
  <c r="A480" i="14"/>
  <c r="E479" i="14"/>
  <c r="D479" i="14"/>
  <c r="C479" i="14"/>
  <c r="A479" i="14"/>
  <c r="B479" i="14" s="1"/>
  <c r="E478" i="14"/>
  <c r="D478" i="14"/>
  <c r="C478" i="14"/>
  <c r="B478" i="14"/>
  <c r="A478" i="14"/>
  <c r="E477" i="14"/>
  <c r="D477" i="14"/>
  <c r="C477" i="14"/>
  <c r="A477" i="14"/>
  <c r="B477" i="14" s="1"/>
  <c r="E476" i="14"/>
  <c r="D476" i="14"/>
  <c r="C476" i="14"/>
  <c r="A476" i="14"/>
  <c r="B476" i="14" s="1"/>
  <c r="E475" i="14"/>
  <c r="D475" i="14"/>
  <c r="C475" i="14"/>
  <c r="A475" i="14"/>
  <c r="B475" i="14" s="1"/>
  <c r="E474" i="14"/>
  <c r="D474" i="14"/>
  <c r="C474" i="14"/>
  <c r="A474" i="14"/>
  <c r="B474" i="14" s="1"/>
  <c r="E473" i="14"/>
  <c r="D473" i="14"/>
  <c r="C473" i="14"/>
  <c r="B473" i="14"/>
  <c r="A473" i="14"/>
  <c r="E472" i="14"/>
  <c r="D472" i="14"/>
  <c r="C472" i="14"/>
  <c r="B472" i="14"/>
  <c r="A472" i="14"/>
  <c r="E471" i="14"/>
  <c r="D471" i="14"/>
  <c r="C471" i="14"/>
  <c r="A471" i="14"/>
  <c r="B471" i="14" s="1"/>
  <c r="E470" i="14"/>
  <c r="D470" i="14"/>
  <c r="C470" i="14"/>
  <c r="B470" i="14"/>
  <c r="A470" i="14"/>
  <c r="E469" i="14"/>
  <c r="D469" i="14"/>
  <c r="C469" i="14"/>
  <c r="A469" i="14"/>
  <c r="B469" i="14" s="1"/>
  <c r="E468" i="14"/>
  <c r="D468" i="14"/>
  <c r="C468" i="14"/>
  <c r="A468" i="14"/>
  <c r="B468" i="14" s="1"/>
  <c r="E467" i="14"/>
  <c r="D467" i="14"/>
  <c r="C467" i="14"/>
  <c r="A467" i="14"/>
  <c r="B467" i="14" s="1"/>
  <c r="E466" i="14"/>
  <c r="D466" i="14"/>
  <c r="C466" i="14"/>
  <c r="B466" i="14"/>
  <c r="A466" i="14"/>
  <c r="E465" i="14"/>
  <c r="D465" i="14"/>
  <c r="C465" i="14"/>
  <c r="B465" i="14"/>
  <c r="A465" i="14"/>
  <c r="E464" i="14"/>
  <c r="D464" i="14"/>
  <c r="C464" i="14"/>
  <c r="B464" i="14"/>
  <c r="A464" i="14"/>
  <c r="E463" i="14"/>
  <c r="D463" i="14"/>
  <c r="C463" i="14"/>
  <c r="A463" i="14"/>
  <c r="B463" i="14" s="1"/>
  <c r="E462" i="14"/>
  <c r="D462" i="14"/>
  <c r="C462" i="14"/>
  <c r="B462" i="14"/>
  <c r="A462" i="14"/>
  <c r="E461" i="14"/>
  <c r="D461" i="14"/>
  <c r="C461" i="14"/>
  <c r="A461" i="14"/>
  <c r="B461" i="14" s="1"/>
  <c r="E460" i="14"/>
  <c r="D460" i="14"/>
  <c r="C460" i="14"/>
  <c r="A460" i="14"/>
  <c r="B460" i="14" s="1"/>
  <c r="E459" i="14"/>
  <c r="D459" i="14"/>
  <c r="C459" i="14"/>
  <c r="A459" i="14"/>
  <c r="B459" i="14" s="1"/>
  <c r="E458" i="14"/>
  <c r="D458" i="14"/>
  <c r="C458" i="14"/>
  <c r="B458" i="14"/>
  <c r="A458" i="14"/>
  <c r="E457" i="14"/>
  <c r="D457" i="14"/>
  <c r="C457" i="14"/>
  <c r="B457" i="14"/>
  <c r="A457" i="14"/>
  <c r="E456" i="14"/>
  <c r="D456" i="14"/>
  <c r="C456" i="14"/>
  <c r="B456" i="14"/>
  <c r="A456" i="14"/>
  <c r="E455" i="14"/>
  <c r="D455" i="14"/>
  <c r="C455" i="14"/>
  <c r="A455" i="14"/>
  <c r="B455" i="14" s="1"/>
  <c r="E454" i="14"/>
  <c r="D454" i="14"/>
  <c r="C454" i="14"/>
  <c r="A454" i="14"/>
  <c r="B454" i="14" s="1"/>
  <c r="E453" i="14"/>
  <c r="D453" i="14"/>
  <c r="C453" i="14"/>
  <c r="A453" i="14"/>
  <c r="B453" i="14" s="1"/>
  <c r="E452" i="14"/>
  <c r="D452" i="14"/>
  <c r="C452" i="14"/>
  <c r="A452" i="14"/>
  <c r="B452" i="14" s="1"/>
  <c r="E451" i="14"/>
  <c r="D451" i="14"/>
  <c r="C451" i="14"/>
  <c r="A451" i="14"/>
  <c r="B451" i="14" s="1"/>
  <c r="E450" i="14"/>
  <c r="D450" i="14"/>
  <c r="C450" i="14"/>
  <c r="B450" i="14"/>
  <c r="A450" i="14"/>
  <c r="E449" i="14"/>
  <c r="D449" i="14"/>
  <c r="C449" i="14"/>
  <c r="B449" i="14"/>
  <c r="A449" i="14"/>
  <c r="E448" i="14"/>
  <c r="D448" i="14"/>
  <c r="C448" i="14"/>
  <c r="B448" i="14"/>
  <c r="A448" i="14"/>
  <c r="E447" i="14"/>
  <c r="D447" i="14"/>
  <c r="C447" i="14"/>
  <c r="A447" i="14"/>
  <c r="B447" i="14" s="1"/>
  <c r="E446" i="14"/>
  <c r="D446" i="14"/>
  <c r="C446" i="14"/>
  <c r="B446" i="14"/>
  <c r="A446" i="14"/>
  <c r="E445" i="14"/>
  <c r="D445" i="14"/>
  <c r="C445" i="14"/>
  <c r="A445" i="14"/>
  <c r="B445" i="14" s="1"/>
  <c r="E444" i="14"/>
  <c r="D444" i="14"/>
  <c r="C444" i="14"/>
  <c r="A444" i="14"/>
  <c r="B444" i="14" s="1"/>
  <c r="E443" i="14"/>
  <c r="D443" i="14"/>
  <c r="C443" i="14"/>
  <c r="A443" i="14"/>
  <c r="B443" i="14" s="1"/>
  <c r="E442" i="14"/>
  <c r="D442" i="14"/>
  <c r="C442" i="14"/>
  <c r="A442" i="14"/>
  <c r="B442" i="14" s="1"/>
  <c r="E441" i="14"/>
  <c r="D441" i="14"/>
  <c r="C441" i="14"/>
  <c r="B441" i="14"/>
  <c r="A441" i="14"/>
  <c r="E440" i="14"/>
  <c r="D440" i="14"/>
  <c r="C440" i="14"/>
  <c r="B440" i="14"/>
  <c r="A440" i="14"/>
  <c r="E439" i="14"/>
  <c r="D439" i="14"/>
  <c r="C439" i="14"/>
  <c r="A439" i="14"/>
  <c r="B439" i="14" s="1"/>
  <c r="E438" i="14"/>
  <c r="D438" i="14"/>
  <c r="C438" i="14"/>
  <c r="B438" i="14"/>
  <c r="A438" i="14"/>
  <c r="E437" i="14"/>
  <c r="D437" i="14"/>
  <c r="C437" i="14"/>
  <c r="A437" i="14"/>
  <c r="B437" i="14" s="1"/>
  <c r="E436" i="14"/>
  <c r="D436" i="14"/>
  <c r="C436" i="14"/>
  <c r="A436" i="14"/>
  <c r="B436" i="14" s="1"/>
  <c r="E435" i="14"/>
  <c r="D435" i="14"/>
  <c r="C435" i="14"/>
  <c r="A435" i="14"/>
  <c r="B435" i="14" s="1"/>
  <c r="E434" i="14"/>
  <c r="D434" i="14"/>
  <c r="C434" i="14"/>
  <c r="B434" i="14"/>
  <c r="A434" i="14"/>
  <c r="E433" i="14"/>
  <c r="D433" i="14"/>
  <c r="C433" i="14"/>
  <c r="B433" i="14"/>
  <c r="A433" i="14"/>
  <c r="E432" i="14"/>
  <c r="D432" i="14"/>
  <c r="C432" i="14"/>
  <c r="B432" i="14"/>
  <c r="A432" i="14"/>
  <c r="E431" i="14"/>
  <c r="D431" i="14"/>
  <c r="C431" i="14"/>
  <c r="A431" i="14"/>
  <c r="B431" i="14" s="1"/>
  <c r="E430" i="14"/>
  <c r="D430" i="14"/>
  <c r="C430" i="14"/>
  <c r="B430" i="14"/>
  <c r="A430" i="14"/>
  <c r="E429" i="14"/>
  <c r="D429" i="14"/>
  <c r="C429" i="14"/>
  <c r="A429" i="14"/>
  <c r="B429" i="14" s="1"/>
  <c r="E428" i="14"/>
  <c r="D428" i="14"/>
  <c r="C428" i="14"/>
  <c r="A428" i="14"/>
  <c r="B428" i="14" s="1"/>
  <c r="E427" i="14"/>
  <c r="D427" i="14"/>
  <c r="C427" i="14"/>
  <c r="A427" i="14"/>
  <c r="B427" i="14" s="1"/>
  <c r="E426" i="14"/>
  <c r="D426" i="14"/>
  <c r="C426" i="14"/>
  <c r="B426" i="14"/>
  <c r="A426" i="14"/>
  <c r="E425" i="14"/>
  <c r="D425" i="14"/>
  <c r="C425" i="14"/>
  <c r="B425" i="14"/>
  <c r="A425" i="14"/>
  <c r="E424" i="14"/>
  <c r="D424" i="14"/>
  <c r="C424" i="14"/>
  <c r="B424" i="14"/>
  <c r="A424" i="14"/>
  <c r="E423" i="14"/>
  <c r="D423" i="14"/>
  <c r="C423" i="14"/>
  <c r="A423" i="14"/>
  <c r="B423" i="14" s="1"/>
  <c r="E422" i="14"/>
  <c r="D422" i="14"/>
  <c r="C422" i="14"/>
  <c r="A422" i="14"/>
  <c r="B422" i="14" s="1"/>
  <c r="E421" i="14"/>
  <c r="D421" i="14"/>
  <c r="C421" i="14"/>
  <c r="A421" i="14"/>
  <c r="B421" i="14" s="1"/>
  <c r="E420" i="14"/>
  <c r="D420" i="14"/>
  <c r="C420" i="14"/>
  <c r="A420" i="14"/>
  <c r="B420" i="14" s="1"/>
  <c r="E419" i="14"/>
  <c r="D419" i="14"/>
  <c r="C419" i="14"/>
  <c r="A419" i="14"/>
  <c r="B419" i="14" s="1"/>
  <c r="E418" i="14"/>
  <c r="D418" i="14"/>
  <c r="C418" i="14"/>
  <c r="B418" i="14"/>
  <c r="A418" i="14"/>
  <c r="E417" i="14"/>
  <c r="D417" i="14"/>
  <c r="C417" i="14"/>
  <c r="B417" i="14"/>
  <c r="A417" i="14"/>
  <c r="E416" i="14"/>
  <c r="D416" i="14"/>
  <c r="C416" i="14"/>
  <c r="B416" i="14"/>
  <c r="A416" i="14"/>
  <c r="E415" i="14"/>
  <c r="D415" i="14"/>
  <c r="C415" i="14"/>
  <c r="A415" i="14"/>
  <c r="B415" i="14" s="1"/>
  <c r="E414" i="14"/>
  <c r="D414" i="14"/>
  <c r="C414" i="14"/>
  <c r="B414" i="14"/>
  <c r="A414" i="14"/>
  <c r="E413" i="14"/>
  <c r="D413" i="14"/>
  <c r="C413" i="14"/>
  <c r="A413" i="14"/>
  <c r="B413" i="14" s="1"/>
  <c r="E412" i="14"/>
  <c r="D412" i="14"/>
  <c r="C412" i="14"/>
  <c r="A412" i="14"/>
  <c r="B412" i="14" s="1"/>
  <c r="E411" i="14"/>
  <c r="D411" i="14"/>
  <c r="C411" i="14"/>
  <c r="A411" i="14"/>
  <c r="B411" i="14" s="1"/>
  <c r="E410" i="14"/>
  <c r="D410" i="14"/>
  <c r="C410" i="14"/>
  <c r="A410" i="14"/>
  <c r="B410" i="14" s="1"/>
  <c r="E409" i="14"/>
  <c r="D409" i="14"/>
  <c r="C409" i="14"/>
  <c r="B409" i="14"/>
  <c r="A409" i="14"/>
  <c r="E408" i="14"/>
  <c r="D408" i="14"/>
  <c r="C408" i="14"/>
  <c r="B408" i="14"/>
  <c r="A408" i="14"/>
  <c r="E407" i="14"/>
  <c r="D407" i="14"/>
  <c r="C407" i="14"/>
  <c r="A407" i="14"/>
  <c r="B407" i="14" s="1"/>
  <c r="E406" i="14"/>
  <c r="D406" i="14"/>
  <c r="C406" i="14"/>
  <c r="B406" i="14"/>
  <c r="A406" i="14"/>
  <c r="E405" i="14"/>
  <c r="D405" i="14"/>
  <c r="C405" i="14"/>
  <c r="A405" i="14"/>
  <c r="B405" i="14" s="1"/>
  <c r="E404" i="14"/>
  <c r="D404" i="14"/>
  <c r="C404" i="14"/>
  <c r="B404" i="14"/>
  <c r="A404" i="14"/>
  <c r="E403" i="14"/>
  <c r="D403" i="14"/>
  <c r="C403" i="14"/>
  <c r="A403" i="14"/>
  <c r="B403" i="14" s="1"/>
  <c r="E402" i="14"/>
  <c r="D402" i="14"/>
  <c r="C402" i="14"/>
  <c r="A402" i="14"/>
  <c r="B402" i="14" s="1"/>
  <c r="E401" i="14"/>
  <c r="D401" i="14"/>
  <c r="C401" i="14"/>
  <c r="B401" i="14"/>
  <c r="A401" i="14"/>
  <c r="E400" i="14"/>
  <c r="D400" i="14"/>
  <c r="C400" i="14"/>
  <c r="B400" i="14"/>
  <c r="A400" i="14"/>
  <c r="E399" i="14"/>
  <c r="D399" i="14"/>
  <c r="C399" i="14"/>
  <c r="B399" i="14"/>
  <c r="A399" i="14"/>
  <c r="E398" i="14"/>
  <c r="D398" i="14"/>
  <c r="C398" i="14"/>
  <c r="A398" i="14"/>
  <c r="B398" i="14" s="1"/>
  <c r="E397" i="14"/>
  <c r="D397" i="14"/>
  <c r="C397" i="14"/>
  <c r="A397" i="14"/>
  <c r="B397" i="14" s="1"/>
  <c r="E396" i="14"/>
  <c r="D396" i="14"/>
  <c r="C396" i="14"/>
  <c r="A396" i="14"/>
  <c r="B396" i="14" s="1"/>
  <c r="E395" i="14"/>
  <c r="D395" i="14"/>
  <c r="C395" i="14"/>
  <c r="A395" i="14"/>
  <c r="B395" i="14" s="1"/>
  <c r="E394" i="14"/>
  <c r="D394" i="14"/>
  <c r="C394" i="14"/>
  <c r="B394" i="14"/>
  <c r="A394" i="14"/>
  <c r="E393" i="14"/>
  <c r="D393" i="14"/>
  <c r="C393" i="14"/>
  <c r="A393" i="14"/>
  <c r="B393" i="14" s="1"/>
  <c r="E392" i="14"/>
  <c r="D392" i="14"/>
  <c r="C392" i="14"/>
  <c r="B392" i="14"/>
  <c r="A392" i="14"/>
  <c r="E391" i="14"/>
  <c r="D391" i="14"/>
  <c r="C391" i="14"/>
  <c r="A391" i="14"/>
  <c r="B391" i="14" s="1"/>
  <c r="E390" i="14"/>
  <c r="D390" i="14"/>
  <c r="C390" i="14"/>
  <c r="B390" i="14"/>
  <c r="A390" i="14"/>
  <c r="E389" i="14"/>
  <c r="D389" i="14"/>
  <c r="C389" i="14"/>
  <c r="A389" i="14"/>
  <c r="B389" i="14" s="1"/>
  <c r="E388" i="14"/>
  <c r="D388" i="14"/>
  <c r="C388" i="14"/>
  <c r="B388" i="14"/>
  <c r="A388" i="14"/>
  <c r="E387" i="14"/>
  <c r="D387" i="14"/>
  <c r="C387" i="14"/>
  <c r="A387" i="14"/>
  <c r="B387" i="14" s="1"/>
  <c r="E386" i="14"/>
  <c r="D386" i="14"/>
  <c r="C386" i="14"/>
  <c r="A386" i="14"/>
  <c r="B386" i="14" s="1"/>
  <c r="E385" i="14"/>
  <c r="D385" i="14"/>
  <c r="C385" i="14"/>
  <c r="B385" i="14"/>
  <c r="A385" i="14"/>
  <c r="E384" i="14"/>
  <c r="D384" i="14"/>
  <c r="C384" i="14"/>
  <c r="B384" i="14"/>
  <c r="A384" i="14"/>
  <c r="E383" i="14"/>
  <c r="D383" i="14"/>
  <c r="C383" i="14"/>
  <c r="B383" i="14"/>
  <c r="A383" i="14"/>
  <c r="E382" i="14"/>
  <c r="D382" i="14"/>
  <c r="C382" i="14"/>
  <c r="A382" i="14"/>
  <c r="B382" i="14" s="1"/>
  <c r="E381" i="14"/>
  <c r="D381" i="14"/>
  <c r="C381" i="14"/>
  <c r="B381" i="14"/>
  <c r="A381" i="14"/>
  <c r="E380" i="14"/>
  <c r="D380" i="14"/>
  <c r="C380" i="14"/>
  <c r="B380" i="14"/>
  <c r="A380" i="14"/>
  <c r="E379" i="14"/>
  <c r="D379" i="14"/>
  <c r="C379" i="14"/>
  <c r="A379" i="14"/>
  <c r="B379" i="14" s="1"/>
  <c r="E378" i="14"/>
  <c r="D378" i="14"/>
  <c r="C378" i="14"/>
  <c r="A378" i="14"/>
  <c r="B378" i="14" s="1"/>
  <c r="E377" i="14"/>
  <c r="D377" i="14"/>
  <c r="C377" i="14"/>
  <c r="A377" i="14"/>
  <c r="B377" i="14" s="1"/>
  <c r="E376" i="14"/>
  <c r="D376" i="14"/>
  <c r="C376" i="14"/>
  <c r="B376" i="14"/>
  <c r="A376" i="14"/>
  <c r="E375" i="14"/>
  <c r="D375" i="14"/>
  <c r="C375" i="14"/>
  <c r="A375" i="14"/>
  <c r="B375" i="14" s="1"/>
  <c r="E374" i="14"/>
  <c r="D374" i="14"/>
  <c r="C374" i="14"/>
  <c r="A374" i="14"/>
  <c r="B374" i="14" s="1"/>
  <c r="E373" i="14"/>
  <c r="D373" i="14"/>
  <c r="C373" i="14"/>
  <c r="B373" i="14"/>
  <c r="A373" i="14"/>
  <c r="E372" i="14"/>
  <c r="D372" i="14"/>
  <c r="C372" i="14"/>
  <c r="A372" i="14"/>
  <c r="B372" i="14" s="1"/>
  <c r="E371" i="14"/>
  <c r="D371" i="14"/>
  <c r="C371" i="14"/>
  <c r="A371" i="14"/>
  <c r="B371" i="14" s="1"/>
  <c r="E370" i="14"/>
  <c r="D370" i="14"/>
  <c r="C370" i="14"/>
  <c r="A370" i="14"/>
  <c r="B370" i="14" s="1"/>
  <c r="E369" i="14"/>
  <c r="D369" i="14"/>
  <c r="C369" i="14"/>
  <c r="A369" i="14"/>
  <c r="B369" i="14" s="1"/>
  <c r="E368" i="14"/>
  <c r="D368" i="14"/>
  <c r="C368" i="14"/>
  <c r="B368" i="14"/>
  <c r="A368" i="14"/>
  <c r="E367" i="14"/>
  <c r="D367" i="14"/>
  <c r="C367" i="14"/>
  <c r="B367" i="14"/>
  <c r="A367" i="14"/>
  <c r="E366" i="14"/>
  <c r="D366" i="14"/>
  <c r="C366" i="14"/>
  <c r="A366" i="14"/>
  <c r="B366" i="14" s="1"/>
  <c r="E365" i="14"/>
  <c r="D365" i="14"/>
  <c r="C365" i="14"/>
  <c r="A365" i="14"/>
  <c r="B365" i="14" s="1"/>
  <c r="E364" i="14"/>
  <c r="D364" i="14"/>
  <c r="C364" i="14"/>
  <c r="A364" i="14"/>
  <c r="B364" i="14" s="1"/>
  <c r="E363" i="14"/>
  <c r="D363" i="14"/>
  <c r="C363" i="14"/>
  <c r="A363" i="14"/>
  <c r="B363" i="14" s="1"/>
  <c r="E362" i="14"/>
  <c r="D362" i="14"/>
  <c r="C362" i="14"/>
  <c r="A362" i="14"/>
  <c r="B362" i="14" s="1"/>
  <c r="E361" i="14"/>
  <c r="D361" i="14"/>
  <c r="C361" i="14"/>
  <c r="A361" i="14"/>
  <c r="B361" i="14" s="1"/>
  <c r="E360" i="14"/>
  <c r="D360" i="14"/>
  <c r="C360" i="14"/>
  <c r="B360" i="14"/>
  <c r="A360" i="14"/>
  <c r="E359" i="14"/>
  <c r="D359" i="14"/>
  <c r="C359" i="14"/>
  <c r="A359" i="14"/>
  <c r="B359" i="14" s="1"/>
  <c r="E358" i="14"/>
  <c r="D358" i="14"/>
  <c r="C358" i="14"/>
  <c r="B358" i="14"/>
  <c r="A358" i="14"/>
  <c r="E357" i="14"/>
  <c r="D357" i="14"/>
  <c r="C357" i="14"/>
  <c r="A357" i="14"/>
  <c r="B357" i="14" s="1"/>
  <c r="E356" i="14"/>
  <c r="D356" i="14"/>
  <c r="C356" i="14"/>
  <c r="A356" i="14"/>
  <c r="B356" i="14" s="1"/>
  <c r="E355" i="14"/>
  <c r="D355" i="14"/>
  <c r="C355" i="14"/>
  <c r="A355" i="14"/>
  <c r="B355" i="14" s="1"/>
  <c r="E354" i="14"/>
  <c r="D354" i="14"/>
  <c r="C354" i="14"/>
  <c r="A354" i="14"/>
  <c r="B354" i="14" s="1"/>
  <c r="E353" i="14"/>
  <c r="D353" i="14"/>
  <c r="C353" i="14"/>
  <c r="B353" i="14"/>
  <c r="A353" i="14"/>
  <c r="E352" i="14"/>
  <c r="D352" i="14"/>
  <c r="C352" i="14"/>
  <c r="B352" i="14"/>
  <c r="A352" i="14"/>
  <c r="E351" i="14"/>
  <c r="D351" i="14"/>
  <c r="C351" i="14"/>
  <c r="A351" i="14"/>
  <c r="B351" i="14" s="1"/>
  <c r="E350" i="14"/>
  <c r="D350" i="14"/>
  <c r="C350" i="14"/>
  <c r="B350" i="14"/>
  <c r="A350" i="14"/>
  <c r="E349" i="14"/>
  <c r="D349" i="14"/>
  <c r="C349" i="14"/>
  <c r="A349" i="14"/>
  <c r="B349" i="14" s="1"/>
  <c r="E348" i="14"/>
  <c r="D348" i="14"/>
  <c r="C348" i="14"/>
  <c r="A348" i="14"/>
  <c r="B348" i="14" s="1"/>
  <c r="E347" i="14"/>
  <c r="D347" i="14"/>
  <c r="C347" i="14"/>
  <c r="A347" i="14"/>
  <c r="B347" i="14" s="1"/>
  <c r="E346" i="14"/>
  <c r="D346" i="14"/>
  <c r="C346" i="14"/>
  <c r="A346" i="14"/>
  <c r="B346" i="14" s="1"/>
  <c r="E345" i="14"/>
  <c r="D345" i="14"/>
  <c r="C345" i="14"/>
  <c r="A345" i="14"/>
  <c r="B345" i="14" s="1"/>
  <c r="E344" i="14"/>
  <c r="D344" i="14"/>
  <c r="C344" i="14"/>
  <c r="B344" i="14"/>
  <c r="A344" i="14"/>
  <c r="E343" i="14"/>
  <c r="D343" i="14"/>
  <c r="C343" i="14"/>
  <c r="A343" i="14"/>
  <c r="B343" i="14" s="1"/>
  <c r="E342" i="14"/>
  <c r="D342" i="14"/>
  <c r="C342" i="14"/>
  <c r="B342" i="14"/>
  <c r="A342" i="14"/>
  <c r="E341" i="14"/>
  <c r="D341" i="14"/>
  <c r="C341" i="14"/>
  <c r="A341" i="14"/>
  <c r="B341" i="14" s="1"/>
  <c r="E340" i="14"/>
  <c r="D340" i="14"/>
  <c r="C340" i="14"/>
  <c r="B340" i="14"/>
  <c r="A340" i="14"/>
  <c r="E339" i="14"/>
  <c r="D339" i="14"/>
  <c r="C339" i="14"/>
  <c r="A339" i="14"/>
  <c r="B339" i="14" s="1"/>
  <c r="E338" i="14"/>
  <c r="D338" i="14"/>
  <c r="C338" i="14"/>
  <c r="A338" i="14"/>
  <c r="B338" i="14" s="1"/>
  <c r="E337" i="14"/>
  <c r="D337" i="14"/>
  <c r="C337" i="14"/>
  <c r="A337" i="14"/>
  <c r="B337" i="14" s="1"/>
  <c r="E336" i="14"/>
  <c r="D336" i="14"/>
  <c r="C336" i="14"/>
  <c r="B336" i="14"/>
  <c r="A336" i="14"/>
  <c r="E335" i="14"/>
  <c r="D335" i="14"/>
  <c r="C335" i="14"/>
  <c r="B335" i="14"/>
  <c r="A335" i="14"/>
  <c r="E334" i="14"/>
  <c r="D334" i="14"/>
  <c r="C334" i="14"/>
  <c r="A334" i="14"/>
  <c r="B334" i="14" s="1"/>
  <c r="E333" i="14"/>
  <c r="D333" i="14"/>
  <c r="C333" i="14"/>
  <c r="A333" i="14"/>
  <c r="B333" i="14" s="1"/>
  <c r="E332" i="14"/>
  <c r="D332" i="14"/>
  <c r="C332" i="14"/>
  <c r="A332" i="14"/>
  <c r="B332" i="14" s="1"/>
  <c r="E331" i="14"/>
  <c r="D331" i="14"/>
  <c r="C331" i="14"/>
  <c r="A331" i="14"/>
  <c r="B331" i="14" s="1"/>
  <c r="E330" i="14"/>
  <c r="D330" i="14"/>
  <c r="C330" i="14"/>
  <c r="B330" i="14"/>
  <c r="A330" i="14"/>
  <c r="E329" i="14"/>
  <c r="D329" i="14"/>
  <c r="C329" i="14"/>
  <c r="B329" i="14"/>
  <c r="A329" i="14"/>
  <c r="E328" i="14"/>
  <c r="D328" i="14"/>
  <c r="C328" i="14"/>
  <c r="B328" i="14"/>
  <c r="A328" i="14"/>
  <c r="E327" i="14"/>
  <c r="D327" i="14"/>
  <c r="C327" i="14"/>
  <c r="A327" i="14"/>
  <c r="B327" i="14" s="1"/>
  <c r="E326" i="14"/>
  <c r="D326" i="14"/>
  <c r="C326" i="14"/>
  <c r="A326" i="14"/>
  <c r="B326" i="14" s="1"/>
  <c r="E325" i="14"/>
  <c r="D325" i="14"/>
  <c r="C325" i="14"/>
  <c r="A325" i="14"/>
  <c r="B325" i="14" s="1"/>
  <c r="E324" i="14"/>
  <c r="D324" i="14"/>
  <c r="C324" i="14"/>
  <c r="B324" i="14"/>
  <c r="A324" i="14"/>
  <c r="E323" i="14"/>
  <c r="D323" i="14"/>
  <c r="C323" i="14"/>
  <c r="A323" i="14"/>
  <c r="B323" i="14" s="1"/>
  <c r="E322" i="14"/>
  <c r="D322" i="14"/>
  <c r="C322" i="14"/>
  <c r="A322" i="14"/>
  <c r="B322" i="14" s="1"/>
  <c r="E321" i="14"/>
  <c r="D321" i="14"/>
  <c r="C321" i="14"/>
  <c r="A321" i="14"/>
  <c r="B321" i="14" s="1"/>
  <c r="E320" i="14"/>
  <c r="D320" i="14"/>
  <c r="C320" i="14"/>
  <c r="B320" i="14"/>
  <c r="A320" i="14"/>
  <c r="E319" i="14"/>
  <c r="D319" i="14"/>
  <c r="C319" i="14"/>
  <c r="B319" i="14"/>
  <c r="A319" i="14"/>
  <c r="E318" i="14"/>
  <c r="D318" i="14"/>
  <c r="C318" i="14"/>
  <c r="A318" i="14"/>
  <c r="B318" i="14" s="1"/>
  <c r="E317" i="14"/>
  <c r="D317" i="14"/>
  <c r="C317" i="14"/>
  <c r="B317" i="14"/>
  <c r="A317" i="14"/>
  <c r="E316" i="14"/>
  <c r="D316" i="14"/>
  <c r="C316" i="14"/>
  <c r="A316" i="14"/>
  <c r="B316" i="14" s="1"/>
  <c r="E315" i="14"/>
  <c r="D315" i="14"/>
  <c r="C315" i="14"/>
  <c r="A315" i="14"/>
  <c r="B315" i="14" s="1"/>
  <c r="E314" i="14"/>
  <c r="D314" i="14"/>
  <c r="C314" i="14"/>
  <c r="A314" i="14"/>
  <c r="B314" i="14" s="1"/>
  <c r="E313" i="14"/>
  <c r="D313" i="14"/>
  <c r="C313" i="14"/>
  <c r="A313" i="14"/>
  <c r="B313" i="14" s="1"/>
  <c r="E312" i="14"/>
  <c r="D312" i="14"/>
  <c r="C312" i="14"/>
  <c r="B312" i="14"/>
  <c r="A312" i="14"/>
  <c r="E311" i="14"/>
  <c r="D311" i="14"/>
  <c r="C311" i="14"/>
  <c r="A311" i="14"/>
  <c r="B311" i="14" s="1"/>
  <c r="E310" i="14"/>
  <c r="D310" i="14"/>
  <c r="C310" i="14"/>
  <c r="A310" i="14"/>
  <c r="B310" i="14" s="1"/>
  <c r="E309" i="14"/>
  <c r="D309" i="14"/>
  <c r="C309" i="14"/>
  <c r="A309" i="14"/>
  <c r="B309" i="14" s="1"/>
  <c r="E308" i="14"/>
  <c r="D308" i="14"/>
  <c r="C308" i="14"/>
  <c r="A308" i="14"/>
  <c r="B308" i="14" s="1"/>
  <c r="E307" i="14"/>
  <c r="D307" i="14"/>
  <c r="C307" i="14"/>
  <c r="A307" i="14"/>
  <c r="B307" i="14" s="1"/>
  <c r="E306" i="14"/>
  <c r="D306" i="14"/>
  <c r="C306" i="14"/>
  <c r="B306" i="14"/>
  <c r="A306" i="14"/>
  <c r="E305" i="14"/>
  <c r="D305" i="14"/>
  <c r="C305" i="14"/>
  <c r="A305" i="14"/>
  <c r="B305" i="14" s="1"/>
  <c r="E304" i="14"/>
  <c r="D304" i="14"/>
  <c r="C304" i="14"/>
  <c r="B304" i="14"/>
  <c r="A304" i="14"/>
  <c r="E303" i="14"/>
  <c r="D303" i="14"/>
  <c r="C303" i="14"/>
  <c r="A303" i="14"/>
  <c r="B303" i="14" s="1"/>
  <c r="E302" i="14"/>
  <c r="D302" i="14"/>
  <c r="C302" i="14"/>
  <c r="A302" i="14"/>
  <c r="B302" i="14" s="1"/>
  <c r="E301" i="14"/>
  <c r="D301" i="14"/>
  <c r="C301" i="14"/>
  <c r="A301" i="14"/>
  <c r="B301" i="14" s="1"/>
  <c r="E300" i="14"/>
  <c r="D300" i="14"/>
  <c r="C300" i="14"/>
  <c r="A300" i="14"/>
  <c r="B300" i="14" s="1"/>
  <c r="E299" i="14"/>
  <c r="D299" i="14"/>
  <c r="C299" i="14"/>
  <c r="A299" i="14"/>
  <c r="B299" i="14" s="1"/>
  <c r="E298" i="14"/>
  <c r="D298" i="14"/>
  <c r="C298" i="14"/>
  <c r="B298" i="14"/>
  <c r="A298" i="14"/>
  <c r="E297" i="14"/>
  <c r="D297" i="14"/>
  <c r="C297" i="14"/>
  <c r="A297" i="14"/>
  <c r="B297" i="14" s="1"/>
  <c r="E296" i="14"/>
  <c r="D296" i="14"/>
  <c r="C296" i="14"/>
  <c r="B296" i="14"/>
  <c r="A296" i="14"/>
  <c r="E295" i="14"/>
  <c r="D295" i="14"/>
  <c r="C295" i="14"/>
  <c r="A295" i="14"/>
  <c r="B295" i="14" s="1"/>
  <c r="E294" i="14"/>
  <c r="D294" i="14"/>
  <c r="C294" i="14"/>
  <c r="B294" i="14"/>
  <c r="A294" i="14"/>
  <c r="E293" i="14"/>
  <c r="D293" i="14"/>
  <c r="C293" i="14"/>
  <c r="A293" i="14"/>
  <c r="B293" i="14" s="1"/>
  <c r="E292" i="14"/>
  <c r="D292" i="14"/>
  <c r="C292" i="14"/>
  <c r="A292" i="14"/>
  <c r="B292" i="14" s="1"/>
  <c r="E291" i="14"/>
  <c r="D291" i="14"/>
  <c r="C291" i="14"/>
  <c r="A291" i="14"/>
  <c r="B291" i="14" s="1"/>
  <c r="E290" i="14"/>
  <c r="D290" i="14"/>
  <c r="C290" i="14"/>
  <c r="A290" i="14"/>
  <c r="B290" i="14" s="1"/>
  <c r="E289" i="14"/>
  <c r="D289" i="14"/>
  <c r="C289" i="14"/>
  <c r="B289" i="14"/>
  <c r="A289" i="14"/>
  <c r="E288" i="14"/>
  <c r="D288" i="14"/>
  <c r="C288" i="14"/>
  <c r="B288" i="14"/>
  <c r="A288" i="14"/>
  <c r="E287" i="14"/>
  <c r="D287" i="14"/>
  <c r="C287" i="14"/>
  <c r="A287" i="14"/>
  <c r="B287" i="14" s="1"/>
  <c r="E286" i="14"/>
  <c r="D286" i="14"/>
  <c r="C286" i="14"/>
  <c r="A286" i="14"/>
  <c r="B286" i="14" s="1"/>
  <c r="E285" i="14"/>
  <c r="D285" i="14"/>
  <c r="C285" i="14"/>
  <c r="A285" i="14"/>
  <c r="B285" i="14" s="1"/>
  <c r="E284" i="14"/>
  <c r="D284" i="14"/>
  <c r="C284" i="14"/>
  <c r="A284" i="14"/>
  <c r="B284" i="14" s="1"/>
  <c r="E283" i="14"/>
  <c r="D283" i="14"/>
  <c r="C283" i="14"/>
  <c r="A283" i="14"/>
  <c r="B283" i="14" s="1"/>
  <c r="E282" i="14"/>
  <c r="D282" i="14"/>
  <c r="C282" i="14"/>
  <c r="A282" i="14"/>
  <c r="B282" i="14" s="1"/>
  <c r="E281" i="14"/>
  <c r="D281" i="14"/>
  <c r="C281" i="14"/>
  <c r="B281" i="14"/>
  <c r="A281" i="14"/>
  <c r="E280" i="14"/>
  <c r="D280" i="14"/>
  <c r="C280" i="14"/>
  <c r="B280" i="14"/>
  <c r="A280" i="14"/>
  <c r="E279" i="14"/>
  <c r="D279" i="14"/>
  <c r="C279" i="14"/>
  <c r="A279" i="14"/>
  <c r="B279" i="14" s="1"/>
  <c r="E278" i="14"/>
  <c r="D278" i="14"/>
  <c r="C278" i="14"/>
  <c r="B278" i="14"/>
  <c r="A278" i="14"/>
  <c r="E277" i="14"/>
  <c r="D277" i="14"/>
  <c r="C277" i="14"/>
  <c r="A277" i="14"/>
  <c r="B277" i="14" s="1"/>
  <c r="E276" i="14"/>
  <c r="D276" i="14"/>
  <c r="C276" i="14"/>
  <c r="B276" i="14"/>
  <c r="A276" i="14"/>
  <c r="E275" i="14"/>
  <c r="D275" i="14"/>
  <c r="C275" i="14"/>
  <c r="A275" i="14"/>
  <c r="B275" i="14" s="1"/>
  <c r="E274" i="14"/>
  <c r="D274" i="14"/>
  <c r="C274" i="14"/>
  <c r="A274" i="14"/>
  <c r="B274" i="14" s="1"/>
  <c r="E273" i="14"/>
  <c r="D273" i="14"/>
  <c r="C273" i="14"/>
  <c r="B273" i="14"/>
  <c r="A273" i="14"/>
  <c r="E272" i="14"/>
  <c r="D272" i="14"/>
  <c r="C272" i="14"/>
  <c r="B272" i="14"/>
  <c r="A272" i="14"/>
  <c r="E271" i="14"/>
  <c r="D271" i="14"/>
  <c r="C271" i="14"/>
  <c r="B271" i="14"/>
  <c r="A271" i="14"/>
  <c r="E270" i="14"/>
  <c r="D270" i="14"/>
  <c r="C270" i="14"/>
  <c r="A270" i="14"/>
  <c r="B270" i="14" s="1"/>
  <c r="E269" i="14"/>
  <c r="D269" i="14"/>
  <c r="C269" i="14"/>
  <c r="A269" i="14"/>
  <c r="B269" i="14" s="1"/>
  <c r="E268" i="14"/>
  <c r="D268" i="14"/>
  <c r="C268" i="14"/>
  <c r="B268" i="14"/>
  <c r="A268" i="14"/>
  <c r="E267" i="14"/>
  <c r="D267" i="14"/>
  <c r="C267" i="14"/>
  <c r="A267" i="14"/>
  <c r="B267" i="14" s="1"/>
  <c r="E266" i="14"/>
  <c r="D266" i="14"/>
  <c r="C266" i="14"/>
  <c r="B266" i="14"/>
  <c r="A266" i="14"/>
  <c r="E265" i="14"/>
  <c r="D265" i="14"/>
  <c r="C265" i="14"/>
  <c r="A265" i="14"/>
  <c r="B265" i="14" s="1"/>
  <c r="E264" i="14"/>
  <c r="D264" i="14"/>
  <c r="C264" i="14"/>
  <c r="B264" i="14"/>
  <c r="A264" i="14"/>
  <c r="E263" i="14"/>
  <c r="D263" i="14"/>
  <c r="C263" i="14"/>
  <c r="B263" i="14"/>
  <c r="A263" i="14"/>
  <c r="E262" i="14"/>
  <c r="D262" i="14"/>
  <c r="C262" i="14"/>
  <c r="A262" i="14"/>
  <c r="B262" i="14" s="1"/>
  <c r="E261" i="14"/>
  <c r="D261" i="14"/>
  <c r="C261" i="14"/>
  <c r="A261" i="14"/>
  <c r="B261" i="14" s="1"/>
  <c r="E260" i="14"/>
  <c r="D260" i="14"/>
  <c r="C260" i="14"/>
  <c r="A260" i="14"/>
  <c r="B260" i="14" s="1"/>
  <c r="E259" i="14"/>
  <c r="D259" i="14"/>
  <c r="C259" i="14"/>
  <c r="A259" i="14"/>
  <c r="B259" i="14" s="1"/>
  <c r="E258" i="14"/>
  <c r="D258" i="14"/>
  <c r="C258" i="14"/>
  <c r="A258" i="14"/>
  <c r="B258" i="14" s="1"/>
  <c r="E257" i="14"/>
  <c r="D257" i="14"/>
  <c r="C257" i="14"/>
  <c r="B257" i="14"/>
  <c r="A257" i="14"/>
  <c r="E256" i="14"/>
  <c r="D256" i="14"/>
  <c r="C256" i="14"/>
  <c r="B256" i="14"/>
  <c r="A256" i="14"/>
  <c r="E255" i="14"/>
  <c r="D255" i="14"/>
  <c r="C255" i="14"/>
  <c r="A255" i="14"/>
  <c r="B255" i="14" s="1"/>
  <c r="E254" i="14"/>
  <c r="D254" i="14"/>
  <c r="C254" i="14"/>
  <c r="A254" i="14"/>
  <c r="B254" i="14" s="1"/>
  <c r="E253" i="14"/>
  <c r="D253" i="14"/>
  <c r="C253" i="14"/>
  <c r="B253" i="14"/>
  <c r="A253" i="14"/>
  <c r="E252" i="14"/>
  <c r="D252" i="14"/>
  <c r="C252" i="14"/>
  <c r="B252" i="14"/>
  <c r="A252" i="14"/>
  <c r="E251" i="14"/>
  <c r="D251" i="14"/>
  <c r="C251" i="14"/>
  <c r="A251" i="14"/>
  <c r="B251" i="14" s="1"/>
  <c r="E250" i="14"/>
  <c r="D250" i="14"/>
  <c r="C250" i="14"/>
  <c r="A250" i="14"/>
  <c r="B250" i="14" s="1"/>
  <c r="E249" i="14"/>
  <c r="D249" i="14"/>
  <c r="C249" i="14"/>
  <c r="A249" i="14"/>
  <c r="B249" i="14" s="1"/>
  <c r="E248" i="14"/>
  <c r="D248" i="14"/>
  <c r="C248" i="14"/>
  <c r="B248" i="14"/>
  <c r="A248" i="14"/>
  <c r="E247" i="14"/>
  <c r="D247" i="14"/>
  <c r="C247" i="14"/>
  <c r="A247" i="14"/>
  <c r="B247" i="14" s="1"/>
  <c r="E246" i="14"/>
  <c r="D246" i="14"/>
  <c r="C246" i="14"/>
  <c r="A246" i="14"/>
  <c r="B246" i="14" s="1"/>
  <c r="E245" i="14"/>
  <c r="D245" i="14"/>
  <c r="C245" i="14"/>
  <c r="B245" i="14"/>
  <c r="A245" i="14"/>
  <c r="E244" i="14"/>
  <c r="D244" i="14"/>
  <c r="C244" i="14"/>
  <c r="A244" i="14"/>
  <c r="B244" i="14" s="1"/>
  <c r="E243" i="14"/>
  <c r="D243" i="14"/>
  <c r="C243" i="14"/>
  <c r="A243" i="14"/>
  <c r="B243" i="14" s="1"/>
  <c r="E242" i="14"/>
  <c r="D242" i="14"/>
  <c r="C242" i="14"/>
  <c r="B242" i="14"/>
  <c r="A242" i="14"/>
  <c r="E241" i="14"/>
  <c r="D241" i="14"/>
  <c r="C241" i="14"/>
  <c r="A241" i="14"/>
  <c r="B241" i="14" s="1"/>
  <c r="E240" i="14"/>
  <c r="D240" i="14"/>
  <c r="C240" i="14"/>
  <c r="B240" i="14"/>
  <c r="A240" i="14"/>
  <c r="E239" i="14"/>
  <c r="D239" i="14"/>
  <c r="C239" i="14"/>
  <c r="B239" i="14"/>
  <c r="A239" i="14"/>
  <c r="E238" i="14"/>
  <c r="D238" i="14"/>
  <c r="C238" i="14"/>
  <c r="A238" i="14"/>
  <c r="B238" i="14" s="1"/>
  <c r="E237" i="14"/>
  <c r="D237" i="14"/>
  <c r="C237" i="14"/>
  <c r="A237" i="14"/>
  <c r="B237" i="14" s="1"/>
  <c r="E236" i="14"/>
  <c r="D236" i="14"/>
  <c r="C236" i="14"/>
  <c r="A236" i="14"/>
  <c r="B236" i="14" s="1"/>
  <c r="E235" i="14"/>
  <c r="D235" i="14"/>
  <c r="C235" i="14"/>
  <c r="A235" i="14"/>
  <c r="B235" i="14" s="1"/>
  <c r="E234" i="14"/>
  <c r="D234" i="14"/>
  <c r="C234" i="14"/>
  <c r="A234" i="14"/>
  <c r="B234" i="14" s="1"/>
  <c r="E233" i="14"/>
  <c r="D233" i="14"/>
  <c r="C233" i="14"/>
  <c r="A233" i="14"/>
  <c r="B233" i="14" s="1"/>
  <c r="E232" i="14"/>
  <c r="D232" i="14"/>
  <c r="C232" i="14"/>
  <c r="B232" i="14"/>
  <c r="A232" i="14"/>
  <c r="E231" i="14"/>
  <c r="D231" i="14"/>
  <c r="C231" i="14"/>
  <c r="A231" i="14"/>
  <c r="B231" i="14" s="1"/>
  <c r="E230" i="14"/>
  <c r="D230" i="14"/>
  <c r="C230" i="14"/>
  <c r="B230" i="14"/>
  <c r="A230" i="14"/>
  <c r="E229" i="14"/>
  <c r="D229" i="14"/>
  <c r="C229" i="14"/>
  <c r="A229" i="14"/>
  <c r="B229" i="14" s="1"/>
  <c r="E228" i="14"/>
  <c r="D228" i="14"/>
  <c r="C228" i="14"/>
  <c r="A228" i="14"/>
  <c r="B228" i="14" s="1"/>
  <c r="E227" i="14"/>
  <c r="D227" i="14"/>
  <c r="C227" i="14"/>
  <c r="A227" i="14"/>
  <c r="B227" i="14" s="1"/>
  <c r="E226" i="14"/>
  <c r="D226" i="14"/>
  <c r="C226" i="14"/>
  <c r="A226" i="14"/>
  <c r="B226" i="14" s="1"/>
  <c r="E225" i="14"/>
  <c r="D225" i="14"/>
  <c r="C225" i="14"/>
  <c r="B225" i="14"/>
  <c r="A225" i="14"/>
  <c r="E224" i="14"/>
  <c r="D224" i="14"/>
  <c r="C224" i="14"/>
  <c r="B224" i="14"/>
  <c r="A224" i="14"/>
  <c r="E223" i="14"/>
  <c r="D223" i="14"/>
  <c r="C223" i="14"/>
  <c r="A223" i="14"/>
  <c r="B223" i="14" s="1"/>
  <c r="E222" i="14"/>
  <c r="D222" i="14"/>
  <c r="C222" i="14"/>
  <c r="B222" i="14"/>
  <c r="A222" i="14"/>
  <c r="E221" i="14"/>
  <c r="D221" i="14"/>
  <c r="C221" i="14"/>
  <c r="A221" i="14"/>
  <c r="B221" i="14" s="1"/>
  <c r="E220" i="14"/>
  <c r="D220" i="14"/>
  <c r="C220" i="14"/>
  <c r="A220" i="14"/>
  <c r="B220" i="14" s="1"/>
  <c r="E219" i="14"/>
  <c r="D219" i="14"/>
  <c r="C219" i="14"/>
  <c r="A219" i="14"/>
  <c r="B219" i="14" s="1"/>
  <c r="E218" i="14"/>
  <c r="D218" i="14"/>
  <c r="C218" i="14"/>
  <c r="A218" i="14"/>
  <c r="B218" i="14" s="1"/>
  <c r="E217" i="14"/>
  <c r="D217" i="14"/>
  <c r="C217" i="14"/>
  <c r="B217" i="14"/>
  <c r="A217" i="14"/>
  <c r="E216" i="14"/>
  <c r="D216" i="14"/>
  <c r="C216" i="14"/>
  <c r="B216" i="14"/>
  <c r="A216" i="14"/>
  <c r="E215" i="14"/>
  <c r="D215" i="14"/>
  <c r="C215" i="14"/>
  <c r="A215" i="14"/>
  <c r="B215" i="14" s="1"/>
  <c r="E214" i="14"/>
  <c r="D214" i="14"/>
  <c r="C214" i="14"/>
  <c r="B214" i="14"/>
  <c r="A214" i="14"/>
  <c r="E213" i="14"/>
  <c r="D213" i="14"/>
  <c r="C213" i="14"/>
  <c r="A213" i="14"/>
  <c r="B213" i="14" s="1"/>
  <c r="E212" i="14"/>
  <c r="D212" i="14"/>
  <c r="C212" i="14"/>
  <c r="B212" i="14"/>
  <c r="A212" i="14"/>
  <c r="E211" i="14"/>
  <c r="D211" i="14"/>
  <c r="C211" i="14"/>
  <c r="A211" i="14"/>
  <c r="B211" i="14" s="1"/>
  <c r="E210" i="14"/>
  <c r="D210" i="14"/>
  <c r="C210" i="14"/>
  <c r="A210" i="14"/>
  <c r="B210" i="14" s="1"/>
  <c r="E209" i="14"/>
  <c r="D209" i="14"/>
  <c r="C209" i="14"/>
  <c r="A209" i="14"/>
  <c r="B209" i="14" s="1"/>
  <c r="E208" i="14"/>
  <c r="D208" i="14"/>
  <c r="C208" i="14"/>
  <c r="B208" i="14"/>
  <c r="A208" i="14"/>
  <c r="E207" i="14"/>
  <c r="D207" i="14"/>
  <c r="C207" i="14"/>
  <c r="B207" i="14"/>
  <c r="A207" i="14"/>
  <c r="E206" i="14"/>
  <c r="D206" i="14"/>
  <c r="C206" i="14"/>
  <c r="A206" i="14"/>
  <c r="B206" i="14" s="1"/>
  <c r="E205" i="14"/>
  <c r="D205" i="14"/>
  <c r="C205" i="14"/>
  <c r="A205" i="14"/>
  <c r="B205" i="14" s="1"/>
  <c r="E204" i="14"/>
  <c r="D204" i="14"/>
  <c r="C204" i="14"/>
  <c r="A204" i="14"/>
  <c r="B204" i="14" s="1"/>
  <c r="E203" i="14"/>
  <c r="D203" i="14"/>
  <c r="C203" i="14"/>
  <c r="A203" i="14"/>
  <c r="B203" i="14" s="1"/>
  <c r="E202" i="14"/>
  <c r="D202" i="14"/>
  <c r="C202" i="14"/>
  <c r="B202" i="14"/>
  <c r="A202" i="14"/>
  <c r="E201" i="14"/>
  <c r="D201" i="14"/>
  <c r="C201" i="14"/>
  <c r="B201" i="14"/>
  <c r="A201" i="14"/>
  <c r="E200" i="14"/>
  <c r="D200" i="14"/>
  <c r="C200" i="14"/>
  <c r="B200" i="14"/>
  <c r="A200" i="14"/>
  <c r="E199" i="14"/>
  <c r="D199" i="14"/>
  <c r="C199" i="14"/>
  <c r="A199" i="14"/>
  <c r="B199" i="14" s="1"/>
  <c r="E198" i="14"/>
  <c r="D198" i="14"/>
  <c r="C198" i="14"/>
  <c r="A198" i="14"/>
  <c r="B198" i="14" s="1"/>
  <c r="E197" i="14"/>
  <c r="D197" i="14"/>
  <c r="C197" i="14"/>
  <c r="A197" i="14"/>
  <c r="B197" i="14" s="1"/>
  <c r="E196" i="14"/>
  <c r="D196" i="14"/>
  <c r="C196" i="14"/>
  <c r="B196" i="14"/>
  <c r="A196" i="14"/>
  <c r="E195" i="14"/>
  <c r="D195" i="14"/>
  <c r="C195" i="14"/>
  <c r="A195" i="14"/>
  <c r="B195" i="14" s="1"/>
  <c r="E194" i="14"/>
  <c r="D194" i="14"/>
  <c r="C194" i="14"/>
  <c r="A194" i="14"/>
  <c r="B194" i="14" s="1"/>
  <c r="E193" i="14"/>
  <c r="D193" i="14"/>
  <c r="C193" i="14"/>
  <c r="A193" i="14"/>
  <c r="B193" i="14" s="1"/>
  <c r="E192" i="14"/>
  <c r="D192" i="14"/>
  <c r="C192" i="14"/>
  <c r="B192" i="14"/>
  <c r="A192" i="14"/>
  <c r="E191" i="14"/>
  <c r="D191" i="14"/>
  <c r="C191" i="14"/>
  <c r="B191" i="14"/>
  <c r="A191" i="14"/>
  <c r="E190" i="14"/>
  <c r="D190" i="14"/>
  <c r="C190" i="14"/>
  <c r="A190" i="14"/>
  <c r="B190" i="14" s="1"/>
  <c r="E189" i="14"/>
  <c r="D189" i="14"/>
  <c r="C189" i="14"/>
  <c r="B189" i="14"/>
  <c r="A189" i="14"/>
  <c r="E188" i="14"/>
  <c r="D188" i="14"/>
  <c r="C188" i="14"/>
  <c r="A188" i="14"/>
  <c r="B188" i="14" s="1"/>
  <c r="E187" i="14"/>
  <c r="D187" i="14"/>
  <c r="C187" i="14"/>
  <c r="A187" i="14"/>
  <c r="B187" i="14" s="1"/>
  <c r="E186" i="14"/>
  <c r="D186" i="14"/>
  <c r="C186" i="14"/>
  <c r="B186" i="14"/>
  <c r="A186" i="14"/>
  <c r="E185" i="14"/>
  <c r="D185" i="14"/>
  <c r="C185" i="14"/>
  <c r="A185" i="14"/>
  <c r="B185" i="14" s="1"/>
  <c r="E184" i="14"/>
  <c r="D184" i="14"/>
  <c r="C184" i="14"/>
  <c r="B184" i="14"/>
  <c r="A184" i="14"/>
  <c r="E183" i="14"/>
  <c r="D183" i="14"/>
  <c r="C183" i="14"/>
  <c r="A183" i="14"/>
  <c r="B183" i="14" s="1"/>
  <c r="E182" i="14"/>
  <c r="D182" i="14"/>
  <c r="C182" i="14"/>
  <c r="A182" i="14"/>
  <c r="B182" i="14" s="1"/>
  <c r="E181" i="14"/>
  <c r="D181" i="14"/>
  <c r="C181" i="14"/>
  <c r="A181" i="14"/>
  <c r="B181" i="14" s="1"/>
  <c r="E180" i="14"/>
  <c r="D180" i="14"/>
  <c r="C180" i="14"/>
  <c r="A180" i="14"/>
  <c r="B180" i="14" s="1"/>
  <c r="E179" i="14"/>
  <c r="D179" i="14"/>
  <c r="C179" i="14"/>
  <c r="A179" i="14"/>
  <c r="B179" i="14" s="1"/>
  <c r="E178" i="14"/>
  <c r="D178" i="14"/>
  <c r="C178" i="14"/>
  <c r="A178" i="14"/>
  <c r="B178" i="14" s="1"/>
  <c r="E177" i="14"/>
  <c r="D177" i="14"/>
  <c r="C177" i="14"/>
  <c r="A177" i="14"/>
  <c r="B177" i="14" s="1"/>
  <c r="E176" i="14"/>
  <c r="D176" i="14"/>
  <c r="C176" i="14"/>
  <c r="B176" i="14"/>
  <c r="A176" i="14"/>
  <c r="E175" i="14"/>
  <c r="D175" i="14"/>
  <c r="C175" i="14"/>
  <c r="A175" i="14"/>
  <c r="B175" i="14" s="1"/>
  <c r="E174" i="14"/>
  <c r="D174" i="14"/>
  <c r="C174" i="14"/>
  <c r="A174" i="14"/>
  <c r="B174" i="14" s="1"/>
  <c r="E173" i="14"/>
  <c r="D173" i="14"/>
  <c r="C173" i="14"/>
  <c r="A173" i="14"/>
  <c r="B173" i="14" s="1"/>
  <c r="E172" i="14"/>
  <c r="D172" i="14"/>
  <c r="C172" i="14"/>
  <c r="A172" i="14"/>
  <c r="B172" i="14" s="1"/>
  <c r="E171" i="14"/>
  <c r="D171" i="14"/>
  <c r="C171" i="14"/>
  <c r="A171" i="14"/>
  <c r="B171" i="14" s="1"/>
  <c r="E170" i="14"/>
  <c r="D170" i="14"/>
  <c r="C170" i="14"/>
  <c r="B170" i="14"/>
  <c r="A170" i="14"/>
  <c r="E169" i="14"/>
  <c r="D169" i="14"/>
  <c r="C169" i="14"/>
  <c r="A169" i="14"/>
  <c r="B169" i="14" s="1"/>
  <c r="E168" i="14"/>
  <c r="D168" i="14"/>
  <c r="C168" i="14"/>
  <c r="B168" i="14"/>
  <c r="A168" i="14"/>
  <c r="E167" i="14"/>
  <c r="D167" i="14"/>
  <c r="C167" i="14"/>
  <c r="A167" i="14"/>
  <c r="B167" i="14" s="1"/>
  <c r="E166" i="14"/>
  <c r="D166" i="14"/>
  <c r="C166" i="14"/>
  <c r="B166" i="14"/>
  <c r="A166" i="14"/>
  <c r="E165" i="14"/>
  <c r="D165" i="14"/>
  <c r="C165" i="14"/>
  <c r="A165" i="14"/>
  <c r="B165" i="14" s="1"/>
  <c r="E164" i="14"/>
  <c r="D164" i="14"/>
  <c r="C164" i="14"/>
  <c r="A164" i="14"/>
  <c r="B164" i="14" s="1"/>
  <c r="E163" i="14"/>
  <c r="D163" i="14"/>
  <c r="C163" i="14"/>
  <c r="A163" i="14"/>
  <c r="B163" i="14" s="1"/>
  <c r="E162" i="14"/>
  <c r="D162" i="14"/>
  <c r="C162" i="14"/>
  <c r="A162" i="14"/>
  <c r="B162" i="14" s="1"/>
  <c r="E161" i="14"/>
  <c r="D161" i="14"/>
  <c r="C161" i="14"/>
  <c r="B161" i="14"/>
  <c r="A161" i="14"/>
  <c r="E160" i="14"/>
  <c r="D160" i="14"/>
  <c r="C160" i="14"/>
  <c r="B160" i="14"/>
  <c r="A160" i="14"/>
  <c r="E159" i="14"/>
  <c r="D159" i="14"/>
  <c r="C159" i="14"/>
  <c r="A159" i="14"/>
  <c r="B159" i="14" s="1"/>
  <c r="E158" i="14"/>
  <c r="D158" i="14"/>
  <c r="C158" i="14"/>
  <c r="A158" i="14"/>
  <c r="B158" i="14" s="1"/>
  <c r="E157" i="14"/>
  <c r="D157" i="14"/>
  <c r="C157" i="14"/>
  <c r="A157" i="14"/>
  <c r="B157" i="14" s="1"/>
  <c r="E156" i="14"/>
  <c r="D156" i="14"/>
  <c r="C156" i="14"/>
  <c r="A156" i="14"/>
  <c r="B156" i="14" s="1"/>
  <c r="E155" i="14"/>
  <c r="D155" i="14"/>
  <c r="C155" i="14"/>
  <c r="A155" i="14"/>
  <c r="B155" i="14" s="1"/>
  <c r="E154" i="14"/>
  <c r="D154" i="14"/>
  <c r="C154" i="14"/>
  <c r="A154" i="14"/>
  <c r="B154" i="14" s="1"/>
  <c r="E153" i="14"/>
  <c r="D153" i="14"/>
  <c r="C153" i="14"/>
  <c r="A153" i="14"/>
  <c r="B153" i="14" s="1"/>
  <c r="E152" i="14"/>
  <c r="D152" i="14"/>
  <c r="C152" i="14"/>
  <c r="B152" i="14"/>
  <c r="A152" i="14"/>
  <c r="E151" i="14"/>
  <c r="D151" i="14"/>
  <c r="C151" i="14"/>
  <c r="A151" i="14"/>
  <c r="B151" i="14" s="1"/>
  <c r="E150" i="14"/>
  <c r="D150" i="14"/>
  <c r="C150" i="14"/>
  <c r="A150" i="14"/>
  <c r="B150" i="14" s="1"/>
  <c r="E149" i="14"/>
  <c r="D149" i="14"/>
  <c r="C149" i="14"/>
  <c r="A149" i="14"/>
  <c r="B149" i="14" s="1"/>
  <c r="E148" i="14"/>
  <c r="D148" i="14"/>
  <c r="C148" i="14"/>
  <c r="B148" i="14"/>
  <c r="A148" i="14"/>
  <c r="E147" i="14"/>
  <c r="D147" i="14"/>
  <c r="C147" i="14"/>
  <c r="A147" i="14"/>
  <c r="B147" i="14" s="1"/>
  <c r="E146" i="14"/>
  <c r="D146" i="14"/>
  <c r="C146" i="14"/>
  <c r="A146" i="14"/>
  <c r="B146" i="14" s="1"/>
  <c r="E145" i="14"/>
  <c r="D145" i="14"/>
  <c r="C145" i="14"/>
  <c r="B145" i="14"/>
  <c r="A145" i="14"/>
  <c r="E144" i="14"/>
  <c r="D144" i="14"/>
  <c r="C144" i="14"/>
  <c r="B144" i="14"/>
  <c r="A144" i="14"/>
  <c r="E143" i="14"/>
  <c r="D143" i="14"/>
  <c r="C143" i="14"/>
  <c r="B143" i="14"/>
  <c r="A143" i="14"/>
  <c r="E142" i="14"/>
  <c r="D142" i="14"/>
  <c r="C142" i="14"/>
  <c r="B142" i="14"/>
  <c r="A142" i="14"/>
  <c r="E141" i="14"/>
  <c r="D141" i="14"/>
  <c r="C141" i="14"/>
  <c r="A141" i="14"/>
  <c r="B141" i="14" s="1"/>
  <c r="E140" i="14"/>
  <c r="D140" i="14"/>
  <c r="C140" i="14"/>
  <c r="B140" i="14"/>
  <c r="A140" i="14"/>
  <c r="E139" i="14"/>
  <c r="D139" i="14"/>
  <c r="C139" i="14"/>
  <c r="A139" i="14"/>
  <c r="B139" i="14" s="1"/>
  <c r="E138" i="14"/>
  <c r="D138" i="14"/>
  <c r="C138" i="14"/>
  <c r="B138" i="14"/>
  <c r="A138" i="14"/>
  <c r="E137" i="14"/>
  <c r="D137" i="14"/>
  <c r="C137" i="14"/>
  <c r="A137" i="14"/>
  <c r="B137" i="14" s="1"/>
  <c r="E136" i="14"/>
  <c r="D136" i="14"/>
  <c r="C136" i="14"/>
  <c r="B136" i="14"/>
  <c r="A136" i="14"/>
  <c r="E135" i="14"/>
  <c r="D135" i="14"/>
  <c r="C135" i="14"/>
  <c r="B135" i="14"/>
  <c r="A135" i="14"/>
  <c r="E134" i="14"/>
  <c r="D134" i="14"/>
  <c r="C134" i="14"/>
  <c r="A134" i="14"/>
  <c r="B134" i="14" s="1"/>
  <c r="E133" i="14"/>
  <c r="D133" i="14"/>
  <c r="C133" i="14"/>
  <c r="A133" i="14"/>
  <c r="B133" i="14" s="1"/>
  <c r="E132" i="14"/>
  <c r="D132" i="14"/>
  <c r="C132" i="14"/>
  <c r="A132" i="14"/>
  <c r="B132" i="14" s="1"/>
  <c r="E131" i="14"/>
  <c r="D131" i="14"/>
  <c r="C131" i="14"/>
  <c r="A131" i="14"/>
  <c r="B131" i="14" s="1"/>
  <c r="E130" i="14"/>
  <c r="D130" i="14"/>
  <c r="C130" i="14"/>
  <c r="A130" i="14"/>
  <c r="B130" i="14" s="1"/>
  <c r="E129" i="14"/>
  <c r="D129" i="14"/>
  <c r="C129" i="14"/>
  <c r="A129" i="14"/>
  <c r="B129" i="14" s="1"/>
  <c r="E128" i="14"/>
  <c r="D128" i="14"/>
  <c r="C128" i="14"/>
  <c r="B128" i="14"/>
  <c r="A128" i="14"/>
  <c r="E127" i="14"/>
  <c r="D127" i="14"/>
  <c r="C127" i="14"/>
  <c r="A127" i="14"/>
  <c r="B127" i="14" s="1"/>
  <c r="E126" i="14"/>
  <c r="D126" i="14"/>
  <c r="C126" i="14"/>
  <c r="A126" i="14"/>
  <c r="B126" i="14" s="1"/>
  <c r="E125" i="14"/>
  <c r="D125" i="14"/>
  <c r="C125" i="14"/>
  <c r="B125" i="14"/>
  <c r="A125" i="14"/>
  <c r="E124" i="14"/>
  <c r="D124" i="14"/>
  <c r="C124" i="14"/>
  <c r="A124" i="14"/>
  <c r="B124" i="14" s="1"/>
  <c r="E123" i="14"/>
  <c r="D123" i="14"/>
  <c r="C123" i="14"/>
  <c r="A123" i="14"/>
  <c r="B123" i="14" s="1"/>
  <c r="E122" i="14"/>
  <c r="D122" i="14"/>
  <c r="C122" i="14"/>
  <c r="A122" i="14"/>
  <c r="B122" i="14" s="1"/>
  <c r="E121" i="14"/>
  <c r="D121" i="14"/>
  <c r="C121" i="14"/>
  <c r="A121" i="14"/>
  <c r="B121" i="14" s="1"/>
  <c r="E120" i="14"/>
  <c r="D120" i="14"/>
  <c r="C120" i="14"/>
  <c r="B120" i="14"/>
  <c r="A120" i="14"/>
  <c r="E119" i="14"/>
  <c r="D119" i="14"/>
  <c r="C119" i="14"/>
  <c r="A119" i="14"/>
  <c r="B119" i="14" s="1"/>
  <c r="E118" i="14"/>
  <c r="D118" i="14"/>
  <c r="C118" i="14"/>
  <c r="A118" i="14"/>
  <c r="B118" i="14" s="1"/>
  <c r="E117" i="14"/>
  <c r="D117" i="14"/>
  <c r="C117" i="14"/>
  <c r="A117" i="14"/>
  <c r="B117" i="14" s="1"/>
  <c r="E116" i="14"/>
  <c r="D116" i="14"/>
  <c r="C116" i="14"/>
  <c r="A116" i="14"/>
  <c r="B116" i="14" s="1"/>
  <c r="E115" i="14"/>
  <c r="D115" i="14"/>
  <c r="C115" i="14"/>
  <c r="A115" i="14"/>
  <c r="B115" i="14" s="1"/>
  <c r="E114" i="14"/>
  <c r="D114" i="14"/>
  <c r="C114" i="14"/>
  <c r="A114" i="14"/>
  <c r="B114" i="14" s="1"/>
  <c r="E113" i="14"/>
  <c r="D113" i="14"/>
  <c r="C113" i="14"/>
  <c r="A113" i="14"/>
  <c r="B113" i="14" s="1"/>
  <c r="E112" i="14"/>
  <c r="D112" i="14"/>
  <c r="C112" i="14"/>
  <c r="B112" i="14"/>
  <c r="A112" i="14"/>
  <c r="E111" i="14"/>
  <c r="D111" i="14"/>
  <c r="C111" i="14"/>
  <c r="B111" i="14"/>
  <c r="A111" i="14"/>
  <c r="E110" i="14"/>
  <c r="D110" i="14"/>
  <c r="C110" i="14"/>
  <c r="A110" i="14"/>
  <c r="B110" i="14" s="1"/>
  <c r="E109" i="14"/>
  <c r="D109" i="14"/>
  <c r="C109" i="14"/>
  <c r="A109" i="14"/>
  <c r="B109" i="14" s="1"/>
  <c r="E108" i="14"/>
  <c r="D108" i="14"/>
  <c r="C108" i="14"/>
  <c r="A108" i="14"/>
  <c r="B108" i="14" s="1"/>
  <c r="E107" i="14"/>
  <c r="D107" i="14"/>
  <c r="C107" i="14"/>
  <c r="A107" i="14"/>
  <c r="B107" i="14" s="1"/>
  <c r="E106" i="14"/>
  <c r="D106" i="14"/>
  <c r="C106" i="14"/>
  <c r="A106" i="14"/>
  <c r="B106" i="14" s="1"/>
  <c r="E105" i="14"/>
  <c r="D105" i="14"/>
  <c r="C105" i="14"/>
  <c r="A105" i="14"/>
  <c r="B105" i="14" s="1"/>
  <c r="E104" i="14"/>
  <c r="D104" i="14"/>
  <c r="C104" i="14"/>
  <c r="B104" i="14"/>
  <c r="A104" i="14"/>
  <c r="E103" i="14"/>
  <c r="D103" i="14"/>
  <c r="C103" i="14"/>
  <c r="A103" i="14"/>
  <c r="B103" i="14" s="1"/>
  <c r="E102" i="14"/>
  <c r="D102" i="14"/>
  <c r="C102" i="14"/>
  <c r="B102" i="14"/>
  <c r="A102" i="14"/>
  <c r="E101" i="14"/>
  <c r="D101" i="14"/>
  <c r="C101" i="14"/>
  <c r="A101" i="14"/>
  <c r="B101" i="14" s="1"/>
  <c r="E100" i="14"/>
  <c r="D100" i="14"/>
  <c r="C100" i="14"/>
  <c r="A100" i="14"/>
  <c r="B100" i="14" s="1"/>
  <c r="E99" i="14"/>
  <c r="D99" i="14"/>
  <c r="C99" i="14"/>
  <c r="A99" i="14"/>
  <c r="B99" i="14" s="1"/>
  <c r="E98" i="14"/>
  <c r="D98" i="14"/>
  <c r="C98" i="14"/>
  <c r="A98" i="14"/>
  <c r="B98" i="14" s="1"/>
  <c r="E97" i="14"/>
  <c r="D97" i="14"/>
  <c r="C97" i="14"/>
  <c r="B97" i="14"/>
  <c r="A97" i="14"/>
  <c r="E96" i="14"/>
  <c r="D96" i="14"/>
  <c r="C96" i="14"/>
  <c r="B96" i="14"/>
  <c r="A96" i="14"/>
  <c r="E95" i="14"/>
  <c r="D95" i="14"/>
  <c r="C95" i="14"/>
  <c r="A95" i="14"/>
  <c r="B95" i="14" s="1"/>
  <c r="E94" i="14"/>
  <c r="D94" i="14"/>
  <c r="C94" i="14"/>
  <c r="A94" i="14"/>
  <c r="B94" i="14" s="1"/>
  <c r="E93" i="14"/>
  <c r="D93" i="14"/>
  <c r="C93" i="14"/>
  <c r="A93" i="14"/>
  <c r="B93" i="14" s="1"/>
  <c r="E92" i="14"/>
  <c r="D92" i="14"/>
  <c r="C92" i="14"/>
  <c r="A92" i="14"/>
  <c r="B92" i="14" s="1"/>
  <c r="E91" i="14"/>
  <c r="D91" i="14"/>
  <c r="C91" i="14"/>
  <c r="A91" i="14"/>
  <c r="B91" i="14" s="1"/>
  <c r="E90" i="14"/>
  <c r="D90" i="14"/>
  <c r="C90" i="14"/>
  <c r="A90" i="14"/>
  <c r="B90" i="14" s="1"/>
  <c r="E89" i="14"/>
  <c r="D89" i="14"/>
  <c r="C89" i="14"/>
  <c r="A89" i="14"/>
  <c r="B89" i="14" s="1"/>
  <c r="E88" i="14"/>
  <c r="D88" i="14"/>
  <c r="C88" i="14"/>
  <c r="B88" i="14"/>
  <c r="A88" i="14"/>
  <c r="E87" i="14"/>
  <c r="D87" i="14"/>
  <c r="C87" i="14"/>
  <c r="A87" i="14"/>
  <c r="B87" i="14" s="1"/>
  <c r="E86" i="14"/>
  <c r="D86" i="14"/>
  <c r="C86" i="14"/>
  <c r="B86" i="14"/>
  <c r="A86" i="14"/>
  <c r="E85" i="14"/>
  <c r="D85" i="14"/>
  <c r="C85" i="14"/>
  <c r="A85" i="14"/>
  <c r="B85" i="14" s="1"/>
  <c r="E84" i="14"/>
  <c r="D84" i="14"/>
  <c r="C84" i="14"/>
  <c r="B84" i="14"/>
  <c r="A84" i="14"/>
  <c r="E83" i="14"/>
  <c r="D83" i="14"/>
  <c r="C83" i="14"/>
  <c r="A83" i="14"/>
  <c r="B83" i="14" s="1"/>
  <c r="E82" i="14"/>
  <c r="D82" i="14"/>
  <c r="C82" i="14"/>
  <c r="A82" i="14"/>
  <c r="B82" i="14" s="1"/>
  <c r="E81" i="14"/>
  <c r="D81" i="14"/>
  <c r="C81" i="14"/>
  <c r="A81" i="14"/>
  <c r="B81" i="14" s="1"/>
  <c r="E80" i="14"/>
  <c r="D80" i="14"/>
  <c r="C80" i="14"/>
  <c r="B80" i="14"/>
  <c r="A80" i="14"/>
  <c r="E79" i="14"/>
  <c r="D79" i="14"/>
  <c r="C79" i="14"/>
  <c r="B79" i="14"/>
  <c r="A79" i="14"/>
  <c r="E78" i="14"/>
  <c r="D78" i="14"/>
  <c r="C78" i="14"/>
  <c r="A78" i="14"/>
  <c r="B78" i="14" s="1"/>
  <c r="E77" i="14"/>
  <c r="D77" i="14"/>
  <c r="C77" i="14"/>
  <c r="A77" i="14"/>
  <c r="B77" i="14" s="1"/>
  <c r="E76" i="14"/>
  <c r="D76" i="14"/>
  <c r="C76" i="14"/>
  <c r="A76" i="14"/>
  <c r="B76" i="14" s="1"/>
  <c r="E75" i="14"/>
  <c r="D75" i="14"/>
  <c r="C75" i="14"/>
  <c r="A75" i="14"/>
  <c r="B75" i="14" s="1"/>
  <c r="E74" i="14"/>
  <c r="D74" i="14"/>
  <c r="C74" i="14"/>
  <c r="A74" i="14"/>
  <c r="B74" i="14" s="1"/>
  <c r="E73" i="14"/>
  <c r="D73" i="14"/>
  <c r="C73" i="14"/>
  <c r="A73" i="14"/>
  <c r="B73" i="14" s="1"/>
  <c r="E72" i="14"/>
  <c r="D72" i="14"/>
  <c r="C72" i="14"/>
  <c r="B72" i="14"/>
  <c r="A72" i="14"/>
  <c r="E71" i="14"/>
  <c r="D71" i="14"/>
  <c r="C71" i="14"/>
  <c r="B71" i="14"/>
  <c r="A71" i="14"/>
  <c r="E70" i="14"/>
  <c r="D70" i="14"/>
  <c r="C70" i="14"/>
  <c r="A70" i="14"/>
  <c r="B70" i="14" s="1"/>
  <c r="E69" i="14"/>
  <c r="D69" i="14"/>
  <c r="C69" i="14"/>
  <c r="B69" i="14"/>
  <c r="A69" i="14"/>
  <c r="E68" i="14"/>
  <c r="D68" i="14"/>
  <c r="C68" i="14"/>
  <c r="A68" i="14"/>
  <c r="B68" i="14" s="1"/>
  <c r="E67" i="14"/>
  <c r="D67" i="14"/>
  <c r="C67" i="14"/>
  <c r="A67" i="14"/>
  <c r="B67" i="14" s="1"/>
  <c r="E66" i="14"/>
  <c r="D66" i="14"/>
  <c r="C66" i="14"/>
  <c r="A66" i="14"/>
  <c r="B66" i="14" s="1"/>
  <c r="E65" i="14"/>
  <c r="D65" i="14"/>
  <c r="C65" i="14"/>
  <c r="A65" i="14"/>
  <c r="B65" i="14" s="1"/>
  <c r="E64" i="14"/>
  <c r="D64" i="14"/>
  <c r="C64" i="14"/>
  <c r="B64" i="14"/>
  <c r="A64" i="14"/>
  <c r="E63" i="14"/>
  <c r="D63" i="14"/>
  <c r="C63" i="14"/>
  <c r="A63" i="14"/>
  <c r="B63" i="14" s="1"/>
  <c r="E62" i="14"/>
  <c r="D62" i="14"/>
  <c r="C62" i="14"/>
  <c r="A62" i="14"/>
  <c r="B62" i="14" s="1"/>
  <c r="E61" i="14"/>
  <c r="D61" i="14"/>
  <c r="C61" i="14"/>
  <c r="B61" i="14"/>
  <c r="A61" i="14"/>
  <c r="E60" i="14"/>
  <c r="D60" i="14"/>
  <c r="C60" i="14"/>
  <c r="A60" i="14"/>
  <c r="B60" i="14" s="1"/>
  <c r="E59" i="14"/>
  <c r="D59" i="14"/>
  <c r="C59" i="14"/>
  <c r="A59" i="14"/>
  <c r="B59" i="14" s="1"/>
  <c r="E58" i="14"/>
  <c r="D58" i="14"/>
  <c r="C58" i="14"/>
  <c r="A58" i="14"/>
  <c r="B58" i="14" s="1"/>
  <c r="E57" i="14"/>
  <c r="D57" i="14"/>
  <c r="C57" i="14"/>
  <c r="A57" i="14"/>
  <c r="B57" i="14" s="1"/>
  <c r="E56" i="14"/>
  <c r="D56" i="14"/>
  <c r="C56" i="14"/>
  <c r="B56" i="14"/>
  <c r="A56" i="14"/>
  <c r="E55" i="14"/>
  <c r="D55" i="14"/>
  <c r="C55" i="14"/>
  <c r="A55" i="14"/>
  <c r="B55" i="14" s="1"/>
  <c r="E54" i="14"/>
  <c r="D54" i="14"/>
  <c r="C54" i="14"/>
  <c r="A54" i="14"/>
  <c r="B54" i="14" s="1"/>
  <c r="E53" i="14"/>
  <c r="D53" i="14"/>
  <c r="C53" i="14"/>
  <c r="A53" i="14"/>
  <c r="B53" i="14" s="1"/>
  <c r="E52" i="14"/>
  <c r="D52" i="14"/>
  <c r="C52" i="14"/>
  <c r="B52" i="14"/>
  <c r="A52" i="14"/>
  <c r="E51" i="14"/>
  <c r="D51" i="14"/>
  <c r="C51" i="14"/>
  <c r="A51" i="14"/>
  <c r="B51" i="14" s="1"/>
  <c r="E50" i="14"/>
  <c r="D50" i="14"/>
  <c r="C50" i="14"/>
  <c r="A50" i="14"/>
  <c r="B50" i="14" s="1"/>
  <c r="E49" i="14"/>
  <c r="D49" i="14"/>
  <c r="C49" i="14"/>
  <c r="A49" i="14"/>
  <c r="B49" i="14" s="1"/>
  <c r="E48" i="14"/>
  <c r="D48" i="14"/>
  <c r="C48" i="14"/>
  <c r="B48" i="14"/>
  <c r="A48" i="14"/>
  <c r="E47" i="14"/>
  <c r="D47" i="14"/>
  <c r="C47" i="14"/>
  <c r="B47" i="14"/>
  <c r="A47" i="14"/>
  <c r="E46" i="14"/>
  <c r="D46" i="14"/>
  <c r="C46" i="14"/>
  <c r="B46" i="14"/>
  <c r="A46" i="14"/>
  <c r="E45" i="14"/>
  <c r="D45" i="14"/>
  <c r="C45" i="14"/>
  <c r="A45" i="14"/>
  <c r="B45" i="14" s="1"/>
  <c r="E44" i="14"/>
  <c r="D44" i="14"/>
  <c r="C44" i="14"/>
  <c r="A44" i="14"/>
  <c r="B44" i="14" s="1"/>
  <c r="E43" i="14"/>
  <c r="D43" i="14"/>
  <c r="C43" i="14"/>
  <c r="A43" i="14"/>
  <c r="B43" i="14" s="1"/>
  <c r="E42" i="14"/>
  <c r="D42" i="14"/>
  <c r="C42" i="14"/>
  <c r="A42" i="14"/>
  <c r="B42" i="14" s="1"/>
  <c r="E41" i="14"/>
  <c r="D41" i="14"/>
  <c r="C41" i="14"/>
  <c r="B41" i="14"/>
  <c r="A41" i="14"/>
  <c r="E40" i="14"/>
  <c r="D40" i="14"/>
  <c r="C40" i="14"/>
  <c r="B40" i="14"/>
  <c r="A40" i="14"/>
  <c r="E39" i="14"/>
  <c r="D39" i="14"/>
  <c r="C39" i="14"/>
  <c r="A39" i="14"/>
  <c r="B39" i="14" s="1"/>
  <c r="E38" i="14"/>
  <c r="D38" i="14"/>
  <c r="C38" i="14"/>
  <c r="A38" i="14"/>
  <c r="B38" i="14" s="1"/>
  <c r="E37" i="14"/>
  <c r="D37" i="14"/>
  <c r="C37" i="14"/>
  <c r="A37" i="14"/>
  <c r="B37" i="14" s="1"/>
  <c r="E36" i="14"/>
  <c r="D36" i="14"/>
  <c r="C36" i="14"/>
  <c r="A36" i="14"/>
  <c r="B36" i="14" s="1"/>
  <c r="E35" i="14"/>
  <c r="D35" i="14"/>
  <c r="C35" i="14"/>
  <c r="A35" i="14"/>
  <c r="B35" i="14" s="1"/>
  <c r="E34" i="14"/>
  <c r="D34" i="14"/>
  <c r="C34" i="14"/>
  <c r="A34" i="14"/>
  <c r="B34" i="14" s="1"/>
  <c r="E33" i="14"/>
  <c r="D33" i="14"/>
  <c r="C33" i="14"/>
  <c r="B33" i="14"/>
  <c r="A33" i="14"/>
  <c r="E32" i="14"/>
  <c r="D32" i="14"/>
  <c r="C32" i="14"/>
  <c r="B32" i="14"/>
  <c r="A32" i="14"/>
  <c r="E31" i="14"/>
  <c r="D31" i="14"/>
  <c r="C31" i="14"/>
  <c r="A31" i="14"/>
  <c r="B31" i="14" s="1"/>
  <c r="E30" i="14"/>
  <c r="D30" i="14"/>
  <c r="C30" i="14"/>
  <c r="A30" i="14"/>
  <c r="B30" i="14" s="1"/>
  <c r="E29" i="14"/>
  <c r="D29" i="14"/>
  <c r="C29" i="14"/>
  <c r="A29" i="14"/>
  <c r="B29" i="14" s="1"/>
  <c r="E28" i="14"/>
  <c r="D28" i="14"/>
  <c r="C28" i="14"/>
  <c r="A28" i="14"/>
  <c r="B28" i="14" s="1"/>
  <c r="E27" i="14"/>
  <c r="D27" i="14"/>
  <c r="C27" i="14"/>
  <c r="A27" i="14"/>
  <c r="B27" i="14" s="1"/>
  <c r="E26" i="14"/>
  <c r="D26" i="14"/>
  <c r="C26" i="14"/>
  <c r="A26" i="14"/>
  <c r="B26" i="14" s="1"/>
  <c r="E25" i="14"/>
  <c r="D25" i="14"/>
  <c r="C25" i="14"/>
  <c r="B25" i="14"/>
  <c r="A25" i="14"/>
  <c r="E24" i="14"/>
  <c r="D24" i="14"/>
  <c r="C24" i="14"/>
  <c r="A24" i="14"/>
  <c r="B24" i="14" s="1"/>
  <c r="E23" i="14"/>
  <c r="D23" i="14"/>
  <c r="C23" i="14"/>
  <c r="A23" i="14"/>
  <c r="B23" i="14" s="1"/>
  <c r="E22" i="14"/>
  <c r="D22" i="14"/>
  <c r="C22" i="14"/>
  <c r="A22" i="14"/>
  <c r="B22" i="14" s="1"/>
  <c r="E21" i="14"/>
  <c r="D21" i="14"/>
  <c r="C21" i="14"/>
  <c r="A21" i="14"/>
  <c r="B21" i="14" s="1"/>
  <c r="E20" i="14"/>
  <c r="D20" i="14"/>
  <c r="C20" i="14"/>
  <c r="A20" i="14"/>
  <c r="B20" i="14" s="1"/>
  <c r="E19" i="14"/>
  <c r="D19" i="14"/>
  <c r="C19" i="14"/>
  <c r="A19" i="14"/>
  <c r="B19" i="14" s="1"/>
  <c r="E18" i="14"/>
  <c r="D18" i="14"/>
  <c r="C18" i="14"/>
  <c r="B18" i="14"/>
  <c r="A18" i="14"/>
  <c r="E17" i="14"/>
  <c r="D17" i="14"/>
  <c r="C17" i="14"/>
  <c r="B17" i="14"/>
  <c r="A17" i="14"/>
  <c r="E16" i="14"/>
  <c r="D16" i="14"/>
  <c r="C16" i="14"/>
  <c r="A16" i="14"/>
  <c r="B16" i="14" s="1"/>
  <c r="E15" i="14"/>
  <c r="D15" i="14"/>
  <c r="C15" i="14"/>
  <c r="A15" i="14"/>
  <c r="B15" i="14" s="1"/>
  <c r="E14" i="14"/>
  <c r="D14" i="14"/>
  <c r="C14" i="14"/>
  <c r="A14" i="14"/>
  <c r="B14" i="14" s="1"/>
  <c r="E13" i="14"/>
  <c r="D13" i="14"/>
  <c r="C13" i="14"/>
  <c r="B13" i="14"/>
  <c r="A13" i="14"/>
  <c r="E12" i="14"/>
  <c r="D12" i="14"/>
  <c r="C12" i="14"/>
  <c r="A12" i="14"/>
  <c r="B12" i="14" s="1"/>
  <c r="E11" i="14"/>
  <c r="D11" i="14"/>
  <c r="C11" i="14"/>
  <c r="A11" i="14"/>
  <c r="B11" i="14" s="1"/>
  <c r="N10" i="14"/>
  <c r="E10" i="14"/>
  <c r="D10" i="14"/>
  <c r="C10" i="14"/>
  <c r="A10" i="14"/>
  <c r="B10" i="14" s="1"/>
  <c r="N9" i="14"/>
  <c r="E9" i="14"/>
  <c r="D9" i="14"/>
  <c r="C9" i="14"/>
  <c r="A9" i="14"/>
  <c r="B9" i="14" s="1"/>
  <c r="O8" i="14"/>
  <c r="N8" i="14"/>
  <c r="E8" i="14"/>
  <c r="D8" i="14"/>
  <c r="C8" i="14"/>
  <c r="A8" i="14"/>
  <c r="B8" i="14" s="1"/>
  <c r="N7" i="14"/>
  <c r="O7" i="14" s="1"/>
  <c r="E7" i="14"/>
  <c r="D7" i="14"/>
  <c r="C7" i="14"/>
  <c r="A7" i="14"/>
  <c r="B7" i="14" s="1"/>
  <c r="N6" i="14"/>
  <c r="E6" i="14"/>
  <c r="D6" i="14"/>
  <c r="C6" i="14"/>
  <c r="B6" i="14"/>
  <c r="A6" i="14"/>
  <c r="E718" i="13"/>
  <c r="D718" i="13"/>
  <c r="C718" i="13"/>
  <c r="B718" i="13"/>
  <c r="A718" i="13"/>
  <c r="E717" i="13"/>
  <c r="D717" i="13"/>
  <c r="C717" i="13"/>
  <c r="A717" i="13"/>
  <c r="B717" i="13" s="1"/>
  <c r="E716" i="13"/>
  <c r="D716" i="13"/>
  <c r="C716" i="13"/>
  <c r="A716" i="13"/>
  <c r="B716" i="13" s="1"/>
  <c r="E715" i="13"/>
  <c r="D715" i="13"/>
  <c r="C715" i="13"/>
  <c r="A715" i="13"/>
  <c r="B715" i="13" s="1"/>
  <c r="E714" i="13"/>
  <c r="D714" i="13"/>
  <c r="C714" i="13"/>
  <c r="A714" i="13"/>
  <c r="B714" i="13" s="1"/>
  <c r="E713" i="13"/>
  <c r="D713" i="13"/>
  <c r="C713" i="13"/>
  <c r="A713" i="13"/>
  <c r="B713" i="13" s="1"/>
  <c r="E712" i="13"/>
  <c r="D712" i="13"/>
  <c r="C712" i="13"/>
  <c r="B712" i="13"/>
  <c r="A712" i="13"/>
  <c r="E711" i="13"/>
  <c r="D711" i="13"/>
  <c r="C711" i="13"/>
  <c r="B711" i="13"/>
  <c r="A711" i="13"/>
  <c r="E710" i="13"/>
  <c r="D710" i="13"/>
  <c r="C710" i="13"/>
  <c r="A710" i="13"/>
  <c r="B710" i="13" s="1"/>
  <c r="E709" i="13"/>
  <c r="D709" i="13"/>
  <c r="C709" i="13"/>
  <c r="A709" i="13"/>
  <c r="B709" i="13" s="1"/>
  <c r="E708" i="13"/>
  <c r="D708" i="13"/>
  <c r="C708" i="13"/>
  <c r="B708" i="13"/>
  <c r="A708" i="13"/>
  <c r="E707" i="13"/>
  <c r="D707" i="13"/>
  <c r="C707" i="13"/>
  <c r="B707" i="13"/>
  <c r="A707" i="13"/>
  <c r="E706" i="13"/>
  <c r="D706" i="13"/>
  <c r="C706" i="13"/>
  <c r="A706" i="13"/>
  <c r="B706" i="13" s="1"/>
  <c r="E705" i="13"/>
  <c r="D705" i="13"/>
  <c r="C705" i="13"/>
  <c r="A705" i="13"/>
  <c r="B705" i="13" s="1"/>
  <c r="E704" i="13"/>
  <c r="D704" i="13"/>
  <c r="C704" i="13"/>
  <c r="A704" i="13"/>
  <c r="B704" i="13" s="1"/>
  <c r="E703" i="13"/>
  <c r="D703" i="13"/>
  <c r="C703" i="13"/>
  <c r="B703" i="13"/>
  <c r="A703" i="13"/>
  <c r="E702" i="13"/>
  <c r="D702" i="13"/>
  <c r="C702" i="13"/>
  <c r="B702" i="13"/>
  <c r="A702" i="13"/>
  <c r="E701" i="13"/>
  <c r="D701" i="13"/>
  <c r="C701" i="13"/>
  <c r="A701" i="13"/>
  <c r="B701" i="13" s="1"/>
  <c r="E700" i="13"/>
  <c r="D700" i="13"/>
  <c r="C700" i="13"/>
  <c r="A700" i="13"/>
  <c r="B700" i="13" s="1"/>
  <c r="E699" i="13"/>
  <c r="D699" i="13"/>
  <c r="C699" i="13"/>
  <c r="A699" i="13"/>
  <c r="B699" i="13" s="1"/>
  <c r="E698" i="13"/>
  <c r="D698" i="13"/>
  <c r="C698" i="13"/>
  <c r="A698" i="13"/>
  <c r="B698" i="13" s="1"/>
  <c r="E697" i="13"/>
  <c r="D697" i="13"/>
  <c r="C697" i="13"/>
  <c r="A697" i="13"/>
  <c r="B697" i="13" s="1"/>
  <c r="E696" i="13"/>
  <c r="D696" i="13"/>
  <c r="C696" i="13"/>
  <c r="B696" i="13"/>
  <c r="A696" i="13"/>
  <c r="E695" i="13"/>
  <c r="D695" i="13"/>
  <c r="C695" i="13"/>
  <c r="B695" i="13"/>
  <c r="A695" i="13"/>
  <c r="E694" i="13"/>
  <c r="D694" i="13"/>
  <c r="C694" i="13"/>
  <c r="A694" i="13"/>
  <c r="B694" i="13" s="1"/>
  <c r="E693" i="13"/>
  <c r="D693" i="13"/>
  <c r="C693" i="13"/>
  <c r="A693" i="13"/>
  <c r="B693" i="13" s="1"/>
  <c r="E692" i="13"/>
  <c r="D692" i="13"/>
  <c r="C692" i="13"/>
  <c r="A692" i="13"/>
  <c r="B692" i="13" s="1"/>
  <c r="E691" i="13"/>
  <c r="D691" i="13"/>
  <c r="C691" i="13"/>
  <c r="B691" i="13"/>
  <c r="A691" i="13"/>
  <c r="E690" i="13"/>
  <c r="D690" i="13"/>
  <c r="C690" i="13"/>
  <c r="A690" i="13"/>
  <c r="B690" i="13" s="1"/>
  <c r="E689" i="13"/>
  <c r="D689" i="13"/>
  <c r="C689" i="13"/>
  <c r="B689" i="13"/>
  <c r="A689" i="13"/>
  <c r="E688" i="13"/>
  <c r="D688" i="13"/>
  <c r="C688" i="13"/>
  <c r="A688" i="13"/>
  <c r="B688" i="13" s="1"/>
  <c r="E687" i="13"/>
  <c r="D687" i="13"/>
  <c r="C687" i="13"/>
  <c r="B687" i="13"/>
  <c r="A687" i="13"/>
  <c r="E686" i="13"/>
  <c r="D686" i="13"/>
  <c r="C686" i="13"/>
  <c r="A686" i="13"/>
  <c r="B686" i="13" s="1"/>
  <c r="E685" i="13"/>
  <c r="D685" i="13"/>
  <c r="C685" i="13"/>
  <c r="A685" i="13"/>
  <c r="B685" i="13" s="1"/>
  <c r="E684" i="13"/>
  <c r="D684" i="13"/>
  <c r="C684" i="13"/>
  <c r="B684" i="13"/>
  <c r="A684" i="13"/>
  <c r="E683" i="13"/>
  <c r="D683" i="13"/>
  <c r="C683" i="13"/>
  <c r="A683" i="13"/>
  <c r="B683" i="13" s="1"/>
  <c r="E682" i="13"/>
  <c r="D682" i="13"/>
  <c r="C682" i="13"/>
  <c r="A682" i="13"/>
  <c r="B682" i="13" s="1"/>
  <c r="E681" i="13"/>
  <c r="D681" i="13"/>
  <c r="C681" i="13"/>
  <c r="A681" i="13"/>
  <c r="B681" i="13" s="1"/>
  <c r="E680" i="13"/>
  <c r="D680" i="13"/>
  <c r="C680" i="13"/>
  <c r="B680" i="13"/>
  <c r="A680" i="13"/>
  <c r="E679" i="13"/>
  <c r="D679" i="13"/>
  <c r="C679" i="13"/>
  <c r="B679" i="13"/>
  <c r="A679" i="13"/>
  <c r="E678" i="13"/>
  <c r="D678" i="13"/>
  <c r="C678" i="13"/>
  <c r="A678" i="13"/>
  <c r="B678" i="13" s="1"/>
  <c r="E677" i="13"/>
  <c r="D677" i="13"/>
  <c r="C677" i="13"/>
  <c r="A677" i="13"/>
  <c r="B677" i="13" s="1"/>
  <c r="E676" i="13"/>
  <c r="D676" i="13"/>
  <c r="C676" i="13"/>
  <c r="B676" i="13"/>
  <c r="A676" i="13"/>
  <c r="E675" i="13"/>
  <c r="D675" i="13"/>
  <c r="C675" i="13"/>
  <c r="B675" i="13"/>
  <c r="A675" i="13"/>
  <c r="E674" i="13"/>
  <c r="D674" i="13"/>
  <c r="C674" i="13"/>
  <c r="A674" i="13"/>
  <c r="B674" i="13" s="1"/>
  <c r="E673" i="13"/>
  <c r="D673" i="13"/>
  <c r="C673" i="13"/>
  <c r="A673" i="13"/>
  <c r="B673" i="13" s="1"/>
  <c r="E672" i="13"/>
  <c r="D672" i="13"/>
  <c r="C672" i="13"/>
  <c r="A672" i="13"/>
  <c r="B672" i="13" s="1"/>
  <c r="E671" i="13"/>
  <c r="D671" i="13"/>
  <c r="C671" i="13"/>
  <c r="B671" i="13"/>
  <c r="A671" i="13"/>
  <c r="E670" i="13"/>
  <c r="D670" i="13"/>
  <c r="C670" i="13"/>
  <c r="B670" i="13"/>
  <c r="A670" i="13"/>
  <c r="E669" i="13"/>
  <c r="D669" i="13"/>
  <c r="C669" i="13"/>
  <c r="A669" i="13"/>
  <c r="B669" i="13" s="1"/>
  <c r="E668" i="13"/>
  <c r="D668" i="13"/>
  <c r="C668" i="13"/>
  <c r="A668" i="13"/>
  <c r="B668" i="13" s="1"/>
  <c r="E667" i="13"/>
  <c r="D667" i="13"/>
  <c r="C667" i="13"/>
  <c r="A667" i="13"/>
  <c r="B667" i="13" s="1"/>
  <c r="E666" i="13"/>
  <c r="D666" i="13"/>
  <c r="C666" i="13"/>
  <c r="A666" i="13"/>
  <c r="B666" i="13" s="1"/>
  <c r="E665" i="13"/>
  <c r="D665" i="13"/>
  <c r="C665" i="13"/>
  <c r="A665" i="13"/>
  <c r="B665" i="13" s="1"/>
  <c r="E664" i="13"/>
  <c r="D664" i="13"/>
  <c r="C664" i="13"/>
  <c r="A664" i="13"/>
  <c r="B664" i="13" s="1"/>
  <c r="E663" i="13"/>
  <c r="D663" i="13"/>
  <c r="C663" i="13"/>
  <c r="B663" i="13"/>
  <c r="A663" i="13"/>
  <c r="E662" i="13"/>
  <c r="D662" i="13"/>
  <c r="C662" i="13"/>
  <c r="A662" i="13"/>
  <c r="B662" i="13" s="1"/>
  <c r="E661" i="13"/>
  <c r="D661" i="13"/>
  <c r="C661" i="13"/>
  <c r="A661" i="13"/>
  <c r="B661" i="13" s="1"/>
  <c r="E660" i="13"/>
  <c r="D660" i="13"/>
  <c r="C660" i="13"/>
  <c r="B660" i="13"/>
  <c r="A660" i="13"/>
  <c r="E659" i="13"/>
  <c r="D659" i="13"/>
  <c r="C659" i="13"/>
  <c r="A659" i="13"/>
  <c r="B659" i="13" s="1"/>
  <c r="E658" i="13"/>
  <c r="D658" i="13"/>
  <c r="C658" i="13"/>
  <c r="A658" i="13"/>
  <c r="B658" i="13" s="1"/>
  <c r="E657" i="13"/>
  <c r="D657" i="13"/>
  <c r="C657" i="13"/>
  <c r="B657" i="13"/>
  <c r="A657" i="13"/>
  <c r="E656" i="13"/>
  <c r="D656" i="13"/>
  <c r="C656" i="13"/>
  <c r="A656" i="13"/>
  <c r="B656" i="13" s="1"/>
  <c r="E655" i="13"/>
  <c r="D655" i="13"/>
  <c r="C655" i="13"/>
  <c r="B655" i="13"/>
  <c r="A655" i="13"/>
  <c r="E654" i="13"/>
  <c r="D654" i="13"/>
  <c r="C654" i="13"/>
  <c r="A654" i="13"/>
  <c r="B654" i="13" s="1"/>
  <c r="E653" i="13"/>
  <c r="D653" i="13"/>
  <c r="C653" i="13"/>
  <c r="A653" i="13"/>
  <c r="B653" i="13" s="1"/>
  <c r="E652" i="13"/>
  <c r="D652" i="13"/>
  <c r="C652" i="13"/>
  <c r="A652" i="13"/>
  <c r="B652" i="13" s="1"/>
  <c r="E651" i="13"/>
  <c r="D651" i="13"/>
  <c r="C651" i="13"/>
  <c r="A651" i="13"/>
  <c r="B651" i="13" s="1"/>
  <c r="E650" i="13"/>
  <c r="D650" i="13"/>
  <c r="C650" i="13"/>
  <c r="A650" i="13"/>
  <c r="B650" i="13" s="1"/>
  <c r="E649" i="13"/>
  <c r="D649" i="13"/>
  <c r="C649" i="13"/>
  <c r="B649" i="13"/>
  <c r="A649" i="13"/>
  <c r="E648" i="13"/>
  <c r="D648" i="13"/>
  <c r="C648" i="13"/>
  <c r="B648" i="13"/>
  <c r="A648" i="13"/>
  <c r="E647" i="13"/>
  <c r="D647" i="13"/>
  <c r="C647" i="13"/>
  <c r="B647" i="13"/>
  <c r="A647" i="13"/>
  <c r="E646" i="13"/>
  <c r="D646" i="13"/>
  <c r="C646" i="13"/>
  <c r="A646" i="13"/>
  <c r="B646" i="13" s="1"/>
  <c r="E645" i="13"/>
  <c r="D645" i="13"/>
  <c r="C645" i="13"/>
  <c r="A645" i="13"/>
  <c r="B645" i="13" s="1"/>
  <c r="E644" i="13"/>
  <c r="D644" i="13"/>
  <c r="C644" i="13"/>
  <c r="A644" i="13"/>
  <c r="B644" i="13" s="1"/>
  <c r="E643" i="13"/>
  <c r="D643" i="13"/>
  <c r="C643" i="13"/>
  <c r="B643" i="13"/>
  <c r="A643" i="13"/>
  <c r="E642" i="13"/>
  <c r="D642" i="13"/>
  <c r="C642" i="13"/>
  <c r="A642" i="13"/>
  <c r="B642" i="13" s="1"/>
  <c r="E641" i="13"/>
  <c r="D641" i="13"/>
  <c r="C641" i="13"/>
  <c r="A641" i="13"/>
  <c r="B641" i="13" s="1"/>
  <c r="E640" i="13"/>
  <c r="D640" i="13"/>
  <c r="C640" i="13"/>
  <c r="B640" i="13"/>
  <c r="A640" i="13"/>
  <c r="E639" i="13"/>
  <c r="D639" i="13"/>
  <c r="C639" i="13"/>
  <c r="B639" i="13"/>
  <c r="A639" i="13"/>
  <c r="E638" i="13"/>
  <c r="D638" i="13"/>
  <c r="C638" i="13"/>
  <c r="B638" i="13"/>
  <c r="A638" i="13"/>
  <c r="E637" i="13"/>
  <c r="D637" i="13"/>
  <c r="C637" i="13"/>
  <c r="A637" i="13"/>
  <c r="B637" i="13" s="1"/>
  <c r="E636" i="13"/>
  <c r="D636" i="13"/>
  <c r="C636" i="13"/>
  <c r="A636" i="13"/>
  <c r="B636" i="13" s="1"/>
  <c r="E635" i="13"/>
  <c r="D635" i="13"/>
  <c r="C635" i="13"/>
  <c r="B635" i="13"/>
  <c r="A635" i="13"/>
  <c r="E634" i="13"/>
  <c r="D634" i="13"/>
  <c r="C634" i="13"/>
  <c r="A634" i="13"/>
  <c r="B634" i="13" s="1"/>
  <c r="E633" i="13"/>
  <c r="D633" i="13"/>
  <c r="C633" i="13"/>
  <c r="B633" i="13"/>
  <c r="A633" i="13"/>
  <c r="E632" i="13"/>
  <c r="D632" i="13"/>
  <c r="C632" i="13"/>
  <c r="B632" i="13"/>
  <c r="A632" i="13"/>
  <c r="E631" i="13"/>
  <c r="D631" i="13"/>
  <c r="C631" i="13"/>
  <c r="B631" i="13"/>
  <c r="A631" i="13"/>
  <c r="E630" i="13"/>
  <c r="D630" i="13"/>
  <c r="C630" i="13"/>
  <c r="B630" i="13"/>
  <c r="A630" i="13"/>
  <c r="E629" i="13"/>
  <c r="D629" i="13"/>
  <c r="C629" i="13"/>
  <c r="A629" i="13"/>
  <c r="B629" i="13" s="1"/>
  <c r="E628" i="13"/>
  <c r="D628" i="13"/>
  <c r="C628" i="13"/>
  <c r="B628" i="13"/>
  <c r="A628" i="13"/>
  <c r="E627" i="13"/>
  <c r="D627" i="13"/>
  <c r="C627" i="13"/>
  <c r="B627" i="13"/>
  <c r="A627" i="13"/>
  <c r="E626" i="13"/>
  <c r="D626" i="13"/>
  <c r="C626" i="13"/>
  <c r="A626" i="13"/>
  <c r="B626" i="13" s="1"/>
  <c r="E625" i="13"/>
  <c r="D625" i="13"/>
  <c r="C625" i="13"/>
  <c r="A625" i="13"/>
  <c r="B625" i="13" s="1"/>
  <c r="E624" i="13"/>
  <c r="D624" i="13"/>
  <c r="C624" i="13"/>
  <c r="A624" i="13"/>
  <c r="B624" i="13" s="1"/>
  <c r="E623" i="13"/>
  <c r="D623" i="13"/>
  <c r="C623" i="13"/>
  <c r="B623" i="13"/>
  <c r="A623" i="13"/>
  <c r="E622" i="13"/>
  <c r="D622" i="13"/>
  <c r="C622" i="13"/>
  <c r="A622" i="13"/>
  <c r="B622" i="13" s="1"/>
  <c r="E621" i="13"/>
  <c r="D621" i="13"/>
  <c r="C621" i="13"/>
  <c r="A621" i="13"/>
  <c r="B621" i="13" s="1"/>
  <c r="E620" i="13"/>
  <c r="D620" i="13"/>
  <c r="C620" i="13"/>
  <c r="A620" i="13"/>
  <c r="B620" i="13" s="1"/>
  <c r="E619" i="13"/>
  <c r="D619" i="13"/>
  <c r="C619" i="13"/>
  <c r="A619" i="13"/>
  <c r="B619" i="13" s="1"/>
  <c r="E618" i="13"/>
  <c r="D618" i="13"/>
  <c r="C618" i="13"/>
  <c r="A618" i="13"/>
  <c r="B618" i="13" s="1"/>
  <c r="E617" i="13"/>
  <c r="D617" i="13"/>
  <c r="C617" i="13"/>
  <c r="A617" i="13"/>
  <c r="B617" i="13" s="1"/>
  <c r="E616" i="13"/>
  <c r="D616" i="13"/>
  <c r="C616" i="13"/>
  <c r="B616" i="13"/>
  <c r="A616" i="13"/>
  <c r="E615" i="13"/>
  <c r="D615" i="13"/>
  <c r="C615" i="13"/>
  <c r="B615" i="13"/>
  <c r="A615" i="13"/>
  <c r="E614" i="13"/>
  <c r="D614" i="13"/>
  <c r="C614" i="13"/>
  <c r="A614" i="13"/>
  <c r="B614" i="13" s="1"/>
  <c r="E613" i="13"/>
  <c r="D613" i="13"/>
  <c r="C613" i="13"/>
  <c r="A613" i="13"/>
  <c r="B613" i="13" s="1"/>
  <c r="E612" i="13"/>
  <c r="D612" i="13"/>
  <c r="C612" i="13"/>
  <c r="A612" i="13"/>
  <c r="B612" i="13" s="1"/>
  <c r="E611" i="13"/>
  <c r="D611" i="13"/>
  <c r="C611" i="13"/>
  <c r="B611" i="13"/>
  <c r="A611" i="13"/>
  <c r="E610" i="13"/>
  <c r="D610" i="13"/>
  <c r="C610" i="13"/>
  <c r="A610" i="13"/>
  <c r="B610" i="13" s="1"/>
  <c r="E609" i="13"/>
  <c r="D609" i="13"/>
  <c r="C609" i="13"/>
  <c r="A609" i="13"/>
  <c r="B609" i="13" s="1"/>
  <c r="E608" i="13"/>
  <c r="D608" i="13"/>
  <c r="C608" i="13"/>
  <c r="B608" i="13"/>
  <c r="A608" i="13"/>
  <c r="E607" i="13"/>
  <c r="D607" i="13"/>
  <c r="C607" i="13"/>
  <c r="B607" i="13"/>
  <c r="A607" i="13"/>
  <c r="E606" i="13"/>
  <c r="D606" i="13"/>
  <c r="C606" i="13"/>
  <c r="B606" i="13"/>
  <c r="A606" i="13"/>
  <c r="E605" i="13"/>
  <c r="D605" i="13"/>
  <c r="C605" i="13"/>
  <c r="A605" i="13"/>
  <c r="B605" i="13" s="1"/>
  <c r="E604" i="13"/>
  <c r="D604" i="13"/>
  <c r="C604" i="13"/>
  <c r="A604" i="13"/>
  <c r="B604" i="13" s="1"/>
  <c r="E603" i="13"/>
  <c r="D603" i="13"/>
  <c r="C603" i="13"/>
  <c r="A603" i="13"/>
  <c r="B603" i="13" s="1"/>
  <c r="E602" i="13"/>
  <c r="D602" i="13"/>
  <c r="C602" i="13"/>
  <c r="A602" i="13"/>
  <c r="B602" i="13" s="1"/>
  <c r="E601" i="13"/>
  <c r="D601" i="13"/>
  <c r="C601" i="13"/>
  <c r="B601" i="13"/>
  <c r="A601" i="13"/>
  <c r="E600" i="13"/>
  <c r="D600" i="13"/>
  <c r="C600" i="13"/>
  <c r="B600" i="13"/>
  <c r="A600" i="13"/>
  <c r="E599" i="13"/>
  <c r="D599" i="13"/>
  <c r="C599" i="13"/>
  <c r="B599" i="13"/>
  <c r="A599" i="13"/>
  <c r="E598" i="13"/>
  <c r="D598" i="13"/>
  <c r="C598" i="13"/>
  <c r="A598" i="13"/>
  <c r="B598" i="13" s="1"/>
  <c r="E597" i="13"/>
  <c r="D597" i="13"/>
  <c r="C597" i="13"/>
  <c r="A597" i="13"/>
  <c r="B597" i="13" s="1"/>
  <c r="E596" i="13"/>
  <c r="D596" i="13"/>
  <c r="C596" i="13"/>
  <c r="B596" i="13"/>
  <c r="A596" i="13"/>
  <c r="E595" i="13"/>
  <c r="D595" i="13"/>
  <c r="C595" i="13"/>
  <c r="B595" i="13"/>
  <c r="A595" i="13"/>
  <c r="E594" i="13"/>
  <c r="D594" i="13"/>
  <c r="C594" i="13"/>
  <c r="A594" i="13"/>
  <c r="B594" i="13" s="1"/>
  <c r="E593" i="13"/>
  <c r="D593" i="13"/>
  <c r="C593" i="13"/>
  <c r="A593" i="13"/>
  <c r="B593" i="13" s="1"/>
  <c r="E592" i="13"/>
  <c r="D592" i="13"/>
  <c r="C592" i="13"/>
  <c r="A592" i="13"/>
  <c r="B592" i="13" s="1"/>
  <c r="E591" i="13"/>
  <c r="D591" i="13"/>
  <c r="C591" i="13"/>
  <c r="B591" i="13"/>
  <c r="A591" i="13"/>
  <c r="E590" i="13"/>
  <c r="D590" i="13"/>
  <c r="C590" i="13"/>
  <c r="B590" i="13"/>
  <c r="A590" i="13"/>
  <c r="E589" i="13"/>
  <c r="D589" i="13"/>
  <c r="C589" i="13"/>
  <c r="A589" i="13"/>
  <c r="B589" i="13" s="1"/>
  <c r="E588" i="13"/>
  <c r="D588" i="13"/>
  <c r="C588" i="13"/>
  <c r="B588" i="13"/>
  <c r="A588" i="13"/>
  <c r="E587" i="13"/>
  <c r="D587" i="13"/>
  <c r="C587" i="13"/>
  <c r="A587" i="13"/>
  <c r="B587" i="13" s="1"/>
  <c r="E586" i="13"/>
  <c r="D586" i="13"/>
  <c r="C586" i="13"/>
  <c r="A586" i="13"/>
  <c r="B586" i="13" s="1"/>
  <c r="E585" i="13"/>
  <c r="D585" i="13"/>
  <c r="C585" i="13"/>
  <c r="A585" i="13"/>
  <c r="B585" i="13" s="1"/>
  <c r="E584" i="13"/>
  <c r="D584" i="13"/>
  <c r="C584" i="13"/>
  <c r="B584" i="13"/>
  <c r="A584" i="13"/>
  <c r="E583" i="13"/>
  <c r="D583" i="13"/>
  <c r="C583" i="13"/>
  <c r="B583" i="13"/>
  <c r="A583" i="13"/>
  <c r="E582" i="13"/>
  <c r="D582" i="13"/>
  <c r="C582" i="13"/>
  <c r="A582" i="13"/>
  <c r="B582" i="13" s="1"/>
  <c r="E581" i="13"/>
  <c r="D581" i="13"/>
  <c r="C581" i="13"/>
  <c r="A581" i="13"/>
  <c r="B581" i="13" s="1"/>
  <c r="E580" i="13"/>
  <c r="D580" i="13"/>
  <c r="C580" i="13"/>
  <c r="A580" i="13"/>
  <c r="B580" i="13" s="1"/>
  <c r="E579" i="13"/>
  <c r="D579" i="13"/>
  <c r="C579" i="13"/>
  <c r="B579" i="13"/>
  <c r="A579" i="13"/>
  <c r="E578" i="13"/>
  <c r="D578" i="13"/>
  <c r="C578" i="13"/>
  <c r="A578" i="13"/>
  <c r="B578" i="13" s="1"/>
  <c r="E577" i="13"/>
  <c r="D577" i="13"/>
  <c r="C577" i="13"/>
  <c r="A577" i="13"/>
  <c r="B577" i="13" s="1"/>
  <c r="E576" i="13"/>
  <c r="D576" i="13"/>
  <c r="C576" i="13"/>
  <c r="A576" i="13"/>
  <c r="B576" i="13" s="1"/>
  <c r="E575" i="13"/>
  <c r="D575" i="13"/>
  <c r="C575" i="13"/>
  <c r="B575" i="13"/>
  <c r="A575" i="13"/>
  <c r="E574" i="13"/>
  <c r="D574" i="13"/>
  <c r="C574" i="13"/>
  <c r="B574" i="13"/>
  <c r="A574" i="13"/>
  <c r="E573" i="13"/>
  <c r="D573" i="13"/>
  <c r="C573" i="13"/>
  <c r="A573" i="13"/>
  <c r="B573" i="13" s="1"/>
  <c r="E572" i="13"/>
  <c r="D572" i="13"/>
  <c r="C572" i="13"/>
  <c r="A572" i="13"/>
  <c r="B572" i="13" s="1"/>
  <c r="E571" i="13"/>
  <c r="D571" i="13"/>
  <c r="C571" i="13"/>
  <c r="B571" i="13"/>
  <c r="A571" i="13"/>
  <c r="E570" i="13"/>
  <c r="D570" i="13"/>
  <c r="C570" i="13"/>
  <c r="A570" i="13"/>
  <c r="B570" i="13" s="1"/>
  <c r="E569" i="13"/>
  <c r="D569" i="13"/>
  <c r="C569" i="13"/>
  <c r="A569" i="13"/>
  <c r="B569" i="13" s="1"/>
  <c r="E568" i="13"/>
  <c r="D568" i="13"/>
  <c r="C568" i="13"/>
  <c r="B568" i="13"/>
  <c r="A568" i="13"/>
  <c r="E567" i="13"/>
  <c r="D567" i="13"/>
  <c r="C567" i="13"/>
  <c r="B567" i="13"/>
  <c r="A567" i="13"/>
  <c r="E566" i="13"/>
  <c r="D566" i="13"/>
  <c r="C566" i="13"/>
  <c r="B566" i="13"/>
  <c r="A566" i="13"/>
  <c r="E565" i="13"/>
  <c r="D565" i="13"/>
  <c r="C565" i="13"/>
  <c r="A565" i="13"/>
  <c r="B565" i="13" s="1"/>
  <c r="E564" i="13"/>
  <c r="D564" i="13"/>
  <c r="C564" i="13"/>
  <c r="A564" i="13"/>
  <c r="B564" i="13" s="1"/>
  <c r="E563" i="13"/>
  <c r="D563" i="13"/>
  <c r="C563" i="13"/>
  <c r="B563" i="13"/>
  <c r="A563" i="13"/>
  <c r="E562" i="13"/>
  <c r="D562" i="13"/>
  <c r="C562" i="13"/>
  <c r="A562" i="13"/>
  <c r="B562" i="13" s="1"/>
  <c r="E561" i="13"/>
  <c r="D561" i="13"/>
  <c r="C561" i="13"/>
  <c r="A561" i="13"/>
  <c r="B561" i="13" s="1"/>
  <c r="E560" i="13"/>
  <c r="D560" i="13"/>
  <c r="C560" i="13"/>
  <c r="A560" i="13"/>
  <c r="B560" i="13" s="1"/>
  <c r="E559" i="13"/>
  <c r="D559" i="13"/>
  <c r="C559" i="13"/>
  <c r="B559" i="13"/>
  <c r="A559" i="13"/>
  <c r="E558" i="13"/>
  <c r="D558" i="13"/>
  <c r="C558" i="13"/>
  <c r="A558" i="13"/>
  <c r="B558" i="13" s="1"/>
  <c r="E557" i="13"/>
  <c r="D557" i="13"/>
  <c r="C557" i="13"/>
  <c r="A557" i="13"/>
  <c r="B557" i="13" s="1"/>
  <c r="E556" i="13"/>
  <c r="D556" i="13"/>
  <c r="C556" i="13"/>
  <c r="B556" i="13"/>
  <c r="A556" i="13"/>
  <c r="E555" i="13"/>
  <c r="D555" i="13"/>
  <c r="C555" i="13"/>
  <c r="A555" i="13"/>
  <c r="B555" i="13" s="1"/>
  <c r="E554" i="13"/>
  <c r="D554" i="13"/>
  <c r="C554" i="13"/>
  <c r="A554" i="13"/>
  <c r="B554" i="13" s="1"/>
  <c r="E553" i="13"/>
  <c r="D553" i="13"/>
  <c r="C553" i="13"/>
  <c r="B553" i="13"/>
  <c r="A553" i="13"/>
  <c r="E552" i="13"/>
  <c r="D552" i="13"/>
  <c r="C552" i="13"/>
  <c r="B552" i="13"/>
  <c r="A552" i="13"/>
  <c r="E551" i="13"/>
  <c r="D551" i="13"/>
  <c r="C551" i="13"/>
  <c r="B551" i="13"/>
  <c r="A551" i="13"/>
  <c r="E550" i="13"/>
  <c r="D550" i="13"/>
  <c r="C550" i="13"/>
  <c r="A550" i="13"/>
  <c r="B550" i="13" s="1"/>
  <c r="E549" i="13"/>
  <c r="D549" i="13"/>
  <c r="C549" i="13"/>
  <c r="A549" i="13"/>
  <c r="B549" i="13" s="1"/>
  <c r="E548" i="13"/>
  <c r="D548" i="13"/>
  <c r="C548" i="13"/>
  <c r="B548" i="13"/>
  <c r="A548" i="13"/>
  <c r="E547" i="13"/>
  <c r="D547" i="13"/>
  <c r="C547" i="13"/>
  <c r="B547" i="13"/>
  <c r="A547" i="13"/>
  <c r="E546" i="13"/>
  <c r="D546" i="13"/>
  <c r="C546" i="13"/>
  <c r="A546" i="13"/>
  <c r="B546" i="13" s="1"/>
  <c r="E545" i="13"/>
  <c r="D545" i="13"/>
  <c r="C545" i="13"/>
  <c r="A545" i="13"/>
  <c r="B545" i="13" s="1"/>
  <c r="E544" i="13"/>
  <c r="D544" i="13"/>
  <c r="C544" i="13"/>
  <c r="A544" i="13"/>
  <c r="B544" i="13" s="1"/>
  <c r="E543" i="13"/>
  <c r="D543" i="13"/>
  <c r="C543" i="13"/>
  <c r="B543" i="13"/>
  <c r="A543" i="13"/>
  <c r="E542" i="13"/>
  <c r="D542" i="13"/>
  <c r="C542" i="13"/>
  <c r="B542" i="13"/>
  <c r="A542" i="13"/>
  <c r="E541" i="13"/>
  <c r="D541" i="13"/>
  <c r="C541" i="13"/>
  <c r="A541" i="13"/>
  <c r="B541" i="13" s="1"/>
  <c r="E540" i="13"/>
  <c r="D540" i="13"/>
  <c r="C540" i="13"/>
  <c r="A540" i="13"/>
  <c r="B540" i="13" s="1"/>
  <c r="E539" i="13"/>
  <c r="D539" i="13"/>
  <c r="C539" i="13"/>
  <c r="B539" i="13"/>
  <c r="A539" i="13"/>
  <c r="E538" i="13"/>
  <c r="D538" i="13"/>
  <c r="C538" i="13"/>
  <c r="A538" i="13"/>
  <c r="B538" i="13" s="1"/>
  <c r="E537" i="13"/>
  <c r="D537" i="13"/>
  <c r="C537" i="13"/>
  <c r="A537" i="13"/>
  <c r="B537" i="13" s="1"/>
  <c r="E536" i="13"/>
  <c r="D536" i="13"/>
  <c r="C536" i="13"/>
  <c r="A536" i="13"/>
  <c r="B536" i="13" s="1"/>
  <c r="E535" i="13"/>
  <c r="D535" i="13"/>
  <c r="C535" i="13"/>
  <c r="B535" i="13"/>
  <c r="A535" i="13"/>
  <c r="E534" i="13"/>
  <c r="D534" i="13"/>
  <c r="C534" i="13"/>
  <c r="B534" i="13"/>
  <c r="A534" i="13"/>
  <c r="E533" i="13"/>
  <c r="D533" i="13"/>
  <c r="C533" i="13"/>
  <c r="A533" i="13"/>
  <c r="B533" i="13" s="1"/>
  <c r="E532" i="13"/>
  <c r="D532" i="13"/>
  <c r="C532" i="13"/>
  <c r="A532" i="13"/>
  <c r="B532" i="13" s="1"/>
  <c r="E531" i="13"/>
  <c r="D531" i="13"/>
  <c r="C531" i="13"/>
  <c r="A531" i="13"/>
  <c r="B531" i="13" s="1"/>
  <c r="E530" i="13"/>
  <c r="D530" i="13"/>
  <c r="C530" i="13"/>
  <c r="A530" i="13"/>
  <c r="B530" i="13" s="1"/>
  <c r="E529" i="13"/>
  <c r="D529" i="13"/>
  <c r="C529" i="13"/>
  <c r="B529" i="13"/>
  <c r="A529" i="13"/>
  <c r="E528" i="13"/>
  <c r="D528" i="13"/>
  <c r="C528" i="13"/>
  <c r="A528" i="13"/>
  <c r="B528" i="13" s="1"/>
  <c r="E527" i="13"/>
  <c r="D527" i="13"/>
  <c r="C527" i="13"/>
  <c r="B527" i="13"/>
  <c r="A527" i="13"/>
  <c r="E526" i="13"/>
  <c r="D526" i="13"/>
  <c r="C526" i="13"/>
  <c r="B526" i="13"/>
  <c r="A526" i="13"/>
  <c r="E525" i="13"/>
  <c r="D525" i="13"/>
  <c r="C525" i="13"/>
  <c r="A525" i="13"/>
  <c r="B525" i="13" s="1"/>
  <c r="E524" i="13"/>
  <c r="D524" i="13"/>
  <c r="C524" i="13"/>
  <c r="A524" i="13"/>
  <c r="B524" i="13" s="1"/>
  <c r="E523" i="13"/>
  <c r="D523" i="13"/>
  <c r="C523" i="13"/>
  <c r="A523" i="13"/>
  <c r="B523" i="13" s="1"/>
  <c r="E522" i="13"/>
  <c r="D522" i="13"/>
  <c r="C522" i="13"/>
  <c r="A522" i="13"/>
  <c r="B522" i="13" s="1"/>
  <c r="E521" i="13"/>
  <c r="D521" i="13"/>
  <c r="C521" i="13"/>
  <c r="B521" i="13"/>
  <c r="A521" i="13"/>
  <c r="E520" i="13"/>
  <c r="D520" i="13"/>
  <c r="C520" i="13"/>
  <c r="B520" i="13"/>
  <c r="A520" i="13"/>
  <c r="E519" i="13"/>
  <c r="D519" i="13"/>
  <c r="C519" i="13"/>
  <c r="B519" i="13"/>
  <c r="A519" i="13"/>
  <c r="E518" i="13"/>
  <c r="D518" i="13"/>
  <c r="C518" i="13"/>
  <c r="A518" i="13"/>
  <c r="B518" i="13" s="1"/>
  <c r="E517" i="13"/>
  <c r="D517" i="13"/>
  <c r="C517" i="13"/>
  <c r="A517" i="13"/>
  <c r="B517" i="13" s="1"/>
  <c r="E516" i="13"/>
  <c r="D516" i="13"/>
  <c r="C516" i="13"/>
  <c r="A516" i="13"/>
  <c r="B516" i="13" s="1"/>
  <c r="E515" i="13"/>
  <c r="D515" i="13"/>
  <c r="C515" i="13"/>
  <c r="B515" i="13"/>
  <c r="A515" i="13"/>
  <c r="E514" i="13"/>
  <c r="D514" i="13"/>
  <c r="C514" i="13"/>
  <c r="A514" i="13"/>
  <c r="B514" i="13" s="1"/>
  <c r="E513" i="13"/>
  <c r="D513" i="13"/>
  <c r="C513" i="13"/>
  <c r="A513" i="13"/>
  <c r="B513" i="13" s="1"/>
  <c r="E512" i="13"/>
  <c r="D512" i="13"/>
  <c r="C512" i="13"/>
  <c r="A512" i="13"/>
  <c r="B512" i="13" s="1"/>
  <c r="E511" i="13"/>
  <c r="D511" i="13"/>
  <c r="C511" i="13"/>
  <c r="B511" i="13"/>
  <c r="A511" i="13"/>
  <c r="E510" i="13"/>
  <c r="D510" i="13"/>
  <c r="C510" i="13"/>
  <c r="B510" i="13"/>
  <c r="A510" i="13"/>
  <c r="E509" i="13"/>
  <c r="D509" i="13"/>
  <c r="C509" i="13"/>
  <c r="A509" i="13"/>
  <c r="B509" i="13" s="1"/>
  <c r="E508" i="13"/>
  <c r="D508" i="13"/>
  <c r="C508" i="13"/>
  <c r="A508" i="13"/>
  <c r="B508" i="13" s="1"/>
  <c r="E507" i="13"/>
  <c r="D507" i="13"/>
  <c r="C507" i="13"/>
  <c r="B507" i="13"/>
  <c r="A507" i="13"/>
  <c r="E506" i="13"/>
  <c r="D506" i="13"/>
  <c r="C506" i="13"/>
  <c r="A506" i="13"/>
  <c r="B506" i="13" s="1"/>
  <c r="E505" i="13"/>
  <c r="D505" i="13"/>
  <c r="C505" i="13"/>
  <c r="A505" i="13"/>
  <c r="B505" i="13" s="1"/>
  <c r="E504" i="13"/>
  <c r="D504" i="13"/>
  <c r="C504" i="13"/>
  <c r="A504" i="13"/>
  <c r="B504" i="13" s="1"/>
  <c r="E503" i="13"/>
  <c r="D503" i="13"/>
  <c r="C503" i="13"/>
  <c r="B503" i="13"/>
  <c r="A503" i="13"/>
  <c r="E502" i="13"/>
  <c r="D502" i="13"/>
  <c r="C502" i="13"/>
  <c r="B502" i="13"/>
  <c r="A502" i="13"/>
  <c r="E501" i="13"/>
  <c r="D501" i="13"/>
  <c r="C501" i="13"/>
  <c r="A501" i="13"/>
  <c r="B501" i="13" s="1"/>
  <c r="E500" i="13"/>
  <c r="D500" i="13"/>
  <c r="C500" i="13"/>
  <c r="A500" i="13"/>
  <c r="B500" i="13" s="1"/>
  <c r="E499" i="13"/>
  <c r="D499" i="13"/>
  <c r="C499" i="13"/>
  <c r="A499" i="13"/>
  <c r="B499" i="13" s="1"/>
  <c r="E498" i="13"/>
  <c r="D498" i="13"/>
  <c r="C498" i="13"/>
  <c r="A498" i="13"/>
  <c r="B498" i="13" s="1"/>
  <c r="E497" i="13"/>
  <c r="D497" i="13"/>
  <c r="C497" i="13"/>
  <c r="A497" i="13"/>
  <c r="B497" i="13" s="1"/>
  <c r="E496" i="13"/>
  <c r="D496" i="13"/>
  <c r="C496" i="13"/>
  <c r="A496" i="13"/>
  <c r="B496" i="13" s="1"/>
  <c r="E495" i="13"/>
  <c r="D495" i="13"/>
  <c r="C495" i="13"/>
  <c r="B495" i="13"/>
  <c r="A495" i="13"/>
  <c r="E494" i="13"/>
  <c r="D494" i="13"/>
  <c r="C494" i="13"/>
  <c r="B494" i="13"/>
  <c r="A494" i="13"/>
  <c r="E493" i="13"/>
  <c r="D493" i="13"/>
  <c r="C493" i="13"/>
  <c r="A493" i="13"/>
  <c r="B493" i="13" s="1"/>
  <c r="E492" i="13"/>
  <c r="D492" i="13"/>
  <c r="C492" i="13"/>
  <c r="A492" i="13"/>
  <c r="B492" i="13" s="1"/>
  <c r="E491" i="13"/>
  <c r="D491" i="13"/>
  <c r="C491" i="13"/>
  <c r="A491" i="13"/>
  <c r="B491" i="13" s="1"/>
  <c r="E490" i="13"/>
  <c r="D490" i="13"/>
  <c r="C490" i="13"/>
  <c r="A490" i="13"/>
  <c r="B490" i="13" s="1"/>
  <c r="E489" i="13"/>
  <c r="D489" i="13"/>
  <c r="C489" i="13"/>
  <c r="A489" i="13"/>
  <c r="B489" i="13" s="1"/>
  <c r="E488" i="13"/>
  <c r="D488" i="13"/>
  <c r="C488" i="13"/>
  <c r="B488" i="13"/>
  <c r="A488" i="13"/>
  <c r="E487" i="13"/>
  <c r="D487" i="13"/>
  <c r="C487" i="13"/>
  <c r="B487" i="13"/>
  <c r="A487" i="13"/>
  <c r="E486" i="13"/>
  <c r="D486" i="13"/>
  <c r="C486" i="13"/>
  <c r="A486" i="13"/>
  <c r="B486" i="13" s="1"/>
  <c r="E485" i="13"/>
  <c r="D485" i="13"/>
  <c r="C485" i="13"/>
  <c r="A485" i="13"/>
  <c r="B485" i="13" s="1"/>
  <c r="E484" i="13"/>
  <c r="D484" i="13"/>
  <c r="C484" i="13"/>
  <c r="B484" i="13"/>
  <c r="A484" i="13"/>
  <c r="E483" i="13"/>
  <c r="D483" i="13"/>
  <c r="C483" i="13"/>
  <c r="B483" i="13"/>
  <c r="A483" i="13"/>
  <c r="E482" i="13"/>
  <c r="D482" i="13"/>
  <c r="C482" i="13"/>
  <c r="A482" i="13"/>
  <c r="B482" i="13" s="1"/>
  <c r="E481" i="13"/>
  <c r="D481" i="13"/>
  <c r="C481" i="13"/>
  <c r="B481" i="13"/>
  <c r="A481" i="13"/>
  <c r="E480" i="13"/>
  <c r="D480" i="13"/>
  <c r="C480" i="13"/>
  <c r="B480" i="13"/>
  <c r="A480" i="13"/>
  <c r="E479" i="13"/>
  <c r="D479" i="13"/>
  <c r="C479" i="13"/>
  <c r="B479" i="13"/>
  <c r="A479" i="13"/>
  <c r="E478" i="13"/>
  <c r="D478" i="13"/>
  <c r="C478" i="13"/>
  <c r="B478" i="13"/>
  <c r="A478" i="13"/>
  <c r="E477" i="13"/>
  <c r="D477" i="13"/>
  <c r="C477" i="13"/>
  <c r="A477" i="13"/>
  <c r="B477" i="13" s="1"/>
  <c r="E476" i="13"/>
  <c r="D476" i="13"/>
  <c r="C476" i="13"/>
  <c r="B476" i="13"/>
  <c r="A476" i="13"/>
  <c r="E475" i="13"/>
  <c r="D475" i="13"/>
  <c r="C475" i="13"/>
  <c r="B475" i="13"/>
  <c r="A475" i="13"/>
  <c r="E474" i="13"/>
  <c r="D474" i="13"/>
  <c r="C474" i="13"/>
  <c r="A474" i="13"/>
  <c r="B474" i="13" s="1"/>
  <c r="E473" i="13"/>
  <c r="D473" i="13"/>
  <c r="C473" i="13"/>
  <c r="A473" i="13"/>
  <c r="B473" i="13" s="1"/>
  <c r="E472" i="13"/>
  <c r="D472" i="13"/>
  <c r="C472" i="13"/>
  <c r="B472" i="13"/>
  <c r="A472" i="13"/>
  <c r="E471" i="13"/>
  <c r="D471" i="13"/>
  <c r="C471" i="13"/>
  <c r="B471" i="13"/>
  <c r="A471" i="13"/>
  <c r="E470" i="13"/>
  <c r="D470" i="13"/>
  <c r="C470" i="13"/>
  <c r="B470" i="13"/>
  <c r="A470" i="13"/>
  <c r="E469" i="13"/>
  <c r="D469" i="13"/>
  <c r="C469" i="13"/>
  <c r="A469" i="13"/>
  <c r="B469" i="13" s="1"/>
  <c r="E468" i="13"/>
  <c r="D468" i="13"/>
  <c r="C468" i="13"/>
  <c r="A468" i="13"/>
  <c r="B468" i="13" s="1"/>
  <c r="E467" i="13"/>
  <c r="D467" i="13"/>
  <c r="C467" i="13"/>
  <c r="B467" i="13"/>
  <c r="A467" i="13"/>
  <c r="E466" i="13"/>
  <c r="D466" i="13"/>
  <c r="C466" i="13"/>
  <c r="A466" i="13"/>
  <c r="B466" i="13" s="1"/>
  <c r="E465" i="13"/>
  <c r="D465" i="13"/>
  <c r="C465" i="13"/>
  <c r="B465" i="13"/>
  <c r="A465" i="13"/>
  <c r="E464" i="13"/>
  <c r="D464" i="13"/>
  <c r="C464" i="13"/>
  <c r="A464" i="13"/>
  <c r="B464" i="13" s="1"/>
  <c r="E463" i="13"/>
  <c r="D463" i="13"/>
  <c r="C463" i="13"/>
  <c r="B463" i="13"/>
  <c r="A463" i="13"/>
  <c r="E462" i="13"/>
  <c r="D462" i="13"/>
  <c r="C462" i="13"/>
  <c r="B462" i="13"/>
  <c r="A462" i="13"/>
  <c r="E461" i="13"/>
  <c r="D461" i="13"/>
  <c r="C461" i="13"/>
  <c r="A461" i="13"/>
  <c r="B461" i="13" s="1"/>
  <c r="E460" i="13"/>
  <c r="D460" i="13"/>
  <c r="C460" i="13"/>
  <c r="B460" i="13"/>
  <c r="A460" i="13"/>
  <c r="E459" i="13"/>
  <c r="D459" i="13"/>
  <c r="C459" i="13"/>
  <c r="A459" i="13"/>
  <c r="B459" i="13" s="1"/>
  <c r="E458" i="13"/>
  <c r="D458" i="13"/>
  <c r="C458" i="13"/>
  <c r="A458" i="13"/>
  <c r="B458" i="13" s="1"/>
  <c r="E457" i="13"/>
  <c r="D457" i="13"/>
  <c r="C457" i="13"/>
  <c r="B457" i="13"/>
  <c r="A457" i="13"/>
  <c r="E456" i="13"/>
  <c r="D456" i="13"/>
  <c r="C456" i="13"/>
  <c r="B456" i="13"/>
  <c r="A456" i="13"/>
  <c r="E455" i="13"/>
  <c r="D455" i="13"/>
  <c r="C455" i="13"/>
  <c r="B455" i="13"/>
  <c r="A455" i="13"/>
  <c r="E454" i="13"/>
  <c r="D454" i="13"/>
  <c r="C454" i="13"/>
  <c r="A454" i="13"/>
  <c r="B454" i="13" s="1"/>
  <c r="E453" i="13"/>
  <c r="D453" i="13"/>
  <c r="C453" i="13"/>
  <c r="B453" i="13"/>
  <c r="A453" i="13"/>
  <c r="E452" i="13"/>
  <c r="D452" i="13"/>
  <c r="C452" i="13"/>
  <c r="B452" i="13"/>
  <c r="A452" i="13"/>
  <c r="E451" i="13"/>
  <c r="D451" i="13"/>
  <c r="C451" i="13"/>
  <c r="B451" i="13"/>
  <c r="A451" i="13"/>
  <c r="E450" i="13"/>
  <c r="D450" i="13"/>
  <c r="C450" i="13"/>
  <c r="B450" i="13"/>
  <c r="A450" i="13"/>
  <c r="E449" i="13"/>
  <c r="D449" i="13"/>
  <c r="C449" i="13"/>
  <c r="A449" i="13"/>
  <c r="B449" i="13" s="1"/>
  <c r="E448" i="13"/>
  <c r="D448" i="13"/>
  <c r="C448" i="13"/>
  <c r="B448" i="13"/>
  <c r="A448" i="13"/>
  <c r="E447" i="13"/>
  <c r="D447" i="13"/>
  <c r="C447" i="13"/>
  <c r="A447" i="13"/>
  <c r="B447" i="13" s="1"/>
  <c r="E446" i="13"/>
  <c r="D446" i="13"/>
  <c r="C446" i="13"/>
  <c r="A446" i="13"/>
  <c r="B446" i="13" s="1"/>
  <c r="E445" i="13"/>
  <c r="D445" i="13"/>
  <c r="C445" i="13"/>
  <c r="A445" i="13"/>
  <c r="B445" i="13" s="1"/>
  <c r="E444" i="13"/>
  <c r="D444" i="13"/>
  <c r="C444" i="13"/>
  <c r="A444" i="13"/>
  <c r="B444" i="13" s="1"/>
  <c r="E443" i="13"/>
  <c r="D443" i="13"/>
  <c r="C443" i="13"/>
  <c r="B443" i="13"/>
  <c r="A443" i="13"/>
  <c r="E442" i="13"/>
  <c r="D442" i="13"/>
  <c r="C442" i="13"/>
  <c r="A442" i="13"/>
  <c r="B442" i="13" s="1"/>
  <c r="E441" i="13"/>
  <c r="D441" i="13"/>
  <c r="C441" i="13"/>
  <c r="A441" i="13"/>
  <c r="B441" i="13" s="1"/>
  <c r="E440" i="13"/>
  <c r="D440" i="13"/>
  <c r="C440" i="13"/>
  <c r="B440" i="13"/>
  <c r="A440" i="13"/>
  <c r="E439" i="13"/>
  <c r="D439" i="13"/>
  <c r="C439" i="13"/>
  <c r="B439" i="13"/>
  <c r="A439" i="13"/>
  <c r="E438" i="13"/>
  <c r="D438" i="13"/>
  <c r="C438" i="13"/>
  <c r="A438" i="13"/>
  <c r="B438" i="13" s="1"/>
  <c r="E437" i="13"/>
  <c r="D437" i="13"/>
  <c r="C437" i="13"/>
  <c r="A437" i="13"/>
  <c r="B437" i="13" s="1"/>
  <c r="E436" i="13"/>
  <c r="D436" i="13"/>
  <c r="C436" i="13"/>
  <c r="A436" i="13"/>
  <c r="B436" i="13" s="1"/>
  <c r="E435" i="13"/>
  <c r="D435" i="13"/>
  <c r="C435" i="13"/>
  <c r="B435" i="13"/>
  <c r="A435" i="13"/>
  <c r="E434" i="13"/>
  <c r="D434" i="13"/>
  <c r="C434" i="13"/>
  <c r="B434" i="13"/>
  <c r="A434" i="13"/>
  <c r="E433" i="13"/>
  <c r="D433" i="13"/>
  <c r="C433" i="13"/>
  <c r="B433" i="13"/>
  <c r="A433" i="13"/>
  <c r="E432" i="13"/>
  <c r="D432" i="13"/>
  <c r="C432" i="13"/>
  <c r="B432" i="13"/>
  <c r="A432" i="13"/>
  <c r="E431" i="13"/>
  <c r="D431" i="13"/>
  <c r="C431" i="13"/>
  <c r="A431" i="13"/>
  <c r="B431" i="13" s="1"/>
  <c r="E430" i="13"/>
  <c r="D430" i="13"/>
  <c r="C430" i="13"/>
  <c r="A430" i="13"/>
  <c r="B430" i="13" s="1"/>
  <c r="E429" i="13"/>
  <c r="D429" i="13"/>
  <c r="C429" i="13"/>
  <c r="B429" i="13"/>
  <c r="A429" i="13"/>
  <c r="E428" i="13"/>
  <c r="D428" i="13"/>
  <c r="C428" i="13"/>
  <c r="B428" i="13"/>
  <c r="A428" i="13"/>
  <c r="E427" i="13"/>
  <c r="D427" i="13"/>
  <c r="C427" i="13"/>
  <c r="B427" i="13"/>
  <c r="A427" i="13"/>
  <c r="E426" i="13"/>
  <c r="D426" i="13"/>
  <c r="C426" i="13"/>
  <c r="A426" i="13"/>
  <c r="B426" i="13" s="1"/>
  <c r="E425" i="13"/>
  <c r="D425" i="13"/>
  <c r="C425" i="13"/>
  <c r="B425" i="13"/>
  <c r="A425" i="13"/>
  <c r="E424" i="13"/>
  <c r="D424" i="13"/>
  <c r="C424" i="13"/>
  <c r="B424" i="13"/>
  <c r="A424" i="13"/>
  <c r="E423" i="13"/>
  <c r="D423" i="13"/>
  <c r="C423" i="13"/>
  <c r="A423" i="13"/>
  <c r="B423" i="13" s="1"/>
  <c r="E422" i="13"/>
  <c r="D422" i="13"/>
  <c r="C422" i="13"/>
  <c r="A422" i="13"/>
  <c r="B422" i="13" s="1"/>
  <c r="E421" i="13"/>
  <c r="D421" i="13"/>
  <c r="C421" i="13"/>
  <c r="A421" i="13"/>
  <c r="B421" i="13" s="1"/>
  <c r="E420" i="13"/>
  <c r="D420" i="13"/>
  <c r="C420" i="13"/>
  <c r="B420" i="13"/>
  <c r="A420" i="13"/>
  <c r="E419" i="13"/>
  <c r="D419" i="13"/>
  <c r="C419" i="13"/>
  <c r="B419" i="13"/>
  <c r="A419" i="13"/>
  <c r="E418" i="13"/>
  <c r="D418" i="13"/>
  <c r="C418" i="13"/>
  <c r="A418" i="13"/>
  <c r="B418" i="13" s="1"/>
  <c r="E417" i="13"/>
  <c r="D417" i="13"/>
  <c r="C417" i="13"/>
  <c r="A417" i="13"/>
  <c r="B417" i="13" s="1"/>
  <c r="E416" i="13"/>
  <c r="D416" i="13"/>
  <c r="C416" i="13"/>
  <c r="B416" i="13"/>
  <c r="A416" i="13"/>
  <c r="E415" i="13"/>
  <c r="D415" i="13"/>
  <c r="C415" i="13"/>
  <c r="B415" i="13"/>
  <c r="A415" i="13"/>
  <c r="E414" i="13"/>
  <c r="D414" i="13"/>
  <c r="C414" i="13"/>
  <c r="A414" i="13"/>
  <c r="B414" i="13" s="1"/>
  <c r="E413" i="13"/>
  <c r="D413" i="13"/>
  <c r="C413" i="13"/>
  <c r="A413" i="13"/>
  <c r="B413" i="13" s="1"/>
  <c r="E412" i="13"/>
  <c r="D412" i="13"/>
  <c r="C412" i="13"/>
  <c r="A412" i="13"/>
  <c r="B412" i="13" s="1"/>
  <c r="E411" i="13"/>
  <c r="D411" i="13"/>
  <c r="C411" i="13"/>
  <c r="B411" i="13"/>
  <c r="A411" i="13"/>
  <c r="E410" i="13"/>
  <c r="D410" i="13"/>
  <c r="C410" i="13"/>
  <c r="B410" i="13"/>
  <c r="A410" i="13"/>
  <c r="E409" i="13"/>
  <c r="D409" i="13"/>
  <c r="C409" i="13"/>
  <c r="A409" i="13"/>
  <c r="B409" i="13" s="1"/>
  <c r="E408" i="13"/>
  <c r="D408" i="13"/>
  <c r="C408" i="13"/>
  <c r="B408" i="13"/>
  <c r="A408" i="13"/>
  <c r="E407" i="13"/>
  <c r="D407" i="13"/>
  <c r="C407" i="13"/>
  <c r="B407" i="13"/>
  <c r="A407" i="13"/>
  <c r="E406" i="13"/>
  <c r="D406" i="13"/>
  <c r="C406" i="13"/>
  <c r="A406" i="13"/>
  <c r="B406" i="13" s="1"/>
  <c r="E405" i="13"/>
  <c r="D405" i="13"/>
  <c r="C405" i="13"/>
  <c r="B405" i="13"/>
  <c r="A405" i="13"/>
  <c r="E404" i="13"/>
  <c r="D404" i="13"/>
  <c r="C404" i="13"/>
  <c r="A404" i="13"/>
  <c r="B404" i="13" s="1"/>
  <c r="E403" i="13"/>
  <c r="D403" i="13"/>
  <c r="C403" i="13"/>
  <c r="B403" i="13"/>
  <c r="A403" i="13"/>
  <c r="E402" i="13"/>
  <c r="D402" i="13"/>
  <c r="C402" i="13"/>
  <c r="B402" i="13"/>
  <c r="A402" i="13"/>
  <c r="E401" i="13"/>
  <c r="D401" i="13"/>
  <c r="C401" i="13"/>
  <c r="A401" i="13"/>
  <c r="B401" i="13" s="1"/>
  <c r="E400" i="13"/>
  <c r="D400" i="13"/>
  <c r="C400" i="13"/>
  <c r="B400" i="13"/>
  <c r="A400" i="13"/>
  <c r="E399" i="13"/>
  <c r="D399" i="13"/>
  <c r="C399" i="13"/>
  <c r="A399" i="13"/>
  <c r="B399" i="13" s="1"/>
  <c r="E398" i="13"/>
  <c r="D398" i="13"/>
  <c r="C398" i="13"/>
  <c r="A398" i="13"/>
  <c r="B398" i="13" s="1"/>
  <c r="E397" i="13"/>
  <c r="D397" i="13"/>
  <c r="C397" i="13"/>
  <c r="B397" i="13"/>
  <c r="A397" i="13"/>
  <c r="E396" i="13"/>
  <c r="D396" i="13"/>
  <c r="C396" i="13"/>
  <c r="A396" i="13"/>
  <c r="B396" i="13" s="1"/>
  <c r="E395" i="13"/>
  <c r="D395" i="13"/>
  <c r="C395" i="13"/>
  <c r="B395" i="13"/>
  <c r="A395" i="13"/>
  <c r="E394" i="13"/>
  <c r="D394" i="13"/>
  <c r="C394" i="13"/>
  <c r="B394" i="13"/>
  <c r="A394" i="13"/>
  <c r="E393" i="13"/>
  <c r="D393" i="13"/>
  <c r="C393" i="13"/>
  <c r="B393" i="13"/>
  <c r="A393" i="13"/>
  <c r="E392" i="13"/>
  <c r="D392" i="13"/>
  <c r="C392" i="13"/>
  <c r="B392" i="13"/>
  <c r="A392" i="13"/>
  <c r="E391" i="13"/>
  <c r="D391" i="13"/>
  <c r="C391" i="13"/>
  <c r="B391" i="13"/>
  <c r="A391" i="13"/>
  <c r="E390" i="13"/>
  <c r="D390" i="13"/>
  <c r="C390" i="13"/>
  <c r="A390" i="13"/>
  <c r="B390" i="13" s="1"/>
  <c r="E389" i="13"/>
  <c r="D389" i="13"/>
  <c r="C389" i="13"/>
  <c r="B389" i="13"/>
  <c r="A389" i="13"/>
  <c r="E388" i="13"/>
  <c r="D388" i="13"/>
  <c r="C388" i="13"/>
  <c r="B388" i="13"/>
  <c r="A388" i="13"/>
  <c r="E387" i="13"/>
  <c r="D387" i="13"/>
  <c r="C387" i="13"/>
  <c r="B387" i="13"/>
  <c r="A387" i="13"/>
  <c r="E386" i="13"/>
  <c r="D386" i="13"/>
  <c r="C386" i="13"/>
  <c r="B386" i="13"/>
  <c r="A386" i="13"/>
  <c r="E385" i="13"/>
  <c r="D385" i="13"/>
  <c r="C385" i="13"/>
  <c r="A385" i="13"/>
  <c r="B385" i="13" s="1"/>
  <c r="E384" i="13"/>
  <c r="D384" i="13"/>
  <c r="C384" i="13"/>
  <c r="B384" i="13"/>
  <c r="A384" i="13"/>
  <c r="E383" i="13"/>
  <c r="D383" i="13"/>
  <c r="C383" i="13"/>
  <c r="A383" i="13"/>
  <c r="B383" i="13" s="1"/>
  <c r="E382" i="13"/>
  <c r="D382" i="13"/>
  <c r="C382" i="13"/>
  <c r="A382" i="13"/>
  <c r="B382" i="13" s="1"/>
  <c r="E381" i="13"/>
  <c r="D381" i="13"/>
  <c r="C381" i="13"/>
  <c r="A381" i="13"/>
  <c r="B381" i="13" s="1"/>
  <c r="E380" i="13"/>
  <c r="D380" i="13"/>
  <c r="C380" i="13"/>
  <c r="A380" i="13"/>
  <c r="B380" i="13" s="1"/>
  <c r="E379" i="13"/>
  <c r="D379" i="13"/>
  <c r="C379" i="13"/>
  <c r="B379" i="13"/>
  <c r="A379" i="13"/>
  <c r="E378" i="13"/>
  <c r="D378" i="13"/>
  <c r="C378" i="13"/>
  <c r="A378" i="13"/>
  <c r="B378" i="13" s="1"/>
  <c r="E377" i="13"/>
  <c r="D377" i="13"/>
  <c r="C377" i="13"/>
  <c r="A377" i="13"/>
  <c r="B377" i="13" s="1"/>
  <c r="E376" i="13"/>
  <c r="D376" i="13"/>
  <c r="C376" i="13"/>
  <c r="B376" i="13"/>
  <c r="A376" i="13"/>
  <c r="E375" i="13"/>
  <c r="D375" i="13"/>
  <c r="C375" i="13"/>
  <c r="B375" i="13"/>
  <c r="A375" i="13"/>
  <c r="E374" i="13"/>
  <c r="D374" i="13"/>
  <c r="C374" i="13"/>
  <c r="A374" i="13"/>
  <c r="B374" i="13" s="1"/>
  <c r="E373" i="13"/>
  <c r="D373" i="13"/>
  <c r="C373" i="13"/>
  <c r="A373" i="13"/>
  <c r="B373" i="13" s="1"/>
  <c r="E372" i="13"/>
  <c r="D372" i="13"/>
  <c r="C372" i="13"/>
  <c r="A372" i="13"/>
  <c r="B372" i="13" s="1"/>
  <c r="E371" i="13"/>
  <c r="D371" i="13"/>
  <c r="C371" i="13"/>
  <c r="B371" i="13"/>
  <c r="A371" i="13"/>
  <c r="E370" i="13"/>
  <c r="D370" i="13"/>
  <c r="C370" i="13"/>
  <c r="B370" i="13"/>
  <c r="A370" i="13"/>
  <c r="E369" i="13"/>
  <c r="D369" i="13"/>
  <c r="C369" i="13"/>
  <c r="B369" i="13"/>
  <c r="A369" i="13"/>
  <c r="E368" i="13"/>
  <c r="D368" i="13"/>
  <c r="C368" i="13"/>
  <c r="B368" i="13"/>
  <c r="A368" i="13"/>
  <c r="E367" i="13"/>
  <c r="D367" i="13"/>
  <c r="C367" i="13"/>
  <c r="A367" i="13"/>
  <c r="B367" i="13" s="1"/>
  <c r="E366" i="13"/>
  <c r="D366" i="13"/>
  <c r="C366" i="13"/>
  <c r="A366" i="13"/>
  <c r="B366" i="13" s="1"/>
  <c r="E365" i="13"/>
  <c r="D365" i="13"/>
  <c r="C365" i="13"/>
  <c r="B365" i="13"/>
  <c r="A365" i="13"/>
  <c r="E364" i="13"/>
  <c r="D364" i="13"/>
  <c r="C364" i="13"/>
  <c r="B364" i="13"/>
  <c r="A364" i="13"/>
  <c r="E363" i="13"/>
  <c r="D363" i="13"/>
  <c r="C363" i="13"/>
  <c r="B363" i="13"/>
  <c r="A363" i="13"/>
  <c r="E362" i="13"/>
  <c r="D362" i="13"/>
  <c r="C362" i="13"/>
  <c r="A362" i="13"/>
  <c r="B362" i="13" s="1"/>
  <c r="E361" i="13"/>
  <c r="D361" i="13"/>
  <c r="C361" i="13"/>
  <c r="B361" i="13"/>
  <c r="A361" i="13"/>
  <c r="E360" i="13"/>
  <c r="D360" i="13"/>
  <c r="C360" i="13"/>
  <c r="B360" i="13"/>
  <c r="A360" i="13"/>
  <c r="E359" i="13"/>
  <c r="D359" i="13"/>
  <c r="C359" i="13"/>
  <c r="A359" i="13"/>
  <c r="B359" i="13" s="1"/>
  <c r="E358" i="13"/>
  <c r="D358" i="13"/>
  <c r="C358" i="13"/>
  <c r="A358" i="13"/>
  <c r="B358" i="13" s="1"/>
  <c r="E357" i="13"/>
  <c r="D357" i="13"/>
  <c r="C357" i="13"/>
  <c r="A357" i="13"/>
  <c r="B357" i="13" s="1"/>
  <c r="E356" i="13"/>
  <c r="D356" i="13"/>
  <c r="C356" i="13"/>
  <c r="B356" i="13"/>
  <c r="A356" i="13"/>
  <c r="E355" i="13"/>
  <c r="D355" i="13"/>
  <c r="C355" i="13"/>
  <c r="B355" i="13"/>
  <c r="A355" i="13"/>
  <c r="E354" i="13"/>
  <c r="D354" i="13"/>
  <c r="C354" i="13"/>
  <c r="A354" i="13"/>
  <c r="B354" i="13" s="1"/>
  <c r="E353" i="13"/>
  <c r="D353" i="13"/>
  <c r="C353" i="13"/>
  <c r="A353" i="13"/>
  <c r="B353" i="13" s="1"/>
  <c r="E352" i="13"/>
  <c r="D352" i="13"/>
  <c r="C352" i="13"/>
  <c r="B352" i="13"/>
  <c r="A352" i="13"/>
  <c r="E351" i="13"/>
  <c r="D351" i="13"/>
  <c r="C351" i="13"/>
  <c r="B351" i="13"/>
  <c r="A351" i="13"/>
  <c r="E350" i="13"/>
  <c r="D350" i="13"/>
  <c r="C350" i="13"/>
  <c r="A350" i="13"/>
  <c r="B350" i="13" s="1"/>
  <c r="E349" i="13"/>
  <c r="D349" i="13"/>
  <c r="C349" i="13"/>
  <c r="A349" i="13"/>
  <c r="B349" i="13" s="1"/>
  <c r="E348" i="13"/>
  <c r="D348" i="13"/>
  <c r="C348" i="13"/>
  <c r="A348" i="13"/>
  <c r="B348" i="13" s="1"/>
  <c r="E347" i="13"/>
  <c r="D347" i="13"/>
  <c r="C347" i="13"/>
  <c r="B347" i="13"/>
  <c r="A347" i="13"/>
  <c r="E346" i="13"/>
  <c r="D346" i="13"/>
  <c r="C346" i="13"/>
  <c r="B346" i="13"/>
  <c r="A346" i="13"/>
  <c r="E345" i="13"/>
  <c r="D345" i="13"/>
  <c r="C345" i="13"/>
  <c r="A345" i="13"/>
  <c r="B345" i="13" s="1"/>
  <c r="E344" i="13"/>
  <c r="D344" i="13"/>
  <c r="C344" i="13"/>
  <c r="B344" i="13"/>
  <c r="A344" i="13"/>
  <c r="E343" i="13"/>
  <c r="D343" i="13"/>
  <c r="C343" i="13"/>
  <c r="B343" i="13"/>
  <c r="A343" i="13"/>
  <c r="E342" i="13"/>
  <c r="D342" i="13"/>
  <c r="C342" i="13"/>
  <c r="A342" i="13"/>
  <c r="B342" i="13" s="1"/>
  <c r="E341" i="13"/>
  <c r="D341" i="13"/>
  <c r="C341" i="13"/>
  <c r="B341" i="13"/>
  <c r="A341" i="13"/>
  <c r="E340" i="13"/>
  <c r="D340" i="13"/>
  <c r="C340" i="13"/>
  <c r="A340" i="13"/>
  <c r="B340" i="13" s="1"/>
  <c r="E339" i="13"/>
  <c r="D339" i="13"/>
  <c r="C339" i="13"/>
  <c r="B339" i="13"/>
  <c r="A339" i="13"/>
  <c r="E338" i="13"/>
  <c r="D338" i="13"/>
  <c r="C338" i="13"/>
  <c r="B338" i="13"/>
  <c r="A338" i="13"/>
  <c r="E337" i="13"/>
  <c r="D337" i="13"/>
  <c r="C337" i="13"/>
  <c r="A337" i="13"/>
  <c r="B337" i="13" s="1"/>
  <c r="E336" i="13"/>
  <c r="D336" i="13"/>
  <c r="C336" i="13"/>
  <c r="B336" i="13"/>
  <c r="A336" i="13"/>
  <c r="E335" i="13"/>
  <c r="D335" i="13"/>
  <c r="C335" i="13"/>
  <c r="A335" i="13"/>
  <c r="B335" i="13" s="1"/>
  <c r="E334" i="13"/>
  <c r="D334" i="13"/>
  <c r="C334" i="13"/>
  <c r="A334" i="13"/>
  <c r="B334" i="13" s="1"/>
  <c r="E333" i="13"/>
  <c r="D333" i="13"/>
  <c r="C333" i="13"/>
  <c r="B333" i="13"/>
  <c r="A333" i="13"/>
  <c r="E332" i="13"/>
  <c r="D332" i="13"/>
  <c r="C332" i="13"/>
  <c r="A332" i="13"/>
  <c r="B332" i="13" s="1"/>
  <c r="E331" i="13"/>
  <c r="D331" i="13"/>
  <c r="C331" i="13"/>
  <c r="B331" i="13"/>
  <c r="A331" i="13"/>
  <c r="E330" i="13"/>
  <c r="D330" i="13"/>
  <c r="C330" i="13"/>
  <c r="A330" i="13"/>
  <c r="B330" i="13" s="1"/>
  <c r="E329" i="13"/>
  <c r="D329" i="13"/>
  <c r="C329" i="13"/>
  <c r="B329" i="13"/>
  <c r="A329" i="13"/>
  <c r="E328" i="13"/>
  <c r="D328" i="13"/>
  <c r="C328" i="13"/>
  <c r="B328" i="13"/>
  <c r="A328" i="13"/>
  <c r="E327" i="13"/>
  <c r="D327" i="13"/>
  <c r="C327" i="13"/>
  <c r="B327" i="13"/>
  <c r="A327" i="13"/>
  <c r="E326" i="13"/>
  <c r="D326" i="13"/>
  <c r="C326" i="13"/>
  <c r="A326" i="13"/>
  <c r="B326" i="13" s="1"/>
  <c r="E325" i="13"/>
  <c r="D325" i="13"/>
  <c r="C325" i="13"/>
  <c r="A325" i="13"/>
  <c r="B325" i="13" s="1"/>
  <c r="E324" i="13"/>
  <c r="D324" i="13"/>
  <c r="C324" i="13"/>
  <c r="B324" i="13"/>
  <c r="A324" i="13"/>
  <c r="E323" i="13"/>
  <c r="D323" i="13"/>
  <c r="C323" i="13"/>
  <c r="B323" i="13"/>
  <c r="A323" i="13"/>
  <c r="E322" i="13"/>
  <c r="D322" i="13"/>
  <c r="C322" i="13"/>
  <c r="B322" i="13"/>
  <c r="A322" i="13"/>
  <c r="E321" i="13"/>
  <c r="D321" i="13"/>
  <c r="C321" i="13"/>
  <c r="A321" i="13"/>
  <c r="B321" i="13" s="1"/>
  <c r="E320" i="13"/>
  <c r="D320" i="13"/>
  <c r="C320" i="13"/>
  <c r="B320" i="13"/>
  <c r="A320" i="13"/>
  <c r="E319" i="13"/>
  <c r="D319" i="13"/>
  <c r="C319" i="13"/>
  <c r="A319" i="13"/>
  <c r="B319" i="13" s="1"/>
  <c r="E318" i="13"/>
  <c r="D318" i="13"/>
  <c r="C318" i="13"/>
  <c r="A318" i="13"/>
  <c r="B318" i="13" s="1"/>
  <c r="E317" i="13"/>
  <c r="D317" i="13"/>
  <c r="C317" i="13"/>
  <c r="A317" i="13"/>
  <c r="B317" i="13" s="1"/>
  <c r="E316" i="13"/>
  <c r="D316" i="13"/>
  <c r="C316" i="13"/>
  <c r="A316" i="13"/>
  <c r="B316" i="13" s="1"/>
  <c r="E315" i="13"/>
  <c r="D315" i="13"/>
  <c r="C315" i="13"/>
  <c r="B315" i="13"/>
  <c r="A315" i="13"/>
  <c r="E314" i="13"/>
  <c r="D314" i="13"/>
  <c r="C314" i="13"/>
  <c r="A314" i="13"/>
  <c r="B314" i="13" s="1"/>
  <c r="E313" i="13"/>
  <c r="D313" i="13"/>
  <c r="C313" i="13"/>
  <c r="A313" i="13"/>
  <c r="B313" i="13" s="1"/>
  <c r="E312" i="13"/>
  <c r="D312" i="13"/>
  <c r="C312" i="13"/>
  <c r="B312" i="13"/>
  <c r="A312" i="13"/>
  <c r="E311" i="13"/>
  <c r="D311" i="13"/>
  <c r="C311" i="13"/>
  <c r="B311" i="13"/>
  <c r="A311" i="13"/>
  <c r="E310" i="13"/>
  <c r="D310" i="13"/>
  <c r="C310" i="13"/>
  <c r="A310" i="13"/>
  <c r="B310" i="13" s="1"/>
  <c r="E309" i="13"/>
  <c r="D309" i="13"/>
  <c r="C309" i="13"/>
  <c r="A309" i="13"/>
  <c r="B309" i="13" s="1"/>
  <c r="E308" i="13"/>
  <c r="D308" i="13"/>
  <c r="C308" i="13"/>
  <c r="A308" i="13"/>
  <c r="B308" i="13" s="1"/>
  <c r="E307" i="13"/>
  <c r="D307" i="13"/>
  <c r="C307" i="13"/>
  <c r="B307" i="13"/>
  <c r="A307" i="13"/>
  <c r="E306" i="13"/>
  <c r="D306" i="13"/>
  <c r="C306" i="13"/>
  <c r="B306" i="13"/>
  <c r="A306" i="13"/>
  <c r="E305" i="13"/>
  <c r="D305" i="13"/>
  <c r="C305" i="13"/>
  <c r="B305" i="13"/>
  <c r="A305" i="13"/>
  <c r="E304" i="13"/>
  <c r="D304" i="13"/>
  <c r="C304" i="13"/>
  <c r="B304" i="13"/>
  <c r="A304" i="13"/>
  <c r="E303" i="13"/>
  <c r="D303" i="13"/>
  <c r="C303" i="13"/>
  <c r="A303" i="13"/>
  <c r="B303" i="13" s="1"/>
  <c r="E302" i="13"/>
  <c r="D302" i="13"/>
  <c r="C302" i="13"/>
  <c r="A302" i="13"/>
  <c r="B302" i="13" s="1"/>
  <c r="E301" i="13"/>
  <c r="D301" i="13"/>
  <c r="C301" i="13"/>
  <c r="B301" i="13"/>
  <c r="A301" i="13"/>
  <c r="E300" i="13"/>
  <c r="D300" i="13"/>
  <c r="C300" i="13"/>
  <c r="B300" i="13"/>
  <c r="A300" i="13"/>
  <c r="E299" i="13"/>
  <c r="D299" i="13"/>
  <c r="C299" i="13"/>
  <c r="B299" i="13"/>
  <c r="A299" i="13"/>
  <c r="E298" i="13"/>
  <c r="D298" i="13"/>
  <c r="C298" i="13"/>
  <c r="A298" i="13"/>
  <c r="B298" i="13" s="1"/>
  <c r="E297" i="13"/>
  <c r="D297" i="13"/>
  <c r="C297" i="13"/>
  <c r="B297" i="13"/>
  <c r="A297" i="13"/>
  <c r="E296" i="13"/>
  <c r="D296" i="13"/>
  <c r="C296" i="13"/>
  <c r="B296" i="13"/>
  <c r="A296" i="13"/>
  <c r="E295" i="13"/>
  <c r="D295" i="13"/>
  <c r="C295" i="13"/>
  <c r="A295" i="13"/>
  <c r="B295" i="13" s="1"/>
  <c r="E294" i="13"/>
  <c r="D294" i="13"/>
  <c r="C294" i="13"/>
  <c r="A294" i="13"/>
  <c r="B294" i="13" s="1"/>
  <c r="E293" i="13"/>
  <c r="D293" i="13"/>
  <c r="C293" i="13"/>
  <c r="A293" i="13"/>
  <c r="B293" i="13" s="1"/>
  <c r="E292" i="13"/>
  <c r="D292" i="13"/>
  <c r="C292" i="13"/>
  <c r="B292" i="13"/>
  <c r="A292" i="13"/>
  <c r="E291" i="13"/>
  <c r="D291" i="13"/>
  <c r="C291" i="13"/>
  <c r="B291" i="13"/>
  <c r="A291" i="13"/>
  <c r="E290" i="13"/>
  <c r="D290" i="13"/>
  <c r="C290" i="13"/>
  <c r="A290" i="13"/>
  <c r="B290" i="13" s="1"/>
  <c r="E289" i="13"/>
  <c r="D289" i="13"/>
  <c r="C289" i="13"/>
  <c r="A289" i="13"/>
  <c r="B289" i="13" s="1"/>
  <c r="E288" i="13"/>
  <c r="D288" i="13"/>
  <c r="C288" i="13"/>
  <c r="B288" i="13"/>
  <c r="A288" i="13"/>
  <c r="E287" i="13"/>
  <c r="D287" i="13"/>
  <c r="C287" i="13"/>
  <c r="B287" i="13"/>
  <c r="A287" i="13"/>
  <c r="E286" i="13"/>
  <c r="D286" i="13"/>
  <c r="C286" i="13"/>
  <c r="A286" i="13"/>
  <c r="B286" i="13" s="1"/>
  <c r="E285" i="13"/>
  <c r="D285" i="13"/>
  <c r="C285" i="13"/>
  <c r="A285" i="13"/>
  <c r="B285" i="13" s="1"/>
  <c r="E284" i="13"/>
  <c r="D284" i="13"/>
  <c r="C284" i="13"/>
  <c r="B284" i="13"/>
  <c r="A284" i="13"/>
  <c r="E283" i="13"/>
  <c r="D283" i="13"/>
  <c r="C283" i="13"/>
  <c r="B283" i="13"/>
  <c r="A283" i="13"/>
  <c r="E282" i="13"/>
  <c r="D282" i="13"/>
  <c r="C282" i="13"/>
  <c r="B282" i="13"/>
  <c r="A282" i="13"/>
  <c r="E281" i="13"/>
  <c r="D281" i="13"/>
  <c r="C281" i="13"/>
  <c r="A281" i="13"/>
  <c r="B281" i="13" s="1"/>
  <c r="E280" i="13"/>
  <c r="D280" i="13"/>
  <c r="C280" i="13"/>
  <c r="B280" i="13"/>
  <c r="A280" i="13"/>
  <c r="E279" i="13"/>
  <c r="D279" i="13"/>
  <c r="C279" i="13"/>
  <c r="B279" i="13"/>
  <c r="A279" i="13"/>
  <c r="E278" i="13"/>
  <c r="D278" i="13"/>
  <c r="C278" i="13"/>
  <c r="A278" i="13"/>
  <c r="B278" i="13" s="1"/>
  <c r="E277" i="13"/>
  <c r="D277" i="13"/>
  <c r="C277" i="13"/>
  <c r="B277" i="13"/>
  <c r="A277" i="13"/>
  <c r="E276" i="13"/>
  <c r="D276" i="13"/>
  <c r="C276" i="13"/>
  <c r="A276" i="13"/>
  <c r="B276" i="13" s="1"/>
  <c r="E275" i="13"/>
  <c r="D275" i="13"/>
  <c r="C275" i="13"/>
  <c r="B275" i="13"/>
  <c r="A275" i="13"/>
  <c r="E274" i="13"/>
  <c r="D274" i="13"/>
  <c r="C274" i="13"/>
  <c r="B274" i="13"/>
  <c r="A274" i="13"/>
  <c r="E273" i="13"/>
  <c r="D273" i="13"/>
  <c r="C273" i="13"/>
  <c r="A273" i="13"/>
  <c r="B273" i="13" s="1"/>
  <c r="E272" i="13"/>
  <c r="D272" i="13"/>
  <c r="C272" i="13"/>
  <c r="B272" i="13"/>
  <c r="A272" i="13"/>
  <c r="E271" i="13"/>
  <c r="D271" i="13"/>
  <c r="C271" i="13"/>
  <c r="A271" i="13"/>
  <c r="B271" i="13" s="1"/>
  <c r="E270" i="13"/>
  <c r="D270" i="13"/>
  <c r="C270" i="13"/>
  <c r="A270" i="13"/>
  <c r="B270" i="13" s="1"/>
  <c r="E269" i="13"/>
  <c r="D269" i="13"/>
  <c r="C269" i="13"/>
  <c r="B269" i="13"/>
  <c r="A269" i="13"/>
  <c r="E268" i="13"/>
  <c r="D268" i="13"/>
  <c r="C268" i="13"/>
  <c r="A268" i="13"/>
  <c r="B268" i="13" s="1"/>
  <c r="E267" i="13"/>
  <c r="D267" i="13"/>
  <c r="C267" i="13"/>
  <c r="B267" i="13"/>
  <c r="A267" i="13"/>
  <c r="E266" i="13"/>
  <c r="D266" i="13"/>
  <c r="C266" i="13"/>
  <c r="A266" i="13"/>
  <c r="B266" i="13" s="1"/>
  <c r="E265" i="13"/>
  <c r="D265" i="13"/>
  <c r="C265" i="13"/>
  <c r="B265" i="13"/>
  <c r="A265" i="13"/>
  <c r="E264" i="13"/>
  <c r="D264" i="13"/>
  <c r="C264" i="13"/>
  <c r="B264" i="13"/>
  <c r="A264" i="13"/>
  <c r="E263" i="13"/>
  <c r="D263" i="13"/>
  <c r="C263" i="13"/>
  <c r="A263" i="13"/>
  <c r="B263" i="13" s="1"/>
  <c r="E262" i="13"/>
  <c r="D262" i="13"/>
  <c r="C262" i="13"/>
  <c r="A262" i="13"/>
  <c r="B262" i="13" s="1"/>
  <c r="E261" i="13"/>
  <c r="D261" i="13"/>
  <c r="C261" i="13"/>
  <c r="A261" i="13"/>
  <c r="B261" i="13" s="1"/>
  <c r="E260" i="13"/>
  <c r="D260" i="13"/>
  <c r="C260" i="13"/>
  <c r="B260" i="13"/>
  <c r="A260" i="13"/>
  <c r="E259" i="13"/>
  <c r="D259" i="13"/>
  <c r="C259" i="13"/>
  <c r="B259" i="13"/>
  <c r="A259" i="13"/>
  <c r="E258" i="13"/>
  <c r="D258" i="13"/>
  <c r="C258" i="13"/>
  <c r="A258" i="13"/>
  <c r="B258" i="13" s="1"/>
  <c r="E257" i="13"/>
  <c r="D257" i="13"/>
  <c r="C257" i="13"/>
  <c r="A257" i="13"/>
  <c r="B257" i="13" s="1"/>
  <c r="E256" i="13"/>
  <c r="D256" i="13"/>
  <c r="C256" i="13"/>
  <c r="B256" i="13"/>
  <c r="A256" i="13"/>
  <c r="E255" i="13"/>
  <c r="D255" i="13"/>
  <c r="C255" i="13"/>
  <c r="A255" i="13"/>
  <c r="B255" i="13" s="1"/>
  <c r="E254" i="13"/>
  <c r="D254" i="13"/>
  <c r="C254" i="13"/>
  <c r="A254" i="13"/>
  <c r="B254" i="13" s="1"/>
  <c r="E253" i="13"/>
  <c r="D253" i="13"/>
  <c r="C253" i="13"/>
  <c r="B253" i="13"/>
  <c r="A253" i="13"/>
  <c r="E252" i="13"/>
  <c r="D252" i="13"/>
  <c r="C252" i="13"/>
  <c r="A252" i="13"/>
  <c r="B252" i="13" s="1"/>
  <c r="E251" i="13"/>
  <c r="D251" i="13"/>
  <c r="C251" i="13"/>
  <c r="B251" i="13"/>
  <c r="A251" i="13"/>
  <c r="E250" i="13"/>
  <c r="D250" i="13"/>
  <c r="C250" i="13"/>
  <c r="A250" i="13"/>
  <c r="B250" i="13" s="1"/>
  <c r="E249" i="13"/>
  <c r="D249" i="13"/>
  <c r="C249" i="13"/>
  <c r="A249" i="13"/>
  <c r="B249" i="13" s="1"/>
  <c r="E248" i="13"/>
  <c r="D248" i="13"/>
  <c r="C248" i="13"/>
  <c r="B248" i="13"/>
  <c r="A248" i="13"/>
  <c r="E247" i="13"/>
  <c r="D247" i="13"/>
  <c r="C247" i="13"/>
  <c r="B247" i="13"/>
  <c r="A247" i="13"/>
  <c r="E246" i="13"/>
  <c r="D246" i="13"/>
  <c r="C246" i="13"/>
  <c r="A246" i="13"/>
  <c r="B246" i="13" s="1"/>
  <c r="E245" i="13"/>
  <c r="D245" i="13"/>
  <c r="C245" i="13"/>
  <c r="A245" i="13"/>
  <c r="B245" i="13" s="1"/>
  <c r="E244" i="13"/>
  <c r="D244" i="13"/>
  <c r="C244" i="13"/>
  <c r="A244" i="13"/>
  <c r="B244" i="13" s="1"/>
  <c r="E243" i="13"/>
  <c r="D243" i="13"/>
  <c r="C243" i="13"/>
  <c r="B243" i="13"/>
  <c r="A243" i="13"/>
  <c r="E242" i="13"/>
  <c r="D242" i="13"/>
  <c r="C242" i="13"/>
  <c r="B242" i="13"/>
  <c r="A242" i="13"/>
  <c r="E241" i="13"/>
  <c r="D241" i="13"/>
  <c r="C241" i="13"/>
  <c r="A241" i="13"/>
  <c r="B241" i="13" s="1"/>
  <c r="E240" i="13"/>
  <c r="D240" i="13"/>
  <c r="C240" i="13"/>
  <c r="B240" i="13"/>
  <c r="A240" i="13"/>
  <c r="E239" i="13"/>
  <c r="D239" i="13"/>
  <c r="C239" i="13"/>
  <c r="A239" i="13"/>
  <c r="B239" i="13" s="1"/>
  <c r="E238" i="13"/>
  <c r="D238" i="13"/>
  <c r="C238" i="13"/>
  <c r="A238" i="13"/>
  <c r="B238" i="13" s="1"/>
  <c r="E237" i="13"/>
  <c r="D237" i="13"/>
  <c r="C237" i="13"/>
  <c r="B237" i="13"/>
  <c r="A237" i="13"/>
  <c r="E236" i="13"/>
  <c r="D236" i="13"/>
  <c r="C236" i="13"/>
  <c r="A236" i="13"/>
  <c r="B236" i="13" s="1"/>
  <c r="E235" i="13"/>
  <c r="D235" i="13"/>
  <c r="C235" i="13"/>
  <c r="B235" i="13"/>
  <c r="A235" i="13"/>
  <c r="E234" i="13"/>
  <c r="D234" i="13"/>
  <c r="C234" i="13"/>
  <c r="A234" i="13"/>
  <c r="B234" i="13" s="1"/>
  <c r="E233" i="13"/>
  <c r="D233" i="13"/>
  <c r="C233" i="13"/>
  <c r="B233" i="13"/>
  <c r="A233" i="13"/>
  <c r="E232" i="13"/>
  <c r="D232" i="13"/>
  <c r="C232" i="13"/>
  <c r="B232" i="13"/>
  <c r="A232" i="13"/>
  <c r="E231" i="13"/>
  <c r="D231" i="13"/>
  <c r="C231" i="13"/>
  <c r="B231" i="13"/>
  <c r="A231" i="13"/>
  <c r="E230" i="13"/>
  <c r="D230" i="13"/>
  <c r="C230" i="13"/>
  <c r="A230" i="13"/>
  <c r="B230" i="13" s="1"/>
  <c r="E229" i="13"/>
  <c r="D229" i="13"/>
  <c r="C229" i="13"/>
  <c r="A229" i="13"/>
  <c r="B229" i="13" s="1"/>
  <c r="E228" i="13"/>
  <c r="D228" i="13"/>
  <c r="C228" i="13"/>
  <c r="B228" i="13"/>
  <c r="A228" i="13"/>
  <c r="E227" i="13"/>
  <c r="D227" i="13"/>
  <c r="C227" i="13"/>
  <c r="B227" i="13"/>
  <c r="A227" i="13"/>
  <c r="E226" i="13"/>
  <c r="D226" i="13"/>
  <c r="C226" i="13"/>
  <c r="B226" i="13"/>
  <c r="A226" i="13"/>
  <c r="E225" i="13"/>
  <c r="D225" i="13"/>
  <c r="C225" i="13"/>
  <c r="A225" i="13"/>
  <c r="B225" i="13" s="1"/>
  <c r="E224" i="13"/>
  <c r="D224" i="13"/>
  <c r="C224" i="13"/>
  <c r="B224" i="13"/>
  <c r="A224" i="13"/>
  <c r="E223" i="13"/>
  <c r="D223" i="13"/>
  <c r="C223" i="13"/>
  <c r="A223" i="13"/>
  <c r="B223" i="13" s="1"/>
  <c r="E222" i="13"/>
  <c r="D222" i="13"/>
  <c r="C222" i="13"/>
  <c r="A222" i="13"/>
  <c r="B222" i="13" s="1"/>
  <c r="E221" i="13"/>
  <c r="D221" i="13"/>
  <c r="C221" i="13"/>
  <c r="B221" i="13"/>
  <c r="A221" i="13"/>
  <c r="E220" i="13"/>
  <c r="D220" i="13"/>
  <c r="C220" i="13"/>
  <c r="A220" i="13"/>
  <c r="B220" i="13" s="1"/>
  <c r="E219" i="13"/>
  <c r="D219" i="13"/>
  <c r="C219" i="13"/>
  <c r="B219" i="13"/>
  <c r="A219" i="13"/>
  <c r="E218" i="13"/>
  <c r="D218" i="13"/>
  <c r="C218" i="13"/>
  <c r="A218" i="13"/>
  <c r="B218" i="13" s="1"/>
  <c r="E217" i="13"/>
  <c r="D217" i="13"/>
  <c r="C217" i="13"/>
  <c r="A217" i="13"/>
  <c r="B217" i="13" s="1"/>
  <c r="E216" i="13"/>
  <c r="D216" i="13"/>
  <c r="C216" i="13"/>
  <c r="A216" i="13"/>
  <c r="B216" i="13" s="1"/>
  <c r="E215" i="13"/>
  <c r="D215" i="13"/>
  <c r="C215" i="13"/>
  <c r="B215" i="13"/>
  <c r="A215" i="13"/>
  <c r="E214" i="13"/>
  <c r="D214" i="13"/>
  <c r="C214" i="13"/>
  <c r="A214" i="13"/>
  <c r="B214" i="13" s="1"/>
  <c r="E213" i="13"/>
  <c r="D213" i="13"/>
  <c r="C213" i="13"/>
  <c r="A213" i="13"/>
  <c r="B213" i="13" s="1"/>
  <c r="E212" i="13"/>
  <c r="D212" i="13"/>
  <c r="C212" i="13"/>
  <c r="A212" i="13"/>
  <c r="B212" i="13" s="1"/>
  <c r="E211" i="13"/>
  <c r="D211" i="13"/>
  <c r="C211" i="13"/>
  <c r="B211" i="13"/>
  <c r="A211" i="13"/>
  <c r="E210" i="13"/>
  <c r="D210" i="13"/>
  <c r="C210" i="13"/>
  <c r="B210" i="13"/>
  <c r="A210" i="13"/>
  <c r="E209" i="13"/>
  <c r="D209" i="13"/>
  <c r="C209" i="13"/>
  <c r="A209" i="13"/>
  <c r="B209" i="13" s="1"/>
  <c r="E208" i="13"/>
  <c r="D208" i="13"/>
  <c r="C208" i="13"/>
  <c r="B208" i="13"/>
  <c r="A208" i="13"/>
  <c r="E207" i="13"/>
  <c r="D207" i="13"/>
  <c r="C207" i="13"/>
  <c r="A207" i="13"/>
  <c r="B207" i="13" s="1"/>
  <c r="E206" i="13"/>
  <c r="D206" i="13"/>
  <c r="C206" i="13"/>
  <c r="A206" i="13"/>
  <c r="B206" i="13" s="1"/>
  <c r="E205" i="13"/>
  <c r="D205" i="13"/>
  <c r="C205" i="13"/>
  <c r="B205" i="13"/>
  <c r="A205" i="13"/>
  <c r="E204" i="13"/>
  <c r="D204" i="13"/>
  <c r="C204" i="13"/>
  <c r="A204" i="13"/>
  <c r="B204" i="13" s="1"/>
  <c r="E203" i="13"/>
  <c r="D203" i="13"/>
  <c r="C203" i="13"/>
  <c r="B203" i="13"/>
  <c r="A203" i="13"/>
  <c r="E202" i="13"/>
  <c r="D202" i="13"/>
  <c r="C202" i="13"/>
  <c r="B202" i="13"/>
  <c r="A202" i="13"/>
  <c r="E201" i="13"/>
  <c r="D201" i="13"/>
  <c r="C201" i="13"/>
  <c r="B201" i="13"/>
  <c r="A201" i="13"/>
  <c r="E200" i="13"/>
  <c r="D200" i="13"/>
  <c r="C200" i="13"/>
  <c r="A200" i="13"/>
  <c r="B200" i="13" s="1"/>
  <c r="E199" i="13"/>
  <c r="D199" i="13"/>
  <c r="C199" i="13"/>
  <c r="B199" i="13"/>
  <c r="A199" i="13"/>
  <c r="E198" i="13"/>
  <c r="D198" i="13"/>
  <c r="C198" i="13"/>
  <c r="A198" i="13"/>
  <c r="B198" i="13" s="1"/>
  <c r="E197" i="13"/>
  <c r="D197" i="13"/>
  <c r="C197" i="13"/>
  <c r="B197" i="13"/>
  <c r="A197" i="13"/>
  <c r="E196" i="13"/>
  <c r="D196" i="13"/>
  <c r="C196" i="13"/>
  <c r="B196" i="13"/>
  <c r="A196" i="13"/>
  <c r="E195" i="13"/>
  <c r="D195" i="13"/>
  <c r="C195" i="13"/>
  <c r="B195" i="13"/>
  <c r="A195" i="13"/>
  <c r="E194" i="13"/>
  <c r="D194" i="13"/>
  <c r="C194" i="13"/>
  <c r="B194" i="13"/>
  <c r="A194" i="13"/>
  <c r="E193" i="13"/>
  <c r="D193" i="13"/>
  <c r="C193" i="13"/>
  <c r="A193" i="13"/>
  <c r="B193" i="13" s="1"/>
  <c r="E192" i="13"/>
  <c r="D192" i="13"/>
  <c r="C192" i="13"/>
  <c r="B192" i="13"/>
  <c r="A192" i="13"/>
  <c r="E191" i="13"/>
  <c r="D191" i="13"/>
  <c r="C191" i="13"/>
  <c r="A191" i="13"/>
  <c r="B191" i="13" s="1"/>
  <c r="E190" i="13"/>
  <c r="D190" i="13"/>
  <c r="C190" i="13"/>
  <c r="A190" i="13"/>
  <c r="B190" i="13" s="1"/>
  <c r="E189" i="13"/>
  <c r="D189" i="13"/>
  <c r="C189" i="13"/>
  <c r="A189" i="13"/>
  <c r="B189" i="13" s="1"/>
  <c r="E188" i="13"/>
  <c r="D188" i="13"/>
  <c r="C188" i="13"/>
  <c r="A188" i="13"/>
  <c r="B188" i="13" s="1"/>
  <c r="E187" i="13"/>
  <c r="D187" i="13"/>
  <c r="C187" i="13"/>
  <c r="B187" i="13"/>
  <c r="A187" i="13"/>
  <c r="E186" i="13"/>
  <c r="D186" i="13"/>
  <c r="C186" i="13"/>
  <c r="A186" i="13"/>
  <c r="B186" i="13" s="1"/>
  <c r="E185" i="13"/>
  <c r="D185" i="13"/>
  <c r="C185" i="13"/>
  <c r="B185" i="13"/>
  <c r="A185" i="13"/>
  <c r="E184" i="13"/>
  <c r="D184" i="13"/>
  <c r="C184" i="13"/>
  <c r="A184" i="13"/>
  <c r="B184" i="13" s="1"/>
  <c r="E183" i="13"/>
  <c r="D183" i="13"/>
  <c r="C183" i="13"/>
  <c r="B183" i="13"/>
  <c r="A183" i="13"/>
  <c r="E182" i="13"/>
  <c r="D182" i="13"/>
  <c r="C182" i="13"/>
  <c r="A182" i="13"/>
  <c r="B182" i="13" s="1"/>
  <c r="E181" i="13"/>
  <c r="D181" i="13"/>
  <c r="C181" i="13"/>
  <c r="A181" i="13"/>
  <c r="B181" i="13" s="1"/>
  <c r="E180" i="13"/>
  <c r="D180" i="13"/>
  <c r="C180" i="13"/>
  <c r="B180" i="13"/>
  <c r="A180" i="13"/>
  <c r="E179" i="13"/>
  <c r="D179" i="13"/>
  <c r="C179" i="13"/>
  <c r="B179" i="13"/>
  <c r="A179" i="13"/>
  <c r="E178" i="13"/>
  <c r="D178" i="13"/>
  <c r="C178" i="13"/>
  <c r="B178" i="13"/>
  <c r="A178" i="13"/>
  <c r="E177" i="13"/>
  <c r="D177" i="13"/>
  <c r="C177" i="13"/>
  <c r="A177" i="13"/>
  <c r="B177" i="13" s="1"/>
  <c r="E176" i="13"/>
  <c r="D176" i="13"/>
  <c r="C176" i="13"/>
  <c r="B176" i="13"/>
  <c r="A176" i="13"/>
  <c r="E175" i="13"/>
  <c r="D175" i="13"/>
  <c r="C175" i="13"/>
  <c r="A175" i="13"/>
  <c r="B175" i="13" s="1"/>
  <c r="E174" i="13"/>
  <c r="D174" i="13"/>
  <c r="C174" i="13"/>
  <c r="A174" i="13"/>
  <c r="B174" i="13" s="1"/>
  <c r="E173" i="13"/>
  <c r="D173" i="13"/>
  <c r="C173" i="13"/>
  <c r="B173" i="13"/>
  <c r="A173" i="13"/>
  <c r="E172" i="13"/>
  <c r="D172" i="13"/>
  <c r="C172" i="13"/>
  <c r="A172" i="13"/>
  <c r="B172" i="13" s="1"/>
  <c r="E171" i="13"/>
  <c r="D171" i="13"/>
  <c r="C171" i="13"/>
  <c r="B171" i="13"/>
  <c r="A171" i="13"/>
  <c r="E170" i="13"/>
  <c r="D170" i="13"/>
  <c r="C170" i="13"/>
  <c r="A170" i="13"/>
  <c r="B170" i="13" s="1"/>
  <c r="E169" i="13"/>
  <c r="D169" i="13"/>
  <c r="C169" i="13"/>
  <c r="B169" i="13"/>
  <c r="A169" i="13"/>
  <c r="E168" i="13"/>
  <c r="D168" i="13"/>
  <c r="C168" i="13"/>
  <c r="A168" i="13"/>
  <c r="B168" i="13" s="1"/>
  <c r="E167" i="13"/>
  <c r="D167" i="13"/>
  <c r="C167" i="13"/>
  <c r="B167" i="13"/>
  <c r="A167" i="13"/>
  <c r="E166" i="13"/>
  <c r="D166" i="13"/>
  <c r="C166" i="13"/>
  <c r="A166" i="13"/>
  <c r="B166" i="13" s="1"/>
  <c r="E165" i="13"/>
  <c r="D165" i="13"/>
  <c r="C165" i="13"/>
  <c r="A165" i="13"/>
  <c r="B165" i="13" s="1"/>
  <c r="E164" i="13"/>
  <c r="D164" i="13"/>
  <c r="C164" i="13"/>
  <c r="B164" i="13"/>
  <c r="A164" i="13"/>
  <c r="E163" i="13"/>
  <c r="D163" i="13"/>
  <c r="C163" i="13"/>
  <c r="B163" i="13"/>
  <c r="A163" i="13"/>
  <c r="E162" i="13"/>
  <c r="D162" i="13"/>
  <c r="C162" i="13"/>
  <c r="B162" i="13"/>
  <c r="A162" i="13"/>
  <c r="E161" i="13"/>
  <c r="D161" i="13"/>
  <c r="C161" i="13"/>
  <c r="B161" i="13"/>
  <c r="A161" i="13"/>
  <c r="E160" i="13"/>
  <c r="D160" i="13"/>
  <c r="C160" i="13"/>
  <c r="B160" i="13"/>
  <c r="A160" i="13"/>
  <c r="E159" i="13"/>
  <c r="D159" i="13"/>
  <c r="C159" i="13"/>
  <c r="A159" i="13"/>
  <c r="B159" i="13" s="1"/>
  <c r="E158" i="13"/>
  <c r="D158" i="13"/>
  <c r="C158" i="13"/>
  <c r="A158" i="13"/>
  <c r="B158" i="13" s="1"/>
  <c r="E157" i="13"/>
  <c r="D157" i="13"/>
  <c r="C157" i="13"/>
  <c r="B157" i="13"/>
  <c r="A157" i="13"/>
  <c r="E156" i="13"/>
  <c r="D156" i="13"/>
  <c r="C156" i="13"/>
  <c r="A156" i="13"/>
  <c r="B156" i="13" s="1"/>
  <c r="E155" i="13"/>
  <c r="D155" i="13"/>
  <c r="C155" i="13"/>
  <c r="B155" i="13"/>
  <c r="A155" i="13"/>
  <c r="E154" i="13"/>
  <c r="D154" i="13"/>
  <c r="C154" i="13"/>
  <c r="A154" i="13"/>
  <c r="B154" i="13" s="1"/>
  <c r="E153" i="13"/>
  <c r="D153" i="13"/>
  <c r="C153" i="13"/>
  <c r="B153" i="13"/>
  <c r="A153" i="13"/>
  <c r="E152" i="13"/>
  <c r="D152" i="13"/>
  <c r="C152" i="13"/>
  <c r="A152" i="13"/>
  <c r="B152" i="13" s="1"/>
  <c r="E151" i="13"/>
  <c r="D151" i="13"/>
  <c r="C151" i="13"/>
  <c r="B151" i="13"/>
  <c r="A151" i="13"/>
  <c r="E150" i="13"/>
  <c r="D150" i="13"/>
  <c r="C150" i="13"/>
  <c r="A150" i="13"/>
  <c r="B150" i="13" s="1"/>
  <c r="E149" i="13"/>
  <c r="D149" i="13"/>
  <c r="C149" i="13"/>
  <c r="A149" i="13"/>
  <c r="B149" i="13" s="1"/>
  <c r="E148" i="13"/>
  <c r="D148" i="13"/>
  <c r="C148" i="13"/>
  <c r="B148" i="13"/>
  <c r="A148" i="13"/>
  <c r="E147" i="13"/>
  <c r="D147" i="13"/>
  <c r="C147" i="13"/>
  <c r="B147" i="13"/>
  <c r="A147" i="13"/>
  <c r="E146" i="13"/>
  <c r="D146" i="13"/>
  <c r="C146" i="13"/>
  <c r="B146" i="13"/>
  <c r="A146" i="13"/>
  <c r="E145" i="13"/>
  <c r="D145" i="13"/>
  <c r="C145" i="13"/>
  <c r="A145" i="13"/>
  <c r="B145" i="13" s="1"/>
  <c r="E144" i="13"/>
  <c r="D144" i="13"/>
  <c r="C144" i="13"/>
  <c r="B144" i="13"/>
  <c r="A144" i="13"/>
  <c r="E143" i="13"/>
  <c r="D143" i="13"/>
  <c r="C143" i="13"/>
  <c r="B143" i="13"/>
  <c r="A143" i="13"/>
  <c r="E142" i="13"/>
  <c r="D142" i="13"/>
  <c r="C142" i="13"/>
  <c r="A142" i="13"/>
  <c r="B142" i="13" s="1"/>
  <c r="E141" i="13"/>
  <c r="D141" i="13"/>
  <c r="C141" i="13"/>
  <c r="B141" i="13"/>
  <c r="A141" i="13"/>
  <c r="E140" i="13"/>
  <c r="D140" i="13"/>
  <c r="C140" i="13"/>
  <c r="A140" i="13"/>
  <c r="B140" i="13" s="1"/>
  <c r="E139" i="13"/>
  <c r="D139" i="13"/>
  <c r="C139" i="13"/>
  <c r="B139" i="13"/>
  <c r="A139" i="13"/>
  <c r="E138" i="13"/>
  <c r="D138" i="13"/>
  <c r="C138" i="13"/>
  <c r="A138" i="13"/>
  <c r="B138" i="13" s="1"/>
  <c r="E137" i="13"/>
  <c r="D137" i="13"/>
  <c r="C137" i="13"/>
  <c r="B137" i="13"/>
  <c r="A137" i="13"/>
  <c r="E136" i="13"/>
  <c r="D136" i="13"/>
  <c r="C136" i="13"/>
  <c r="A136" i="13"/>
  <c r="B136" i="13" s="1"/>
  <c r="E135" i="13"/>
  <c r="D135" i="13"/>
  <c r="C135" i="13"/>
  <c r="A135" i="13"/>
  <c r="B135" i="13" s="1"/>
  <c r="E134" i="13"/>
  <c r="D134" i="13"/>
  <c r="C134" i="13"/>
  <c r="A134" i="13"/>
  <c r="B134" i="13" s="1"/>
  <c r="E133" i="13"/>
  <c r="D133" i="13"/>
  <c r="C133" i="13"/>
  <c r="B133" i="13"/>
  <c r="A133" i="13"/>
  <c r="E132" i="13"/>
  <c r="D132" i="13"/>
  <c r="C132" i="13"/>
  <c r="B132" i="13"/>
  <c r="A132" i="13"/>
  <c r="E131" i="13"/>
  <c r="D131" i="13"/>
  <c r="C131" i="13"/>
  <c r="B131" i="13"/>
  <c r="A131" i="13"/>
  <c r="E130" i="13"/>
  <c r="D130" i="13"/>
  <c r="C130" i="13"/>
  <c r="A130" i="13"/>
  <c r="B130" i="13" s="1"/>
  <c r="E129" i="13"/>
  <c r="D129" i="13"/>
  <c r="C129" i="13"/>
  <c r="A129" i="13"/>
  <c r="B129" i="13" s="1"/>
  <c r="E128" i="13"/>
  <c r="D128" i="13"/>
  <c r="C128" i="13"/>
  <c r="B128" i="13"/>
  <c r="A128" i="13"/>
  <c r="E127" i="13"/>
  <c r="D127" i="13"/>
  <c r="C127" i="13"/>
  <c r="A127" i="13"/>
  <c r="B127" i="13" s="1"/>
  <c r="E126" i="13"/>
  <c r="D126" i="13"/>
  <c r="C126" i="13"/>
  <c r="A126" i="13"/>
  <c r="B126" i="13" s="1"/>
  <c r="E125" i="13"/>
  <c r="D125" i="13"/>
  <c r="C125" i="13"/>
  <c r="A125" i="13"/>
  <c r="B125" i="13" s="1"/>
  <c r="E124" i="13"/>
  <c r="D124" i="13"/>
  <c r="C124" i="13"/>
  <c r="A124" i="13"/>
  <c r="B124" i="13" s="1"/>
  <c r="E123" i="13"/>
  <c r="D123" i="13"/>
  <c r="C123" i="13"/>
  <c r="B123" i="13"/>
  <c r="A123" i="13"/>
  <c r="E122" i="13"/>
  <c r="D122" i="13"/>
  <c r="C122" i="13"/>
  <c r="A122" i="13"/>
  <c r="B122" i="13" s="1"/>
  <c r="E121" i="13"/>
  <c r="D121" i="13"/>
  <c r="C121" i="13"/>
  <c r="B121" i="13"/>
  <c r="A121" i="13"/>
  <c r="E120" i="13"/>
  <c r="D120" i="13"/>
  <c r="C120" i="13"/>
  <c r="B120" i="13"/>
  <c r="A120" i="13"/>
  <c r="E119" i="13"/>
  <c r="D119" i="13"/>
  <c r="C119" i="13"/>
  <c r="B119" i="13"/>
  <c r="A119" i="13"/>
  <c r="E118" i="13"/>
  <c r="D118" i="13"/>
  <c r="C118" i="13"/>
  <c r="A118" i="13"/>
  <c r="B118" i="13" s="1"/>
  <c r="E117" i="13"/>
  <c r="D117" i="13"/>
  <c r="C117" i="13"/>
  <c r="A117" i="13"/>
  <c r="B117" i="13" s="1"/>
  <c r="E116" i="13"/>
  <c r="D116" i="13"/>
  <c r="C116" i="13"/>
  <c r="B116" i="13"/>
  <c r="A116" i="13"/>
  <c r="E115" i="13"/>
  <c r="D115" i="13"/>
  <c r="C115" i="13"/>
  <c r="B115" i="13"/>
  <c r="A115" i="13"/>
  <c r="E114" i="13"/>
  <c r="D114" i="13"/>
  <c r="C114" i="13"/>
  <c r="B114" i="13"/>
  <c r="A114" i="13"/>
  <c r="E113" i="13"/>
  <c r="D113" i="13"/>
  <c r="C113" i="13"/>
  <c r="A113" i="13"/>
  <c r="B113" i="13" s="1"/>
  <c r="E112" i="13"/>
  <c r="D112" i="13"/>
  <c r="C112" i="13"/>
  <c r="B112" i="13"/>
  <c r="A112" i="13"/>
  <c r="E111" i="13"/>
  <c r="D111" i="13"/>
  <c r="C111" i="13"/>
  <c r="A111" i="13"/>
  <c r="B111" i="13" s="1"/>
  <c r="E110" i="13"/>
  <c r="D110" i="13"/>
  <c r="C110" i="13"/>
  <c r="A110" i="13"/>
  <c r="B110" i="13" s="1"/>
  <c r="E109" i="13"/>
  <c r="D109" i="13"/>
  <c r="C109" i="13"/>
  <c r="B109" i="13"/>
  <c r="A109" i="13"/>
  <c r="E108" i="13"/>
  <c r="D108" i="13"/>
  <c r="C108" i="13"/>
  <c r="A108" i="13"/>
  <c r="B108" i="13" s="1"/>
  <c r="E107" i="13"/>
  <c r="D107" i="13"/>
  <c r="C107" i="13"/>
  <c r="B107" i="13"/>
  <c r="A107" i="13"/>
  <c r="E106" i="13"/>
  <c r="D106" i="13"/>
  <c r="C106" i="13"/>
  <c r="A106" i="13"/>
  <c r="B106" i="13" s="1"/>
  <c r="E105" i="13"/>
  <c r="D105" i="13"/>
  <c r="C105" i="13"/>
  <c r="B105" i="13"/>
  <c r="A105" i="13"/>
  <c r="E104" i="13"/>
  <c r="D104" i="13"/>
  <c r="C104" i="13"/>
  <c r="A104" i="13"/>
  <c r="B104" i="13" s="1"/>
  <c r="E103" i="13"/>
  <c r="D103" i="13"/>
  <c r="C103" i="13"/>
  <c r="B103" i="13"/>
  <c r="A103" i="13"/>
  <c r="E102" i="13"/>
  <c r="D102" i="13"/>
  <c r="C102" i="13"/>
  <c r="A102" i="13"/>
  <c r="B102" i="13" s="1"/>
  <c r="E101" i="13"/>
  <c r="D101" i="13"/>
  <c r="C101" i="13"/>
  <c r="A101" i="13"/>
  <c r="B101" i="13" s="1"/>
  <c r="E100" i="13"/>
  <c r="D100" i="13"/>
  <c r="C100" i="13"/>
  <c r="B100" i="13"/>
  <c r="A100" i="13"/>
  <c r="E99" i="13"/>
  <c r="D99" i="13"/>
  <c r="C99" i="13"/>
  <c r="B99" i="13"/>
  <c r="A99" i="13"/>
  <c r="E98" i="13"/>
  <c r="D98" i="13"/>
  <c r="C98" i="13"/>
  <c r="B98" i="13"/>
  <c r="A98" i="13"/>
  <c r="E97" i="13"/>
  <c r="D97" i="13"/>
  <c r="C97" i="13"/>
  <c r="A97" i="13"/>
  <c r="B97" i="13" s="1"/>
  <c r="E96" i="13"/>
  <c r="D96" i="13"/>
  <c r="C96" i="13"/>
  <c r="B96" i="13"/>
  <c r="A96" i="13"/>
  <c r="E95" i="13"/>
  <c r="D95" i="13"/>
  <c r="C95" i="13"/>
  <c r="A95" i="13"/>
  <c r="B95" i="13" s="1"/>
  <c r="E94" i="13"/>
  <c r="D94" i="13"/>
  <c r="C94" i="13"/>
  <c r="A94" i="13"/>
  <c r="B94" i="13" s="1"/>
  <c r="E93" i="13"/>
  <c r="D93" i="13"/>
  <c r="C93" i="13"/>
  <c r="B93" i="13"/>
  <c r="A93" i="13"/>
  <c r="E92" i="13"/>
  <c r="D92" i="13"/>
  <c r="C92" i="13"/>
  <c r="B92" i="13"/>
  <c r="A92" i="13"/>
  <c r="E91" i="13"/>
  <c r="D91" i="13"/>
  <c r="C91" i="13"/>
  <c r="B91" i="13"/>
  <c r="A91" i="13"/>
  <c r="E90" i="13"/>
  <c r="D90" i="13"/>
  <c r="C90" i="13"/>
  <c r="A90" i="13"/>
  <c r="B90" i="13" s="1"/>
  <c r="E89" i="13"/>
  <c r="D89" i="13"/>
  <c r="C89" i="13"/>
  <c r="B89" i="13"/>
  <c r="A89" i="13"/>
  <c r="E88" i="13"/>
  <c r="D88" i="13"/>
  <c r="C88" i="13"/>
  <c r="A88" i="13"/>
  <c r="B88" i="13" s="1"/>
  <c r="E87" i="13"/>
  <c r="D87" i="13"/>
  <c r="C87" i="13"/>
  <c r="B87" i="13"/>
  <c r="A87" i="13"/>
  <c r="E86" i="13"/>
  <c r="D86" i="13"/>
  <c r="C86" i="13"/>
  <c r="A86" i="13"/>
  <c r="B86" i="13" s="1"/>
  <c r="E85" i="13"/>
  <c r="D85" i="13"/>
  <c r="C85" i="13"/>
  <c r="A85" i="13"/>
  <c r="B85" i="13" s="1"/>
  <c r="E84" i="13"/>
  <c r="D84" i="13"/>
  <c r="C84" i="13"/>
  <c r="A84" i="13"/>
  <c r="B84" i="13" s="1"/>
  <c r="E83" i="13"/>
  <c r="D83" i="13"/>
  <c r="C83" i="13"/>
  <c r="B83" i="13"/>
  <c r="A83" i="13"/>
  <c r="E82" i="13"/>
  <c r="D82" i="13"/>
  <c r="C82" i="13"/>
  <c r="B82" i="13"/>
  <c r="A82" i="13"/>
  <c r="E81" i="13"/>
  <c r="D81" i="13"/>
  <c r="C81" i="13"/>
  <c r="A81" i="13"/>
  <c r="B81" i="13" s="1"/>
  <c r="E80" i="13"/>
  <c r="D80" i="13"/>
  <c r="C80" i="13"/>
  <c r="B80" i="13"/>
  <c r="A80" i="13"/>
  <c r="E79" i="13"/>
  <c r="D79" i="13"/>
  <c r="C79" i="13"/>
  <c r="A79" i="13"/>
  <c r="B79" i="13" s="1"/>
  <c r="E78" i="13"/>
  <c r="D78" i="13"/>
  <c r="C78" i="13"/>
  <c r="A78" i="13"/>
  <c r="B78" i="13" s="1"/>
  <c r="E77" i="13"/>
  <c r="D77" i="13"/>
  <c r="C77" i="13"/>
  <c r="B77" i="13"/>
  <c r="A77" i="13"/>
  <c r="E76" i="13"/>
  <c r="D76" i="13"/>
  <c r="C76" i="13"/>
  <c r="A76" i="13"/>
  <c r="B76" i="13" s="1"/>
  <c r="E75" i="13"/>
  <c r="D75" i="13"/>
  <c r="C75" i="13"/>
  <c r="B75" i="13"/>
  <c r="A75" i="13"/>
  <c r="E74" i="13"/>
  <c r="D74" i="13"/>
  <c r="C74" i="13"/>
  <c r="A74" i="13"/>
  <c r="B74" i="13" s="1"/>
  <c r="E73" i="13"/>
  <c r="D73" i="13"/>
  <c r="C73" i="13"/>
  <c r="A73" i="13"/>
  <c r="B73" i="13" s="1"/>
  <c r="E72" i="13"/>
  <c r="D72" i="13"/>
  <c r="C72" i="13"/>
  <c r="A72" i="13"/>
  <c r="B72" i="13" s="1"/>
  <c r="E71" i="13"/>
  <c r="D71" i="13"/>
  <c r="C71" i="13"/>
  <c r="A71" i="13"/>
  <c r="B71" i="13" s="1"/>
  <c r="E70" i="13"/>
  <c r="D70" i="13"/>
  <c r="C70" i="13"/>
  <c r="A70" i="13"/>
  <c r="B70" i="13" s="1"/>
  <c r="E69" i="13"/>
  <c r="D69" i="13"/>
  <c r="C69" i="13"/>
  <c r="B69" i="13"/>
  <c r="A69" i="13"/>
  <c r="E68" i="13"/>
  <c r="D68" i="13"/>
  <c r="C68" i="13"/>
  <c r="B68" i="13"/>
  <c r="A68" i="13"/>
  <c r="E67" i="13"/>
  <c r="D67" i="13"/>
  <c r="C67" i="13"/>
  <c r="B67" i="13"/>
  <c r="A67" i="13"/>
  <c r="E66" i="13"/>
  <c r="D66" i="13"/>
  <c r="C66" i="13"/>
  <c r="A66" i="13"/>
  <c r="B66" i="13" s="1"/>
  <c r="E65" i="13"/>
  <c r="D65" i="13"/>
  <c r="C65" i="13"/>
  <c r="A65" i="13"/>
  <c r="B65" i="13" s="1"/>
  <c r="E64" i="13"/>
  <c r="D64" i="13"/>
  <c r="C64" i="13"/>
  <c r="A64" i="13"/>
  <c r="B64" i="13" s="1"/>
  <c r="E63" i="13"/>
  <c r="D63" i="13"/>
  <c r="C63" i="13"/>
  <c r="B63" i="13"/>
  <c r="A63" i="13"/>
  <c r="E62" i="13"/>
  <c r="D62" i="13"/>
  <c r="C62" i="13"/>
  <c r="A62" i="13"/>
  <c r="B62" i="13" s="1"/>
  <c r="E61" i="13"/>
  <c r="D61" i="13"/>
  <c r="C61" i="13"/>
  <c r="B61" i="13"/>
  <c r="A61" i="13"/>
  <c r="E60" i="13"/>
  <c r="D60" i="13"/>
  <c r="C60" i="13"/>
  <c r="B60" i="13"/>
  <c r="A60" i="13"/>
  <c r="E59" i="13"/>
  <c r="D59" i="13"/>
  <c r="C59" i="13"/>
  <c r="B59" i="13"/>
  <c r="A59" i="13"/>
  <c r="E58" i="13"/>
  <c r="D58" i="13"/>
  <c r="C58" i="13"/>
  <c r="B58" i="13"/>
  <c r="A58" i="13"/>
  <c r="E57" i="13"/>
  <c r="D57" i="13"/>
  <c r="C57" i="13"/>
  <c r="A57" i="13"/>
  <c r="B57" i="13" s="1"/>
  <c r="E56" i="13"/>
  <c r="D56" i="13"/>
  <c r="C56" i="13"/>
  <c r="A56" i="13"/>
  <c r="B56" i="13" s="1"/>
  <c r="E55" i="13"/>
  <c r="D55" i="13"/>
  <c r="C55" i="13"/>
  <c r="B55" i="13"/>
  <c r="A55" i="13"/>
  <c r="E54" i="13"/>
  <c r="D54" i="13"/>
  <c r="C54" i="13"/>
  <c r="A54" i="13"/>
  <c r="B54" i="13" s="1"/>
  <c r="E53" i="13"/>
  <c r="D53" i="13"/>
  <c r="C53" i="13"/>
  <c r="B53" i="13"/>
  <c r="A53" i="13"/>
  <c r="E52" i="13"/>
  <c r="D52" i="13"/>
  <c r="C52" i="13"/>
  <c r="A52" i="13"/>
  <c r="B52" i="13" s="1"/>
  <c r="E51" i="13"/>
  <c r="D51" i="13"/>
  <c r="C51" i="13"/>
  <c r="B51" i="13"/>
  <c r="A51" i="13"/>
  <c r="E50" i="13"/>
  <c r="D50" i="13"/>
  <c r="C50" i="13"/>
  <c r="B50" i="13"/>
  <c r="A50" i="13"/>
  <c r="E49" i="13"/>
  <c r="D49" i="13"/>
  <c r="C49" i="13"/>
  <c r="B49" i="13"/>
  <c r="A49" i="13"/>
  <c r="E48" i="13"/>
  <c r="D48" i="13"/>
  <c r="C48" i="13"/>
  <c r="A48" i="13"/>
  <c r="B48" i="13" s="1"/>
  <c r="E47" i="13"/>
  <c r="D47" i="13"/>
  <c r="C47" i="13"/>
  <c r="A47" i="13"/>
  <c r="B47" i="13" s="1"/>
  <c r="E46" i="13"/>
  <c r="D46" i="13"/>
  <c r="C46" i="13"/>
  <c r="A46" i="13"/>
  <c r="B46" i="13" s="1"/>
  <c r="E45" i="13"/>
  <c r="D45" i="13"/>
  <c r="C45" i="13"/>
  <c r="B45" i="13"/>
  <c r="A45" i="13"/>
  <c r="E44" i="13"/>
  <c r="D44" i="13"/>
  <c r="C44" i="13"/>
  <c r="A44" i="13"/>
  <c r="B44" i="13" s="1"/>
  <c r="E43" i="13"/>
  <c r="D43" i="13"/>
  <c r="C43" i="13"/>
  <c r="B43" i="13"/>
  <c r="A43" i="13"/>
  <c r="E42" i="13"/>
  <c r="D42" i="13"/>
  <c r="C42" i="13"/>
  <c r="B42" i="13"/>
  <c r="A42" i="13"/>
  <c r="E41" i="13"/>
  <c r="D41" i="13"/>
  <c r="C41" i="13"/>
  <c r="A41" i="13"/>
  <c r="B41" i="13" s="1"/>
  <c r="E40" i="13"/>
  <c r="D40" i="13"/>
  <c r="C40" i="13"/>
  <c r="A40" i="13"/>
  <c r="B40" i="13" s="1"/>
  <c r="E39" i="13"/>
  <c r="D39" i="13"/>
  <c r="C39" i="13"/>
  <c r="A39" i="13"/>
  <c r="B39" i="13" s="1"/>
  <c r="E38" i="13"/>
  <c r="D38" i="13"/>
  <c r="C38" i="13"/>
  <c r="A38" i="13"/>
  <c r="B38" i="13" s="1"/>
  <c r="E37" i="13"/>
  <c r="D37" i="13"/>
  <c r="C37" i="13"/>
  <c r="B37" i="13"/>
  <c r="A37" i="13"/>
  <c r="E36" i="13"/>
  <c r="D36" i="13"/>
  <c r="C36" i="13"/>
  <c r="B36" i="13"/>
  <c r="A36" i="13"/>
  <c r="E35" i="13"/>
  <c r="D35" i="13"/>
  <c r="C35" i="13"/>
  <c r="B35" i="13"/>
  <c r="A35" i="13"/>
  <c r="E34" i="13"/>
  <c r="D34" i="13"/>
  <c r="C34" i="13"/>
  <c r="A34" i="13"/>
  <c r="B34" i="13" s="1"/>
  <c r="E33" i="13"/>
  <c r="D33" i="13"/>
  <c r="C33" i="13"/>
  <c r="A33" i="13"/>
  <c r="B33" i="13" s="1"/>
  <c r="E32" i="13"/>
  <c r="D32" i="13"/>
  <c r="C32" i="13"/>
  <c r="A32" i="13"/>
  <c r="B32" i="13" s="1"/>
  <c r="E31" i="13"/>
  <c r="D31" i="13"/>
  <c r="C31" i="13"/>
  <c r="B31" i="13"/>
  <c r="A31" i="13"/>
  <c r="E30" i="13"/>
  <c r="D30" i="13"/>
  <c r="C30" i="13"/>
  <c r="A30" i="13"/>
  <c r="B30" i="13" s="1"/>
  <c r="E29" i="13"/>
  <c r="D29" i="13"/>
  <c r="C29" i="13"/>
  <c r="B29" i="13"/>
  <c r="A29" i="13"/>
  <c r="E28" i="13"/>
  <c r="D28" i="13"/>
  <c r="C28" i="13"/>
  <c r="B28" i="13"/>
  <c r="A28" i="13"/>
  <c r="E27" i="13"/>
  <c r="D27" i="13"/>
  <c r="C27" i="13"/>
  <c r="B27" i="13"/>
  <c r="A27" i="13"/>
  <c r="E26" i="13"/>
  <c r="D26" i="13"/>
  <c r="C26" i="13"/>
  <c r="B26" i="13"/>
  <c r="A26" i="13"/>
  <c r="E25" i="13"/>
  <c r="D25" i="13"/>
  <c r="C25" i="13"/>
  <c r="A25" i="13"/>
  <c r="B25" i="13" s="1"/>
  <c r="E24" i="13"/>
  <c r="D24" i="13"/>
  <c r="C24" i="13"/>
  <c r="A24" i="13"/>
  <c r="B24" i="13" s="1"/>
  <c r="E23" i="13"/>
  <c r="D23" i="13"/>
  <c r="C23" i="13"/>
  <c r="B23" i="13"/>
  <c r="A23" i="13"/>
  <c r="E22" i="13"/>
  <c r="D22" i="13"/>
  <c r="C22" i="13"/>
  <c r="A22" i="13"/>
  <c r="B22" i="13" s="1"/>
  <c r="E21" i="13"/>
  <c r="D21" i="13"/>
  <c r="C21" i="13"/>
  <c r="B21" i="13"/>
  <c r="A21" i="13"/>
  <c r="E20" i="13"/>
  <c r="D20" i="13"/>
  <c r="C20" i="13"/>
  <c r="A20" i="13"/>
  <c r="B20" i="13" s="1"/>
  <c r="E19" i="13"/>
  <c r="D19" i="13"/>
  <c r="C19" i="13"/>
  <c r="B19" i="13"/>
  <c r="A19" i="13"/>
  <c r="E18" i="13"/>
  <c r="D18" i="13"/>
  <c r="C18" i="13"/>
  <c r="B18" i="13"/>
  <c r="A18" i="13"/>
  <c r="E17" i="13"/>
  <c r="D17" i="13"/>
  <c r="C17" i="13"/>
  <c r="B17" i="13"/>
  <c r="A17" i="13"/>
  <c r="E16" i="13"/>
  <c r="D16" i="13"/>
  <c r="C16" i="13"/>
  <c r="A16" i="13"/>
  <c r="B16" i="13" s="1"/>
  <c r="E15" i="13"/>
  <c r="D15" i="13"/>
  <c r="C15" i="13"/>
  <c r="A15" i="13"/>
  <c r="B15" i="13" s="1"/>
  <c r="E14" i="13"/>
  <c r="D14" i="13"/>
  <c r="C14" i="13"/>
  <c r="A14" i="13"/>
  <c r="B14" i="13" s="1"/>
  <c r="E13" i="13"/>
  <c r="D13" i="13"/>
  <c r="C13" i="13"/>
  <c r="B13" i="13"/>
  <c r="A13" i="13"/>
  <c r="E12" i="13"/>
  <c r="D12" i="13"/>
  <c r="C12" i="13"/>
  <c r="A12" i="13"/>
  <c r="B12" i="13" s="1"/>
  <c r="E11" i="13"/>
  <c r="D11" i="13"/>
  <c r="C11" i="13"/>
  <c r="B11" i="13"/>
  <c r="A11" i="13"/>
  <c r="N10" i="13"/>
  <c r="E10" i="13"/>
  <c r="D10" i="13"/>
  <c r="C10" i="13"/>
  <c r="B10" i="13"/>
  <c r="A10" i="13"/>
  <c r="N9" i="13"/>
  <c r="E9" i="13"/>
  <c r="D9" i="13"/>
  <c r="C9" i="13"/>
  <c r="B9" i="13"/>
  <c r="A9" i="13"/>
  <c r="N8" i="13"/>
  <c r="E8" i="13"/>
  <c r="D8" i="13"/>
  <c r="C8" i="13"/>
  <c r="A8" i="13"/>
  <c r="B8" i="13" s="1"/>
  <c r="N7" i="13"/>
  <c r="E7" i="13"/>
  <c r="D7" i="13"/>
  <c r="C7" i="13"/>
  <c r="A7" i="13"/>
  <c r="B7" i="13" s="1"/>
  <c r="O6" i="13"/>
  <c r="N6" i="13"/>
  <c r="E6" i="13"/>
  <c r="D6" i="13"/>
  <c r="C6" i="13"/>
  <c r="B6" i="13"/>
  <c r="A6" i="13"/>
  <c r="E718" i="12"/>
  <c r="D718" i="12"/>
  <c r="C718" i="12"/>
  <c r="A718" i="12"/>
  <c r="B718" i="12" s="1"/>
  <c r="E717" i="12"/>
  <c r="D717" i="12"/>
  <c r="C717" i="12"/>
  <c r="A717" i="12"/>
  <c r="B717" i="12" s="1"/>
  <c r="E716" i="12"/>
  <c r="D716" i="12"/>
  <c r="C716" i="12"/>
  <c r="B716" i="12"/>
  <c r="A716" i="12"/>
  <c r="E715" i="12"/>
  <c r="D715" i="12"/>
  <c r="C715" i="12"/>
  <c r="B715" i="12"/>
  <c r="A715" i="12"/>
  <c r="E714" i="12"/>
  <c r="D714" i="12"/>
  <c r="C714" i="12"/>
  <c r="B714" i="12"/>
  <c r="A714" i="12"/>
  <c r="E713" i="12"/>
  <c r="D713" i="12"/>
  <c r="C713" i="12"/>
  <c r="B713" i="12"/>
  <c r="A713" i="12"/>
  <c r="E712" i="12"/>
  <c r="D712" i="12"/>
  <c r="C712" i="12"/>
  <c r="A712" i="12"/>
  <c r="B712" i="12" s="1"/>
  <c r="E711" i="12"/>
  <c r="D711" i="12"/>
  <c r="C711" i="12"/>
  <c r="A711" i="12"/>
  <c r="B711" i="12" s="1"/>
  <c r="E710" i="12"/>
  <c r="D710" i="12"/>
  <c r="C710" i="12"/>
  <c r="A710" i="12"/>
  <c r="B710" i="12" s="1"/>
  <c r="E709" i="12"/>
  <c r="D709" i="12"/>
  <c r="C709" i="12"/>
  <c r="B709" i="12"/>
  <c r="A709" i="12"/>
  <c r="E708" i="12"/>
  <c r="D708" i="12"/>
  <c r="C708" i="12"/>
  <c r="A708" i="12"/>
  <c r="B708" i="12" s="1"/>
  <c r="E707" i="12"/>
  <c r="D707" i="12"/>
  <c r="C707" i="12"/>
  <c r="B707" i="12"/>
  <c r="A707" i="12"/>
  <c r="E706" i="12"/>
  <c r="D706" i="12"/>
  <c r="C706" i="12"/>
  <c r="A706" i="12"/>
  <c r="B706" i="12" s="1"/>
  <c r="E705" i="12"/>
  <c r="D705" i="12"/>
  <c r="C705" i="12"/>
  <c r="B705" i="12"/>
  <c r="A705" i="12"/>
  <c r="E704" i="12"/>
  <c r="D704" i="12"/>
  <c r="C704" i="12"/>
  <c r="A704" i="12"/>
  <c r="B704" i="12" s="1"/>
  <c r="E703" i="12"/>
  <c r="D703" i="12"/>
  <c r="C703" i="12"/>
  <c r="B703" i="12"/>
  <c r="A703" i="12"/>
  <c r="E702" i="12"/>
  <c r="D702" i="12"/>
  <c r="C702" i="12"/>
  <c r="A702" i="12"/>
  <c r="B702" i="12" s="1"/>
  <c r="E701" i="12"/>
  <c r="D701" i="12"/>
  <c r="C701" i="12"/>
  <c r="A701" i="12"/>
  <c r="B701" i="12" s="1"/>
  <c r="E700" i="12"/>
  <c r="D700" i="12"/>
  <c r="C700" i="12"/>
  <c r="A700" i="12"/>
  <c r="B700" i="12" s="1"/>
  <c r="E699" i="12"/>
  <c r="D699" i="12"/>
  <c r="C699" i="12"/>
  <c r="B699" i="12"/>
  <c r="A699" i="12"/>
  <c r="E698" i="12"/>
  <c r="D698" i="12"/>
  <c r="C698" i="12"/>
  <c r="B698" i="12"/>
  <c r="A698" i="12"/>
  <c r="E697" i="12"/>
  <c r="D697" i="12"/>
  <c r="C697" i="12"/>
  <c r="A697" i="12"/>
  <c r="B697" i="12" s="1"/>
  <c r="E696" i="12"/>
  <c r="D696" i="12"/>
  <c r="C696" i="12"/>
  <c r="B696" i="12"/>
  <c r="A696" i="12"/>
  <c r="E695" i="12"/>
  <c r="D695" i="12"/>
  <c r="C695" i="12"/>
  <c r="B695" i="12"/>
  <c r="A695" i="12"/>
  <c r="E694" i="12"/>
  <c r="D694" i="12"/>
  <c r="C694" i="12"/>
  <c r="A694" i="12"/>
  <c r="B694" i="12" s="1"/>
  <c r="E693" i="12"/>
  <c r="D693" i="12"/>
  <c r="C693" i="12"/>
  <c r="B693" i="12"/>
  <c r="A693" i="12"/>
  <c r="E692" i="12"/>
  <c r="D692" i="12"/>
  <c r="C692" i="12"/>
  <c r="A692" i="12"/>
  <c r="B692" i="12" s="1"/>
  <c r="E691" i="12"/>
  <c r="D691" i="12"/>
  <c r="C691" i="12"/>
  <c r="B691" i="12"/>
  <c r="A691" i="12"/>
  <c r="E690" i="12"/>
  <c r="D690" i="12"/>
  <c r="C690" i="12"/>
  <c r="B690" i="12"/>
  <c r="A690" i="12"/>
  <c r="E689" i="12"/>
  <c r="D689" i="12"/>
  <c r="C689" i="12"/>
  <c r="A689" i="12"/>
  <c r="B689" i="12" s="1"/>
  <c r="E688" i="12"/>
  <c r="D688" i="12"/>
  <c r="C688" i="12"/>
  <c r="A688" i="12"/>
  <c r="B688" i="12" s="1"/>
  <c r="E687" i="12"/>
  <c r="D687" i="12"/>
  <c r="C687" i="12"/>
  <c r="B687" i="12"/>
  <c r="A687" i="12"/>
  <c r="E686" i="12"/>
  <c r="D686" i="12"/>
  <c r="C686" i="12"/>
  <c r="A686" i="12"/>
  <c r="B686" i="12" s="1"/>
  <c r="E685" i="12"/>
  <c r="D685" i="12"/>
  <c r="C685" i="12"/>
  <c r="A685" i="12"/>
  <c r="B685" i="12" s="1"/>
  <c r="E684" i="12"/>
  <c r="D684" i="12"/>
  <c r="C684" i="12"/>
  <c r="A684" i="12"/>
  <c r="B684" i="12" s="1"/>
  <c r="E683" i="12"/>
  <c r="D683" i="12"/>
  <c r="C683" i="12"/>
  <c r="B683" i="12"/>
  <c r="A683" i="12"/>
  <c r="E682" i="12"/>
  <c r="D682" i="12"/>
  <c r="C682" i="12"/>
  <c r="A682" i="12"/>
  <c r="B682" i="12" s="1"/>
  <c r="E681" i="12"/>
  <c r="D681" i="12"/>
  <c r="C681" i="12"/>
  <c r="A681" i="12"/>
  <c r="B681" i="12" s="1"/>
  <c r="E680" i="12"/>
  <c r="D680" i="12"/>
  <c r="C680" i="12"/>
  <c r="B680" i="12"/>
  <c r="A680" i="12"/>
  <c r="E679" i="12"/>
  <c r="D679" i="12"/>
  <c r="C679" i="12"/>
  <c r="A679" i="12"/>
  <c r="B679" i="12" s="1"/>
  <c r="E678" i="12"/>
  <c r="D678" i="12"/>
  <c r="C678" i="12"/>
  <c r="A678" i="12"/>
  <c r="B678" i="12" s="1"/>
  <c r="E677" i="12"/>
  <c r="D677" i="12"/>
  <c r="C677" i="12"/>
  <c r="A677" i="12"/>
  <c r="B677" i="12" s="1"/>
  <c r="E676" i="12"/>
  <c r="D676" i="12"/>
  <c r="C676" i="12"/>
  <c r="A676" i="12"/>
  <c r="B676" i="12" s="1"/>
  <c r="E675" i="12"/>
  <c r="D675" i="12"/>
  <c r="C675" i="12"/>
  <c r="B675" i="12"/>
  <c r="A675" i="12"/>
  <c r="E674" i="12"/>
  <c r="D674" i="12"/>
  <c r="C674" i="12"/>
  <c r="B674" i="12"/>
  <c r="A674" i="12"/>
  <c r="E673" i="12"/>
  <c r="D673" i="12"/>
  <c r="C673" i="12"/>
  <c r="B673" i="12"/>
  <c r="A673" i="12"/>
  <c r="E672" i="12"/>
  <c r="D672" i="12"/>
  <c r="C672" i="12"/>
  <c r="A672" i="12"/>
  <c r="B672" i="12" s="1"/>
  <c r="E671" i="12"/>
  <c r="D671" i="12"/>
  <c r="C671" i="12"/>
  <c r="A671" i="12"/>
  <c r="B671" i="12" s="1"/>
  <c r="E670" i="12"/>
  <c r="D670" i="12"/>
  <c r="C670" i="12"/>
  <c r="A670" i="12"/>
  <c r="B670" i="12" s="1"/>
  <c r="E669" i="12"/>
  <c r="D669" i="12"/>
  <c r="C669" i="12"/>
  <c r="B669" i="12"/>
  <c r="A669" i="12"/>
  <c r="E668" i="12"/>
  <c r="D668" i="12"/>
  <c r="C668" i="12"/>
  <c r="B668" i="12"/>
  <c r="A668" i="12"/>
  <c r="E667" i="12"/>
  <c r="D667" i="12"/>
  <c r="C667" i="12"/>
  <c r="B667" i="12"/>
  <c r="A667" i="12"/>
  <c r="E666" i="12"/>
  <c r="D666" i="12"/>
  <c r="C666" i="12"/>
  <c r="A666" i="12"/>
  <c r="B666" i="12" s="1"/>
  <c r="E665" i="12"/>
  <c r="D665" i="12"/>
  <c r="C665" i="12"/>
  <c r="A665" i="12"/>
  <c r="B665" i="12" s="1"/>
  <c r="E664" i="12"/>
  <c r="D664" i="12"/>
  <c r="C664" i="12"/>
  <c r="A664" i="12"/>
  <c r="B664" i="12" s="1"/>
  <c r="E663" i="12"/>
  <c r="D663" i="12"/>
  <c r="C663" i="12"/>
  <c r="A663" i="12"/>
  <c r="B663" i="12" s="1"/>
  <c r="E662" i="12"/>
  <c r="D662" i="12"/>
  <c r="C662" i="12"/>
  <c r="A662" i="12"/>
  <c r="B662" i="12" s="1"/>
  <c r="E661" i="12"/>
  <c r="D661" i="12"/>
  <c r="C661" i="12"/>
  <c r="A661" i="12"/>
  <c r="B661" i="12" s="1"/>
  <c r="E660" i="12"/>
  <c r="D660" i="12"/>
  <c r="C660" i="12"/>
  <c r="A660" i="12"/>
  <c r="B660" i="12" s="1"/>
  <c r="E659" i="12"/>
  <c r="D659" i="12"/>
  <c r="C659" i="12"/>
  <c r="B659" i="12"/>
  <c r="A659" i="12"/>
  <c r="E658" i="12"/>
  <c r="D658" i="12"/>
  <c r="C658" i="12"/>
  <c r="A658" i="12"/>
  <c r="B658" i="12" s="1"/>
  <c r="E657" i="12"/>
  <c r="D657" i="12"/>
  <c r="C657" i="12"/>
  <c r="B657" i="12"/>
  <c r="A657" i="12"/>
  <c r="E656" i="12"/>
  <c r="D656" i="12"/>
  <c r="C656" i="12"/>
  <c r="A656" i="12"/>
  <c r="B656" i="12" s="1"/>
  <c r="E655" i="12"/>
  <c r="D655" i="12"/>
  <c r="C655" i="12"/>
  <c r="B655" i="12"/>
  <c r="A655" i="12"/>
  <c r="E654" i="12"/>
  <c r="D654" i="12"/>
  <c r="C654" i="12"/>
  <c r="A654" i="12"/>
  <c r="B654" i="12" s="1"/>
  <c r="E653" i="12"/>
  <c r="D653" i="12"/>
  <c r="C653" i="12"/>
  <c r="A653" i="12"/>
  <c r="B653" i="12" s="1"/>
  <c r="E652" i="12"/>
  <c r="D652" i="12"/>
  <c r="C652" i="12"/>
  <c r="B652" i="12"/>
  <c r="A652" i="12"/>
  <c r="E651" i="12"/>
  <c r="D651" i="12"/>
  <c r="C651" i="12"/>
  <c r="B651" i="12"/>
  <c r="A651" i="12"/>
  <c r="E650" i="12"/>
  <c r="D650" i="12"/>
  <c r="C650" i="12"/>
  <c r="B650" i="12"/>
  <c r="A650" i="12"/>
  <c r="E649" i="12"/>
  <c r="D649" i="12"/>
  <c r="C649" i="12"/>
  <c r="A649" i="12"/>
  <c r="B649" i="12" s="1"/>
  <c r="E648" i="12"/>
  <c r="D648" i="12"/>
  <c r="C648" i="12"/>
  <c r="A648" i="12"/>
  <c r="B648" i="12" s="1"/>
  <c r="E647" i="12"/>
  <c r="D647" i="12"/>
  <c r="C647" i="12"/>
  <c r="A647" i="12"/>
  <c r="B647" i="12" s="1"/>
  <c r="E646" i="12"/>
  <c r="D646" i="12"/>
  <c r="C646" i="12"/>
  <c r="A646" i="12"/>
  <c r="B646" i="12" s="1"/>
  <c r="E645" i="12"/>
  <c r="D645" i="12"/>
  <c r="C645" i="12"/>
  <c r="B645" i="12"/>
  <c r="A645" i="12"/>
  <c r="E644" i="12"/>
  <c r="D644" i="12"/>
  <c r="C644" i="12"/>
  <c r="B644" i="12"/>
  <c r="A644" i="12"/>
  <c r="E643" i="12"/>
  <c r="D643" i="12"/>
  <c r="C643" i="12"/>
  <c r="B643" i="12"/>
  <c r="A643" i="12"/>
  <c r="E642" i="12"/>
  <c r="D642" i="12"/>
  <c r="C642" i="12"/>
  <c r="A642" i="12"/>
  <c r="B642" i="12" s="1"/>
  <c r="E641" i="12"/>
  <c r="D641" i="12"/>
  <c r="C641" i="12"/>
  <c r="A641" i="12"/>
  <c r="B641" i="12" s="1"/>
  <c r="E640" i="12"/>
  <c r="D640" i="12"/>
  <c r="C640" i="12"/>
  <c r="A640" i="12"/>
  <c r="B640" i="12" s="1"/>
  <c r="E639" i="12"/>
  <c r="D639" i="12"/>
  <c r="C639" i="12"/>
  <c r="B639" i="12"/>
  <c r="A639" i="12"/>
  <c r="E638" i="12"/>
  <c r="D638" i="12"/>
  <c r="C638" i="12"/>
  <c r="A638" i="12"/>
  <c r="B638" i="12" s="1"/>
  <c r="E637" i="12"/>
  <c r="D637" i="12"/>
  <c r="C637" i="12"/>
  <c r="A637" i="12"/>
  <c r="B637" i="12" s="1"/>
  <c r="E636" i="12"/>
  <c r="D636" i="12"/>
  <c r="C636" i="12"/>
  <c r="B636" i="12"/>
  <c r="A636" i="12"/>
  <c r="E635" i="12"/>
  <c r="D635" i="12"/>
  <c r="C635" i="12"/>
  <c r="B635" i="12"/>
  <c r="A635" i="12"/>
  <c r="E634" i="12"/>
  <c r="D634" i="12"/>
  <c r="C634" i="12"/>
  <c r="B634" i="12"/>
  <c r="A634" i="12"/>
  <c r="E633" i="12"/>
  <c r="D633" i="12"/>
  <c r="C633" i="12"/>
  <c r="A633" i="12"/>
  <c r="B633" i="12" s="1"/>
  <c r="E632" i="12"/>
  <c r="D632" i="12"/>
  <c r="C632" i="12"/>
  <c r="B632" i="12"/>
  <c r="A632" i="12"/>
  <c r="E631" i="12"/>
  <c r="D631" i="12"/>
  <c r="C631" i="12"/>
  <c r="A631" i="12"/>
  <c r="B631" i="12" s="1"/>
  <c r="E630" i="12"/>
  <c r="D630" i="12"/>
  <c r="C630" i="12"/>
  <c r="A630" i="12"/>
  <c r="B630" i="12" s="1"/>
  <c r="E629" i="12"/>
  <c r="D629" i="12"/>
  <c r="C629" i="12"/>
  <c r="B629" i="12"/>
  <c r="A629" i="12"/>
  <c r="E628" i="12"/>
  <c r="D628" i="12"/>
  <c r="C628" i="12"/>
  <c r="A628" i="12"/>
  <c r="B628" i="12" s="1"/>
  <c r="E627" i="12"/>
  <c r="D627" i="12"/>
  <c r="C627" i="12"/>
  <c r="B627" i="12"/>
  <c r="A627" i="12"/>
  <c r="E626" i="12"/>
  <c r="D626" i="12"/>
  <c r="C626" i="12"/>
  <c r="A626" i="12"/>
  <c r="B626" i="12" s="1"/>
  <c r="E625" i="12"/>
  <c r="D625" i="12"/>
  <c r="C625" i="12"/>
  <c r="A625" i="12"/>
  <c r="B625" i="12" s="1"/>
  <c r="E624" i="12"/>
  <c r="D624" i="12"/>
  <c r="C624" i="12"/>
  <c r="A624" i="12"/>
  <c r="B624" i="12" s="1"/>
  <c r="E623" i="12"/>
  <c r="D623" i="12"/>
  <c r="C623" i="12"/>
  <c r="A623" i="12"/>
  <c r="B623" i="12" s="1"/>
  <c r="E622" i="12"/>
  <c r="D622" i="12"/>
  <c r="C622" i="12"/>
  <c r="A622" i="12"/>
  <c r="B622" i="12" s="1"/>
  <c r="E621" i="12"/>
  <c r="D621" i="12"/>
  <c r="C621" i="12"/>
  <c r="B621" i="12"/>
  <c r="A621" i="12"/>
  <c r="E620" i="12"/>
  <c r="D620" i="12"/>
  <c r="C620" i="12"/>
  <c r="A620" i="12"/>
  <c r="B620" i="12" s="1"/>
  <c r="E619" i="12"/>
  <c r="D619" i="12"/>
  <c r="C619" i="12"/>
  <c r="B619" i="12"/>
  <c r="A619" i="12"/>
  <c r="E618" i="12"/>
  <c r="D618" i="12"/>
  <c r="C618" i="12"/>
  <c r="A618" i="12"/>
  <c r="B618" i="12" s="1"/>
  <c r="E617" i="12"/>
  <c r="D617" i="12"/>
  <c r="C617" i="12"/>
  <c r="A617" i="12"/>
  <c r="B617" i="12" s="1"/>
  <c r="E616" i="12"/>
  <c r="D616" i="12"/>
  <c r="C616" i="12"/>
  <c r="B616" i="12"/>
  <c r="A616" i="12"/>
  <c r="E615" i="12"/>
  <c r="D615" i="12"/>
  <c r="C615" i="12"/>
  <c r="B615" i="12"/>
  <c r="A615" i="12"/>
  <c r="E614" i="12"/>
  <c r="D614" i="12"/>
  <c r="C614" i="12"/>
  <c r="A614" i="12"/>
  <c r="B614" i="12" s="1"/>
  <c r="E613" i="12"/>
  <c r="D613" i="12"/>
  <c r="C613" i="12"/>
  <c r="B613" i="12"/>
  <c r="A613" i="12"/>
  <c r="E612" i="12"/>
  <c r="D612" i="12"/>
  <c r="C612" i="12"/>
  <c r="A612" i="12"/>
  <c r="B612" i="12" s="1"/>
  <c r="E611" i="12"/>
  <c r="D611" i="12"/>
  <c r="C611" i="12"/>
  <c r="B611" i="12"/>
  <c r="A611" i="12"/>
  <c r="E610" i="12"/>
  <c r="D610" i="12"/>
  <c r="C610" i="12"/>
  <c r="A610" i="12"/>
  <c r="B610" i="12" s="1"/>
  <c r="E609" i="12"/>
  <c r="D609" i="12"/>
  <c r="C609" i="12"/>
  <c r="B609" i="12"/>
  <c r="A609" i="12"/>
  <c r="E608" i="12"/>
  <c r="D608" i="12"/>
  <c r="C608" i="12"/>
  <c r="B608" i="12"/>
  <c r="A608" i="12"/>
  <c r="E607" i="12"/>
  <c r="D607" i="12"/>
  <c r="C607" i="12"/>
  <c r="A607" i="12"/>
  <c r="B607" i="12" s="1"/>
  <c r="E606" i="12"/>
  <c r="D606" i="12"/>
  <c r="C606" i="12"/>
  <c r="A606" i="12"/>
  <c r="B606" i="12" s="1"/>
  <c r="E605" i="12"/>
  <c r="D605" i="12"/>
  <c r="C605" i="12"/>
  <c r="A605" i="12"/>
  <c r="B605" i="12" s="1"/>
  <c r="E604" i="12"/>
  <c r="D604" i="12"/>
  <c r="C604" i="12"/>
  <c r="B604" i="12"/>
  <c r="A604" i="12"/>
  <c r="E603" i="12"/>
  <c r="D603" i="12"/>
  <c r="C603" i="12"/>
  <c r="B603" i="12"/>
  <c r="A603" i="12"/>
  <c r="E602" i="12"/>
  <c r="D602" i="12"/>
  <c r="C602" i="12"/>
  <c r="A602" i="12"/>
  <c r="B602" i="12" s="1"/>
  <c r="E601" i="12"/>
  <c r="D601" i="12"/>
  <c r="C601" i="12"/>
  <c r="A601" i="12"/>
  <c r="B601" i="12" s="1"/>
  <c r="E600" i="12"/>
  <c r="D600" i="12"/>
  <c r="C600" i="12"/>
  <c r="B600" i="12"/>
  <c r="A600" i="12"/>
  <c r="E599" i="12"/>
  <c r="D599" i="12"/>
  <c r="C599" i="12"/>
  <c r="A599" i="12"/>
  <c r="B599" i="12" s="1"/>
  <c r="E598" i="12"/>
  <c r="D598" i="12"/>
  <c r="C598" i="12"/>
  <c r="A598" i="12"/>
  <c r="B598" i="12" s="1"/>
  <c r="E597" i="12"/>
  <c r="D597" i="12"/>
  <c r="C597" i="12"/>
  <c r="A597" i="12"/>
  <c r="B597" i="12" s="1"/>
  <c r="E596" i="12"/>
  <c r="D596" i="12"/>
  <c r="C596" i="12"/>
  <c r="A596" i="12"/>
  <c r="B596" i="12" s="1"/>
  <c r="E595" i="12"/>
  <c r="D595" i="12"/>
  <c r="C595" i="12"/>
  <c r="B595" i="12"/>
  <c r="A595" i="12"/>
  <c r="E594" i="12"/>
  <c r="D594" i="12"/>
  <c r="C594" i="12"/>
  <c r="A594" i="12"/>
  <c r="B594" i="12" s="1"/>
  <c r="E593" i="12"/>
  <c r="D593" i="12"/>
  <c r="C593" i="12"/>
  <c r="B593" i="12"/>
  <c r="A593" i="12"/>
  <c r="E592" i="12"/>
  <c r="D592" i="12"/>
  <c r="C592" i="12"/>
  <c r="B592" i="12"/>
  <c r="A592" i="12"/>
  <c r="E591" i="12"/>
  <c r="D591" i="12"/>
  <c r="C591" i="12"/>
  <c r="B591" i="12"/>
  <c r="A591" i="12"/>
  <c r="E590" i="12"/>
  <c r="D590" i="12"/>
  <c r="C590" i="12"/>
  <c r="A590" i="12"/>
  <c r="B590" i="12" s="1"/>
  <c r="E589" i="12"/>
  <c r="D589" i="12"/>
  <c r="C589" i="12"/>
  <c r="A589" i="12"/>
  <c r="B589" i="12" s="1"/>
  <c r="E588" i="12"/>
  <c r="D588" i="12"/>
  <c r="C588" i="12"/>
  <c r="B588" i="12"/>
  <c r="A588" i="12"/>
  <c r="E587" i="12"/>
  <c r="D587" i="12"/>
  <c r="C587" i="12"/>
  <c r="B587" i="12"/>
  <c r="A587" i="12"/>
  <c r="E586" i="12"/>
  <c r="D586" i="12"/>
  <c r="C586" i="12"/>
  <c r="B586" i="12"/>
  <c r="A586" i="12"/>
  <c r="E585" i="12"/>
  <c r="D585" i="12"/>
  <c r="C585" i="12"/>
  <c r="B585" i="12"/>
  <c r="A585" i="12"/>
  <c r="E584" i="12"/>
  <c r="D584" i="12"/>
  <c r="C584" i="12"/>
  <c r="A584" i="12"/>
  <c r="B584" i="12" s="1"/>
  <c r="E583" i="12"/>
  <c r="D583" i="12"/>
  <c r="C583" i="12"/>
  <c r="A583" i="12"/>
  <c r="B583" i="12" s="1"/>
  <c r="E582" i="12"/>
  <c r="D582" i="12"/>
  <c r="C582" i="12"/>
  <c r="A582" i="12"/>
  <c r="B582" i="12" s="1"/>
  <c r="E581" i="12"/>
  <c r="D581" i="12"/>
  <c r="C581" i="12"/>
  <c r="B581" i="12"/>
  <c r="A581" i="12"/>
  <c r="E580" i="12"/>
  <c r="D580" i="12"/>
  <c r="C580" i="12"/>
  <c r="B580" i="12"/>
  <c r="A580" i="12"/>
  <c r="E579" i="12"/>
  <c r="D579" i="12"/>
  <c r="C579" i="12"/>
  <c r="B579" i="12"/>
  <c r="A579" i="12"/>
  <c r="E578" i="12"/>
  <c r="D578" i="12"/>
  <c r="C578" i="12"/>
  <c r="A578" i="12"/>
  <c r="B578" i="12" s="1"/>
  <c r="E577" i="12"/>
  <c r="D577" i="12"/>
  <c r="C577" i="12"/>
  <c r="B577" i="12"/>
  <c r="A577" i="12"/>
  <c r="E576" i="12"/>
  <c r="D576" i="12"/>
  <c r="C576" i="12"/>
  <c r="A576" i="12"/>
  <c r="B576" i="12" s="1"/>
  <c r="E575" i="12"/>
  <c r="D575" i="12"/>
  <c r="C575" i="12"/>
  <c r="B575" i="12"/>
  <c r="A575" i="12"/>
  <c r="E574" i="12"/>
  <c r="D574" i="12"/>
  <c r="C574" i="12"/>
  <c r="A574" i="12"/>
  <c r="B574" i="12" s="1"/>
  <c r="E573" i="12"/>
  <c r="D573" i="12"/>
  <c r="C573" i="12"/>
  <c r="A573" i="12"/>
  <c r="B573" i="12" s="1"/>
  <c r="E572" i="12"/>
  <c r="D572" i="12"/>
  <c r="C572" i="12"/>
  <c r="A572" i="12"/>
  <c r="B572" i="12" s="1"/>
  <c r="E571" i="12"/>
  <c r="D571" i="12"/>
  <c r="C571" i="12"/>
  <c r="B571" i="12"/>
  <c r="A571" i="12"/>
  <c r="E570" i="12"/>
  <c r="D570" i="12"/>
  <c r="C570" i="12"/>
  <c r="B570" i="12"/>
  <c r="A570" i="12"/>
  <c r="E569" i="12"/>
  <c r="D569" i="12"/>
  <c r="C569" i="12"/>
  <c r="A569" i="12"/>
  <c r="B569" i="12" s="1"/>
  <c r="E568" i="12"/>
  <c r="D568" i="12"/>
  <c r="C568" i="12"/>
  <c r="B568" i="12"/>
  <c r="A568" i="12"/>
  <c r="E567" i="12"/>
  <c r="D567" i="12"/>
  <c r="C567" i="12"/>
  <c r="B567" i="12"/>
  <c r="A567" i="12"/>
  <c r="E566" i="12"/>
  <c r="D566" i="12"/>
  <c r="C566" i="12"/>
  <c r="A566" i="12"/>
  <c r="B566" i="12" s="1"/>
  <c r="E565" i="12"/>
  <c r="D565" i="12"/>
  <c r="C565" i="12"/>
  <c r="B565" i="12"/>
  <c r="A565" i="12"/>
  <c r="E564" i="12"/>
  <c r="D564" i="12"/>
  <c r="C564" i="12"/>
  <c r="A564" i="12"/>
  <c r="B564" i="12" s="1"/>
  <c r="E563" i="12"/>
  <c r="D563" i="12"/>
  <c r="C563" i="12"/>
  <c r="B563" i="12"/>
  <c r="A563" i="12"/>
  <c r="E562" i="12"/>
  <c r="D562" i="12"/>
  <c r="C562" i="12"/>
  <c r="A562" i="12"/>
  <c r="B562" i="12" s="1"/>
  <c r="E561" i="12"/>
  <c r="D561" i="12"/>
  <c r="C561" i="12"/>
  <c r="A561" i="12"/>
  <c r="B561" i="12" s="1"/>
  <c r="E560" i="12"/>
  <c r="D560" i="12"/>
  <c r="C560" i="12"/>
  <c r="A560" i="12"/>
  <c r="B560" i="12" s="1"/>
  <c r="E559" i="12"/>
  <c r="D559" i="12"/>
  <c r="C559" i="12"/>
  <c r="B559" i="12"/>
  <c r="A559" i="12"/>
  <c r="E558" i="12"/>
  <c r="D558" i="12"/>
  <c r="C558" i="12"/>
  <c r="A558" i="12"/>
  <c r="B558" i="12" s="1"/>
  <c r="E557" i="12"/>
  <c r="D557" i="12"/>
  <c r="C557" i="12"/>
  <c r="A557" i="12"/>
  <c r="B557" i="12" s="1"/>
  <c r="E556" i="12"/>
  <c r="D556" i="12"/>
  <c r="C556" i="12"/>
  <c r="A556" i="12"/>
  <c r="B556" i="12" s="1"/>
  <c r="E555" i="12"/>
  <c r="D555" i="12"/>
  <c r="C555" i="12"/>
  <c r="B555" i="12"/>
  <c r="A555" i="12"/>
  <c r="E554" i="12"/>
  <c r="D554" i="12"/>
  <c r="C554" i="12"/>
  <c r="B554" i="12"/>
  <c r="A554" i="12"/>
  <c r="E553" i="12"/>
  <c r="D553" i="12"/>
  <c r="C553" i="12"/>
  <c r="A553" i="12"/>
  <c r="B553" i="12" s="1"/>
  <c r="E552" i="12"/>
  <c r="D552" i="12"/>
  <c r="C552" i="12"/>
  <c r="B552" i="12"/>
  <c r="A552" i="12"/>
  <c r="E551" i="12"/>
  <c r="D551" i="12"/>
  <c r="C551" i="12"/>
  <c r="A551" i="12"/>
  <c r="B551" i="12" s="1"/>
  <c r="E550" i="12"/>
  <c r="D550" i="12"/>
  <c r="C550" i="12"/>
  <c r="A550" i="12"/>
  <c r="B550" i="12" s="1"/>
  <c r="E549" i="12"/>
  <c r="D549" i="12"/>
  <c r="C549" i="12"/>
  <c r="B549" i="12"/>
  <c r="A549" i="12"/>
  <c r="E548" i="12"/>
  <c r="D548" i="12"/>
  <c r="C548" i="12"/>
  <c r="A548" i="12"/>
  <c r="B548" i="12" s="1"/>
  <c r="E547" i="12"/>
  <c r="D547" i="12"/>
  <c r="C547" i="12"/>
  <c r="B547" i="12"/>
  <c r="A547" i="12"/>
  <c r="E546" i="12"/>
  <c r="D546" i="12"/>
  <c r="C546" i="12"/>
  <c r="B546" i="12"/>
  <c r="A546" i="12"/>
  <c r="E545" i="12"/>
  <c r="D545" i="12"/>
  <c r="C545" i="12"/>
  <c r="B545" i="12"/>
  <c r="A545" i="12"/>
  <c r="E544" i="12"/>
  <c r="D544" i="12"/>
  <c r="C544" i="12"/>
  <c r="B544" i="12"/>
  <c r="A544" i="12"/>
  <c r="E543" i="12"/>
  <c r="D543" i="12"/>
  <c r="C543" i="12"/>
  <c r="A543" i="12"/>
  <c r="B543" i="12" s="1"/>
  <c r="E542" i="12"/>
  <c r="D542" i="12"/>
  <c r="C542" i="12"/>
  <c r="A542" i="12"/>
  <c r="B542" i="12" s="1"/>
  <c r="E541" i="12"/>
  <c r="D541" i="12"/>
  <c r="C541" i="12"/>
  <c r="B541" i="12"/>
  <c r="A541" i="12"/>
  <c r="E540" i="12"/>
  <c r="D540" i="12"/>
  <c r="C540" i="12"/>
  <c r="B540" i="12"/>
  <c r="A540" i="12"/>
  <c r="E539" i="12"/>
  <c r="D539" i="12"/>
  <c r="C539" i="12"/>
  <c r="B539" i="12"/>
  <c r="A539" i="12"/>
  <c r="E538" i="12"/>
  <c r="D538" i="12"/>
  <c r="C538" i="12"/>
  <c r="A538" i="12"/>
  <c r="B538" i="12" s="1"/>
  <c r="E537" i="12"/>
  <c r="D537" i="12"/>
  <c r="C537" i="12"/>
  <c r="A537" i="12"/>
  <c r="B537" i="12" s="1"/>
  <c r="E536" i="12"/>
  <c r="D536" i="12"/>
  <c r="C536" i="12"/>
  <c r="A536" i="12"/>
  <c r="B536" i="12" s="1"/>
  <c r="E535" i="12"/>
  <c r="D535" i="12"/>
  <c r="C535" i="12"/>
  <c r="A535" i="12"/>
  <c r="B535" i="12" s="1"/>
  <c r="E534" i="12"/>
  <c r="D534" i="12"/>
  <c r="C534" i="12"/>
  <c r="A534" i="12"/>
  <c r="B534" i="12" s="1"/>
  <c r="E533" i="12"/>
  <c r="D533" i="12"/>
  <c r="C533" i="12"/>
  <c r="A533" i="12"/>
  <c r="B533" i="12" s="1"/>
  <c r="E532" i="12"/>
  <c r="D532" i="12"/>
  <c r="C532" i="12"/>
  <c r="A532" i="12"/>
  <c r="B532" i="12" s="1"/>
  <c r="E531" i="12"/>
  <c r="D531" i="12"/>
  <c r="C531" i="12"/>
  <c r="B531" i="12"/>
  <c r="A531" i="12"/>
  <c r="E530" i="12"/>
  <c r="D530" i="12"/>
  <c r="C530" i="12"/>
  <c r="A530" i="12"/>
  <c r="B530" i="12" s="1"/>
  <c r="E529" i="12"/>
  <c r="D529" i="12"/>
  <c r="C529" i="12"/>
  <c r="B529" i="12"/>
  <c r="A529" i="12"/>
  <c r="E528" i="12"/>
  <c r="D528" i="12"/>
  <c r="C528" i="12"/>
  <c r="A528" i="12"/>
  <c r="B528" i="12" s="1"/>
  <c r="E527" i="12"/>
  <c r="D527" i="12"/>
  <c r="C527" i="12"/>
  <c r="B527" i="12"/>
  <c r="A527" i="12"/>
  <c r="E526" i="12"/>
  <c r="D526" i="12"/>
  <c r="C526" i="12"/>
  <c r="A526" i="12"/>
  <c r="B526" i="12" s="1"/>
  <c r="E525" i="12"/>
  <c r="D525" i="12"/>
  <c r="C525" i="12"/>
  <c r="A525" i="12"/>
  <c r="B525" i="12" s="1"/>
  <c r="E524" i="12"/>
  <c r="D524" i="12"/>
  <c r="C524" i="12"/>
  <c r="B524" i="12"/>
  <c r="A524" i="12"/>
  <c r="E523" i="12"/>
  <c r="D523" i="12"/>
  <c r="C523" i="12"/>
  <c r="B523" i="12"/>
  <c r="A523" i="12"/>
  <c r="E522" i="12"/>
  <c r="D522" i="12"/>
  <c r="C522" i="12"/>
  <c r="B522" i="12"/>
  <c r="A522" i="12"/>
  <c r="E521" i="12"/>
  <c r="D521" i="12"/>
  <c r="C521" i="12"/>
  <c r="A521" i="12"/>
  <c r="B521" i="12" s="1"/>
  <c r="E520" i="12"/>
  <c r="D520" i="12"/>
  <c r="C520" i="12"/>
  <c r="A520" i="12"/>
  <c r="B520" i="12" s="1"/>
  <c r="E519" i="12"/>
  <c r="D519" i="12"/>
  <c r="C519" i="12"/>
  <c r="A519" i="12"/>
  <c r="B519" i="12" s="1"/>
  <c r="E518" i="12"/>
  <c r="D518" i="12"/>
  <c r="C518" i="12"/>
  <c r="A518" i="12"/>
  <c r="B518" i="12" s="1"/>
  <c r="E517" i="12"/>
  <c r="D517" i="12"/>
  <c r="C517" i="12"/>
  <c r="B517" i="12"/>
  <c r="A517" i="12"/>
  <c r="E516" i="12"/>
  <c r="D516" i="12"/>
  <c r="C516" i="12"/>
  <c r="B516" i="12"/>
  <c r="A516" i="12"/>
  <c r="E515" i="12"/>
  <c r="D515" i="12"/>
  <c r="C515" i="12"/>
  <c r="B515" i="12"/>
  <c r="A515" i="12"/>
  <c r="E514" i="12"/>
  <c r="D514" i="12"/>
  <c r="C514" i="12"/>
  <c r="A514" i="12"/>
  <c r="B514" i="12" s="1"/>
  <c r="E513" i="12"/>
  <c r="D513" i="12"/>
  <c r="C513" i="12"/>
  <c r="A513" i="12"/>
  <c r="B513" i="12" s="1"/>
  <c r="E512" i="12"/>
  <c r="D512" i="12"/>
  <c r="C512" i="12"/>
  <c r="A512" i="12"/>
  <c r="B512" i="12" s="1"/>
  <c r="E511" i="12"/>
  <c r="D511" i="12"/>
  <c r="C511" i="12"/>
  <c r="B511" i="12"/>
  <c r="A511" i="12"/>
  <c r="E510" i="12"/>
  <c r="D510" i="12"/>
  <c r="C510" i="12"/>
  <c r="A510" i="12"/>
  <c r="B510" i="12" s="1"/>
  <c r="E509" i="12"/>
  <c r="D509" i="12"/>
  <c r="C509" i="12"/>
  <c r="A509" i="12"/>
  <c r="B509" i="12" s="1"/>
  <c r="E508" i="12"/>
  <c r="D508" i="12"/>
  <c r="C508" i="12"/>
  <c r="B508" i="12"/>
  <c r="A508" i="12"/>
  <c r="E507" i="12"/>
  <c r="D507" i="12"/>
  <c r="C507" i="12"/>
  <c r="B507" i="12"/>
  <c r="A507" i="12"/>
  <c r="E506" i="12"/>
  <c r="D506" i="12"/>
  <c r="C506" i="12"/>
  <c r="B506" i="12"/>
  <c r="A506" i="12"/>
  <c r="E505" i="12"/>
  <c r="D505" i="12"/>
  <c r="C505" i="12"/>
  <c r="B505" i="12"/>
  <c r="A505" i="12"/>
  <c r="E504" i="12"/>
  <c r="D504" i="12"/>
  <c r="C504" i="12"/>
  <c r="B504" i="12"/>
  <c r="A504" i="12"/>
  <c r="E503" i="12"/>
  <c r="D503" i="12"/>
  <c r="C503" i="12"/>
  <c r="A503" i="12"/>
  <c r="B503" i="12" s="1"/>
  <c r="E502" i="12"/>
  <c r="D502" i="12"/>
  <c r="C502" i="12"/>
  <c r="A502" i="12"/>
  <c r="B502" i="12" s="1"/>
  <c r="E501" i="12"/>
  <c r="D501" i="12"/>
  <c r="C501" i="12"/>
  <c r="B501" i="12"/>
  <c r="A501" i="12"/>
  <c r="E500" i="12"/>
  <c r="D500" i="12"/>
  <c r="C500" i="12"/>
  <c r="B500" i="12"/>
  <c r="A500" i="12"/>
  <c r="E499" i="12"/>
  <c r="D499" i="12"/>
  <c r="C499" i="12"/>
  <c r="B499" i="12"/>
  <c r="A499" i="12"/>
  <c r="E498" i="12"/>
  <c r="D498" i="12"/>
  <c r="C498" i="12"/>
  <c r="A498" i="12"/>
  <c r="B498" i="12" s="1"/>
  <c r="E497" i="12"/>
  <c r="D497" i="12"/>
  <c r="C497" i="12"/>
  <c r="A497" i="12"/>
  <c r="B497" i="12" s="1"/>
  <c r="E496" i="12"/>
  <c r="D496" i="12"/>
  <c r="C496" i="12"/>
  <c r="A496" i="12"/>
  <c r="B496" i="12" s="1"/>
  <c r="E495" i="12"/>
  <c r="D495" i="12"/>
  <c r="C495" i="12"/>
  <c r="B495" i="12"/>
  <c r="A495" i="12"/>
  <c r="E494" i="12"/>
  <c r="D494" i="12"/>
  <c r="C494" i="12"/>
  <c r="A494" i="12"/>
  <c r="B494" i="12" s="1"/>
  <c r="E493" i="12"/>
  <c r="D493" i="12"/>
  <c r="C493" i="12"/>
  <c r="B493" i="12"/>
  <c r="A493" i="12"/>
  <c r="E492" i="12"/>
  <c r="D492" i="12"/>
  <c r="C492" i="12"/>
  <c r="A492" i="12"/>
  <c r="B492" i="12" s="1"/>
  <c r="E491" i="12"/>
  <c r="D491" i="12"/>
  <c r="C491" i="12"/>
  <c r="B491" i="12"/>
  <c r="A491" i="12"/>
  <c r="E490" i="12"/>
  <c r="D490" i="12"/>
  <c r="C490" i="12"/>
  <c r="A490" i="12"/>
  <c r="B490" i="12" s="1"/>
  <c r="E489" i="12"/>
  <c r="D489" i="12"/>
  <c r="C489" i="12"/>
  <c r="A489" i="12"/>
  <c r="B489" i="12" s="1"/>
  <c r="E488" i="12"/>
  <c r="D488" i="12"/>
  <c r="C488" i="12"/>
  <c r="B488" i="12"/>
  <c r="A488" i="12"/>
  <c r="E487" i="12"/>
  <c r="D487" i="12"/>
  <c r="C487" i="12"/>
  <c r="A487" i="12"/>
  <c r="B487" i="12" s="1"/>
  <c r="E486" i="12"/>
  <c r="D486" i="12"/>
  <c r="C486" i="12"/>
  <c r="A486" i="12"/>
  <c r="B486" i="12" s="1"/>
  <c r="E485" i="12"/>
  <c r="D485" i="12"/>
  <c r="C485" i="12"/>
  <c r="B485" i="12"/>
  <c r="A485" i="12"/>
  <c r="E484" i="12"/>
  <c r="D484" i="12"/>
  <c r="C484" i="12"/>
  <c r="A484" i="12"/>
  <c r="B484" i="12" s="1"/>
  <c r="E483" i="12"/>
  <c r="D483" i="12"/>
  <c r="C483" i="12"/>
  <c r="B483" i="12"/>
  <c r="A483" i="12"/>
  <c r="E482" i="12"/>
  <c r="D482" i="12"/>
  <c r="C482" i="12"/>
  <c r="A482" i="12"/>
  <c r="B482" i="12" s="1"/>
  <c r="E481" i="12"/>
  <c r="D481" i="12"/>
  <c r="C481" i="12"/>
  <c r="B481" i="12"/>
  <c r="A481" i="12"/>
  <c r="E480" i="12"/>
  <c r="D480" i="12"/>
  <c r="C480" i="12"/>
  <c r="B480" i="12"/>
  <c r="A480" i="12"/>
  <c r="E479" i="12"/>
  <c r="D479" i="12"/>
  <c r="C479" i="12"/>
  <c r="A479" i="12"/>
  <c r="B479" i="12" s="1"/>
  <c r="E478" i="12"/>
  <c r="D478" i="12"/>
  <c r="C478" i="12"/>
  <c r="A478" i="12"/>
  <c r="B478" i="12" s="1"/>
  <c r="E477" i="12"/>
  <c r="D477" i="12"/>
  <c r="C477" i="12"/>
  <c r="A477" i="12"/>
  <c r="B477" i="12" s="1"/>
  <c r="E476" i="12"/>
  <c r="D476" i="12"/>
  <c r="C476" i="12"/>
  <c r="B476" i="12"/>
  <c r="A476" i="12"/>
  <c r="E475" i="12"/>
  <c r="D475" i="12"/>
  <c r="C475" i="12"/>
  <c r="B475" i="12"/>
  <c r="A475" i="12"/>
  <c r="E474" i="12"/>
  <c r="D474" i="12"/>
  <c r="C474" i="12"/>
  <c r="A474" i="12"/>
  <c r="B474" i="12" s="1"/>
  <c r="E473" i="12"/>
  <c r="D473" i="12"/>
  <c r="C473" i="12"/>
  <c r="A473" i="12"/>
  <c r="B473" i="12" s="1"/>
  <c r="E472" i="12"/>
  <c r="D472" i="12"/>
  <c r="C472" i="12"/>
  <c r="B472" i="12"/>
  <c r="A472" i="12"/>
  <c r="E471" i="12"/>
  <c r="D471" i="12"/>
  <c r="C471" i="12"/>
  <c r="A471" i="12"/>
  <c r="B471" i="12" s="1"/>
  <c r="E470" i="12"/>
  <c r="D470" i="12"/>
  <c r="C470" i="12"/>
  <c r="A470" i="12"/>
  <c r="B470" i="12" s="1"/>
  <c r="E469" i="12"/>
  <c r="D469" i="12"/>
  <c r="C469" i="12"/>
  <c r="A469" i="12"/>
  <c r="B469" i="12" s="1"/>
  <c r="E468" i="12"/>
  <c r="D468" i="12"/>
  <c r="C468" i="12"/>
  <c r="A468" i="12"/>
  <c r="B468" i="12" s="1"/>
  <c r="E467" i="12"/>
  <c r="D467" i="12"/>
  <c r="C467" i="12"/>
  <c r="B467" i="12"/>
  <c r="A467" i="12"/>
  <c r="E466" i="12"/>
  <c r="D466" i="12"/>
  <c r="C466" i="12"/>
  <c r="A466" i="12"/>
  <c r="B466" i="12" s="1"/>
  <c r="E465" i="12"/>
  <c r="D465" i="12"/>
  <c r="C465" i="12"/>
  <c r="B465" i="12"/>
  <c r="A465" i="12"/>
  <c r="E464" i="12"/>
  <c r="D464" i="12"/>
  <c r="C464" i="12"/>
  <c r="B464" i="12"/>
  <c r="A464" i="12"/>
  <c r="E463" i="12"/>
  <c r="D463" i="12"/>
  <c r="C463" i="12"/>
  <c r="B463" i="12"/>
  <c r="A463" i="12"/>
  <c r="E462" i="12"/>
  <c r="D462" i="12"/>
  <c r="C462" i="12"/>
  <c r="A462" i="12"/>
  <c r="B462" i="12" s="1"/>
  <c r="E461" i="12"/>
  <c r="D461" i="12"/>
  <c r="C461" i="12"/>
  <c r="A461" i="12"/>
  <c r="B461" i="12" s="1"/>
  <c r="E460" i="12"/>
  <c r="D460" i="12"/>
  <c r="C460" i="12"/>
  <c r="B460" i="12"/>
  <c r="A460" i="12"/>
  <c r="E459" i="12"/>
  <c r="D459" i="12"/>
  <c r="C459" i="12"/>
  <c r="B459" i="12"/>
  <c r="A459" i="12"/>
  <c r="E458" i="12"/>
  <c r="D458" i="12"/>
  <c r="C458" i="12"/>
  <c r="B458" i="12"/>
  <c r="A458" i="12"/>
  <c r="E457" i="12"/>
  <c r="D457" i="12"/>
  <c r="C457" i="12"/>
  <c r="B457" i="12"/>
  <c r="A457" i="12"/>
  <c r="E456" i="12"/>
  <c r="D456" i="12"/>
  <c r="C456" i="12"/>
  <c r="A456" i="12"/>
  <c r="B456" i="12" s="1"/>
  <c r="E455" i="12"/>
  <c r="D455" i="12"/>
  <c r="C455" i="12"/>
  <c r="A455" i="12"/>
  <c r="B455" i="12" s="1"/>
  <c r="E454" i="12"/>
  <c r="D454" i="12"/>
  <c r="C454" i="12"/>
  <c r="A454" i="12"/>
  <c r="B454" i="12" s="1"/>
  <c r="E453" i="12"/>
  <c r="D453" i="12"/>
  <c r="C453" i="12"/>
  <c r="B453" i="12"/>
  <c r="A453" i="12"/>
  <c r="E452" i="12"/>
  <c r="D452" i="12"/>
  <c r="C452" i="12"/>
  <c r="A452" i="12"/>
  <c r="B452" i="12" s="1"/>
  <c r="E451" i="12"/>
  <c r="D451" i="12"/>
  <c r="C451" i="12"/>
  <c r="B451" i="12"/>
  <c r="A451" i="12"/>
  <c r="E450" i="12"/>
  <c r="D450" i="12"/>
  <c r="C450" i="12"/>
  <c r="A450" i="12"/>
  <c r="B450" i="12" s="1"/>
  <c r="E449" i="12"/>
  <c r="D449" i="12"/>
  <c r="C449" i="12"/>
  <c r="B449" i="12"/>
  <c r="A449" i="12"/>
  <c r="E448" i="12"/>
  <c r="D448" i="12"/>
  <c r="C448" i="12"/>
  <c r="A448" i="12"/>
  <c r="B448" i="12" s="1"/>
  <c r="E447" i="12"/>
  <c r="D447" i="12"/>
  <c r="C447" i="12"/>
  <c r="B447" i="12"/>
  <c r="A447" i="12"/>
  <c r="E446" i="12"/>
  <c r="D446" i="12"/>
  <c r="C446" i="12"/>
  <c r="A446" i="12"/>
  <c r="B446" i="12" s="1"/>
  <c r="E445" i="12"/>
  <c r="D445" i="12"/>
  <c r="C445" i="12"/>
  <c r="A445" i="12"/>
  <c r="B445" i="12" s="1"/>
  <c r="E444" i="12"/>
  <c r="D444" i="12"/>
  <c r="C444" i="12"/>
  <c r="A444" i="12"/>
  <c r="B444" i="12" s="1"/>
  <c r="E443" i="12"/>
  <c r="D443" i="12"/>
  <c r="C443" i="12"/>
  <c r="B443" i="12"/>
  <c r="A443" i="12"/>
  <c r="E442" i="12"/>
  <c r="D442" i="12"/>
  <c r="C442" i="12"/>
  <c r="B442" i="12"/>
  <c r="A442" i="12"/>
  <c r="E441" i="12"/>
  <c r="D441" i="12"/>
  <c r="C441" i="12"/>
  <c r="A441" i="12"/>
  <c r="B441" i="12" s="1"/>
  <c r="E440" i="12"/>
  <c r="D440" i="12"/>
  <c r="C440" i="12"/>
  <c r="B440" i="12"/>
  <c r="A440" i="12"/>
  <c r="E439" i="12"/>
  <c r="D439" i="12"/>
  <c r="C439" i="12"/>
  <c r="A439" i="12"/>
  <c r="B439" i="12" s="1"/>
  <c r="E438" i="12"/>
  <c r="D438" i="12"/>
  <c r="C438" i="12"/>
  <c r="A438" i="12"/>
  <c r="B438" i="12" s="1"/>
  <c r="E437" i="12"/>
  <c r="D437" i="12"/>
  <c r="C437" i="12"/>
  <c r="B437" i="12"/>
  <c r="A437" i="12"/>
  <c r="E436" i="12"/>
  <c r="D436" i="12"/>
  <c r="C436" i="12"/>
  <c r="A436" i="12"/>
  <c r="B436" i="12" s="1"/>
  <c r="E435" i="12"/>
  <c r="D435" i="12"/>
  <c r="C435" i="12"/>
  <c r="B435" i="12"/>
  <c r="A435" i="12"/>
  <c r="E434" i="12"/>
  <c r="D434" i="12"/>
  <c r="C434" i="12"/>
  <c r="A434" i="12"/>
  <c r="B434" i="12" s="1"/>
  <c r="E433" i="12"/>
  <c r="D433" i="12"/>
  <c r="C433" i="12"/>
  <c r="A433" i="12"/>
  <c r="B433" i="12" s="1"/>
  <c r="E432" i="12"/>
  <c r="D432" i="12"/>
  <c r="C432" i="12"/>
  <c r="A432" i="12"/>
  <c r="B432" i="12" s="1"/>
  <c r="E431" i="12"/>
  <c r="D431" i="12"/>
  <c r="C431" i="12"/>
  <c r="B431" i="12"/>
  <c r="A431" i="12"/>
  <c r="E430" i="12"/>
  <c r="D430" i="12"/>
  <c r="C430" i="12"/>
  <c r="A430" i="12"/>
  <c r="B430" i="12" s="1"/>
  <c r="E429" i="12"/>
  <c r="D429" i="12"/>
  <c r="C429" i="12"/>
  <c r="A429" i="12"/>
  <c r="B429" i="12" s="1"/>
  <c r="E428" i="12"/>
  <c r="D428" i="12"/>
  <c r="C428" i="12"/>
  <c r="A428" i="12"/>
  <c r="B428" i="12" s="1"/>
  <c r="E427" i="12"/>
  <c r="D427" i="12"/>
  <c r="C427" i="12"/>
  <c r="B427" i="12"/>
  <c r="A427" i="12"/>
  <c r="E426" i="12"/>
  <c r="D426" i="12"/>
  <c r="C426" i="12"/>
  <c r="A426" i="12"/>
  <c r="B426" i="12" s="1"/>
  <c r="E425" i="12"/>
  <c r="D425" i="12"/>
  <c r="C425" i="12"/>
  <c r="A425" i="12"/>
  <c r="B425" i="12" s="1"/>
  <c r="E424" i="12"/>
  <c r="D424" i="12"/>
  <c r="C424" i="12"/>
  <c r="B424" i="12"/>
  <c r="A424" i="12"/>
  <c r="E423" i="12"/>
  <c r="D423" i="12"/>
  <c r="C423" i="12"/>
  <c r="A423" i="12"/>
  <c r="B423" i="12" s="1"/>
  <c r="E422" i="12"/>
  <c r="D422" i="12"/>
  <c r="C422" i="12"/>
  <c r="A422" i="12"/>
  <c r="B422" i="12" s="1"/>
  <c r="E421" i="12"/>
  <c r="D421" i="12"/>
  <c r="C421" i="12"/>
  <c r="A421" i="12"/>
  <c r="B421" i="12" s="1"/>
  <c r="E420" i="12"/>
  <c r="D420" i="12"/>
  <c r="C420" i="12"/>
  <c r="A420" i="12"/>
  <c r="B420" i="12" s="1"/>
  <c r="E419" i="12"/>
  <c r="D419" i="12"/>
  <c r="C419" i="12"/>
  <c r="B419" i="12"/>
  <c r="A419" i="12"/>
  <c r="E418" i="12"/>
  <c r="D418" i="12"/>
  <c r="C418" i="12"/>
  <c r="B418" i="12"/>
  <c r="A418" i="12"/>
  <c r="E417" i="12"/>
  <c r="D417" i="12"/>
  <c r="C417" i="12"/>
  <c r="B417" i="12"/>
  <c r="A417" i="12"/>
  <c r="E416" i="12"/>
  <c r="D416" i="12"/>
  <c r="C416" i="12"/>
  <c r="A416" i="12"/>
  <c r="B416" i="12" s="1"/>
  <c r="E415" i="12"/>
  <c r="D415" i="12"/>
  <c r="C415" i="12"/>
  <c r="A415" i="12"/>
  <c r="B415" i="12" s="1"/>
  <c r="E414" i="12"/>
  <c r="D414" i="12"/>
  <c r="C414" i="12"/>
  <c r="A414" i="12"/>
  <c r="B414" i="12" s="1"/>
  <c r="E413" i="12"/>
  <c r="D413" i="12"/>
  <c r="C413" i="12"/>
  <c r="A413" i="12"/>
  <c r="B413" i="12" s="1"/>
  <c r="E412" i="12"/>
  <c r="D412" i="12"/>
  <c r="C412" i="12"/>
  <c r="B412" i="12"/>
  <c r="A412" i="12"/>
  <c r="E411" i="12"/>
  <c r="D411" i="12"/>
  <c r="C411" i="12"/>
  <c r="B411" i="12"/>
  <c r="A411" i="12"/>
  <c r="E410" i="12"/>
  <c r="D410" i="12"/>
  <c r="C410" i="12"/>
  <c r="A410" i="12"/>
  <c r="B410" i="12" s="1"/>
  <c r="E409" i="12"/>
  <c r="D409" i="12"/>
  <c r="C409" i="12"/>
  <c r="A409" i="12"/>
  <c r="B409" i="12" s="1"/>
  <c r="E408" i="12"/>
  <c r="D408" i="12"/>
  <c r="C408" i="12"/>
  <c r="A408" i="12"/>
  <c r="B408" i="12" s="1"/>
  <c r="E407" i="12"/>
  <c r="D407" i="12"/>
  <c r="C407" i="12"/>
  <c r="A407" i="12"/>
  <c r="B407" i="12" s="1"/>
  <c r="E406" i="12"/>
  <c r="D406" i="12"/>
  <c r="C406" i="12"/>
  <c r="A406" i="12"/>
  <c r="B406" i="12" s="1"/>
  <c r="E405" i="12"/>
  <c r="D405" i="12"/>
  <c r="C405" i="12"/>
  <c r="A405" i="12"/>
  <c r="B405" i="12" s="1"/>
  <c r="E404" i="12"/>
  <c r="D404" i="12"/>
  <c r="C404" i="12"/>
  <c r="A404" i="12"/>
  <c r="B404" i="12" s="1"/>
  <c r="E403" i="12"/>
  <c r="D403" i="12"/>
  <c r="C403" i="12"/>
  <c r="B403" i="12"/>
  <c r="A403" i="12"/>
  <c r="E402" i="12"/>
  <c r="D402" i="12"/>
  <c r="C402" i="12"/>
  <c r="A402" i="12"/>
  <c r="B402" i="12" s="1"/>
  <c r="E401" i="12"/>
  <c r="D401" i="12"/>
  <c r="C401" i="12"/>
  <c r="B401" i="12"/>
  <c r="A401" i="12"/>
  <c r="E400" i="12"/>
  <c r="D400" i="12"/>
  <c r="C400" i="12"/>
  <c r="A400" i="12"/>
  <c r="B400" i="12" s="1"/>
  <c r="E399" i="12"/>
  <c r="D399" i="12"/>
  <c r="C399" i="12"/>
  <c r="B399" i="12"/>
  <c r="A399" i="12"/>
  <c r="E398" i="12"/>
  <c r="D398" i="12"/>
  <c r="C398" i="12"/>
  <c r="A398" i="12"/>
  <c r="B398" i="12" s="1"/>
  <c r="E397" i="12"/>
  <c r="D397" i="12"/>
  <c r="C397" i="12"/>
  <c r="A397" i="12"/>
  <c r="B397" i="12" s="1"/>
  <c r="E396" i="12"/>
  <c r="D396" i="12"/>
  <c r="C396" i="12"/>
  <c r="B396" i="12"/>
  <c r="A396" i="12"/>
  <c r="E395" i="12"/>
  <c r="D395" i="12"/>
  <c r="C395" i="12"/>
  <c r="B395" i="12"/>
  <c r="A395" i="12"/>
  <c r="E394" i="12"/>
  <c r="D394" i="12"/>
  <c r="C394" i="12"/>
  <c r="B394" i="12"/>
  <c r="A394" i="12"/>
  <c r="E393" i="12"/>
  <c r="D393" i="12"/>
  <c r="C393" i="12"/>
  <c r="A393" i="12"/>
  <c r="B393" i="12" s="1"/>
  <c r="E392" i="12"/>
  <c r="D392" i="12"/>
  <c r="C392" i="12"/>
  <c r="A392" i="12"/>
  <c r="B392" i="12" s="1"/>
  <c r="E391" i="12"/>
  <c r="D391" i="12"/>
  <c r="C391" i="12"/>
  <c r="A391" i="12"/>
  <c r="B391" i="12" s="1"/>
  <c r="E390" i="12"/>
  <c r="D390" i="12"/>
  <c r="C390" i="12"/>
  <c r="A390" i="12"/>
  <c r="B390" i="12" s="1"/>
  <c r="E389" i="12"/>
  <c r="D389" i="12"/>
  <c r="C389" i="12"/>
  <c r="B389" i="12"/>
  <c r="A389" i="12"/>
  <c r="E388" i="12"/>
  <c r="D388" i="12"/>
  <c r="C388" i="12"/>
  <c r="B388" i="12"/>
  <c r="A388" i="12"/>
  <c r="E387" i="12"/>
  <c r="D387" i="12"/>
  <c r="C387" i="12"/>
  <c r="B387" i="12"/>
  <c r="A387" i="12"/>
  <c r="E386" i="12"/>
  <c r="D386" i="12"/>
  <c r="C386" i="12"/>
  <c r="A386" i="12"/>
  <c r="B386" i="12" s="1"/>
  <c r="E385" i="12"/>
  <c r="D385" i="12"/>
  <c r="C385" i="12"/>
  <c r="A385" i="12"/>
  <c r="B385" i="12" s="1"/>
  <c r="E384" i="12"/>
  <c r="D384" i="12"/>
  <c r="C384" i="12"/>
  <c r="A384" i="12"/>
  <c r="B384" i="12" s="1"/>
  <c r="E383" i="12"/>
  <c r="D383" i="12"/>
  <c r="C383" i="12"/>
  <c r="B383" i="12"/>
  <c r="A383" i="12"/>
  <c r="E382" i="12"/>
  <c r="D382" i="12"/>
  <c r="C382" i="12"/>
  <c r="A382" i="12"/>
  <c r="B382" i="12" s="1"/>
  <c r="E381" i="12"/>
  <c r="D381" i="12"/>
  <c r="C381" i="12"/>
  <c r="A381" i="12"/>
  <c r="B381" i="12" s="1"/>
  <c r="E380" i="12"/>
  <c r="D380" i="12"/>
  <c r="C380" i="12"/>
  <c r="B380" i="12"/>
  <c r="A380" i="12"/>
  <c r="E379" i="12"/>
  <c r="D379" i="12"/>
  <c r="C379" i="12"/>
  <c r="B379" i="12"/>
  <c r="A379" i="12"/>
  <c r="E378" i="12"/>
  <c r="D378" i="12"/>
  <c r="C378" i="12"/>
  <c r="B378" i="12"/>
  <c r="A378" i="12"/>
  <c r="E377" i="12"/>
  <c r="D377" i="12"/>
  <c r="C377" i="12"/>
  <c r="A377" i="12"/>
  <c r="B377" i="12" s="1"/>
  <c r="E376" i="12"/>
  <c r="D376" i="12"/>
  <c r="C376" i="12"/>
  <c r="B376" i="12"/>
  <c r="A376" i="12"/>
  <c r="E375" i="12"/>
  <c r="D375" i="12"/>
  <c r="C375" i="12"/>
  <c r="A375" i="12"/>
  <c r="B375" i="12" s="1"/>
  <c r="E374" i="12"/>
  <c r="D374" i="12"/>
  <c r="C374" i="12"/>
  <c r="A374" i="12"/>
  <c r="B374" i="12" s="1"/>
  <c r="E373" i="12"/>
  <c r="D373" i="12"/>
  <c r="C373" i="12"/>
  <c r="B373" i="12"/>
  <c r="A373" i="12"/>
  <c r="E372" i="12"/>
  <c r="D372" i="12"/>
  <c r="C372" i="12"/>
  <c r="B372" i="12"/>
  <c r="A372" i="12"/>
  <c r="E371" i="12"/>
  <c r="D371" i="12"/>
  <c r="C371" i="12"/>
  <c r="B371" i="12"/>
  <c r="A371" i="12"/>
  <c r="E370" i="12"/>
  <c r="D370" i="12"/>
  <c r="C370" i="12"/>
  <c r="A370" i="12"/>
  <c r="B370" i="12" s="1"/>
  <c r="E369" i="12"/>
  <c r="D369" i="12"/>
  <c r="C369" i="12"/>
  <c r="A369" i="12"/>
  <c r="B369" i="12" s="1"/>
  <c r="E368" i="12"/>
  <c r="D368" i="12"/>
  <c r="C368" i="12"/>
  <c r="A368" i="12"/>
  <c r="B368" i="12" s="1"/>
  <c r="E367" i="12"/>
  <c r="D367" i="12"/>
  <c r="C367" i="12"/>
  <c r="A367" i="12"/>
  <c r="B367" i="12" s="1"/>
  <c r="E366" i="12"/>
  <c r="D366" i="12"/>
  <c r="C366" i="12"/>
  <c r="A366" i="12"/>
  <c r="B366" i="12" s="1"/>
  <c r="E365" i="12"/>
  <c r="D365" i="12"/>
  <c r="C365" i="12"/>
  <c r="A365" i="12"/>
  <c r="B365" i="12" s="1"/>
  <c r="E364" i="12"/>
  <c r="D364" i="12"/>
  <c r="C364" i="12"/>
  <c r="A364" i="12"/>
  <c r="B364" i="12" s="1"/>
  <c r="E363" i="12"/>
  <c r="D363" i="12"/>
  <c r="C363" i="12"/>
  <c r="B363" i="12"/>
  <c r="A363" i="12"/>
  <c r="E362" i="12"/>
  <c r="D362" i="12"/>
  <c r="C362" i="12"/>
  <c r="A362" i="12"/>
  <c r="B362" i="12" s="1"/>
  <c r="E361" i="12"/>
  <c r="D361" i="12"/>
  <c r="C361" i="12"/>
  <c r="A361" i="12"/>
  <c r="B361" i="12" s="1"/>
  <c r="E360" i="12"/>
  <c r="D360" i="12"/>
  <c r="C360" i="12"/>
  <c r="B360" i="12"/>
  <c r="A360" i="12"/>
  <c r="E359" i="12"/>
  <c r="D359" i="12"/>
  <c r="C359" i="12"/>
  <c r="B359" i="12"/>
  <c r="A359" i="12"/>
  <c r="E358" i="12"/>
  <c r="D358" i="12"/>
  <c r="C358" i="12"/>
  <c r="A358" i="12"/>
  <c r="B358" i="12" s="1"/>
  <c r="E357" i="12"/>
  <c r="D357" i="12"/>
  <c r="C357" i="12"/>
  <c r="B357" i="12"/>
  <c r="A357" i="12"/>
  <c r="E356" i="12"/>
  <c r="D356" i="12"/>
  <c r="C356" i="12"/>
  <c r="A356" i="12"/>
  <c r="B356" i="12" s="1"/>
  <c r="E355" i="12"/>
  <c r="D355" i="12"/>
  <c r="C355" i="12"/>
  <c r="B355" i="12"/>
  <c r="A355" i="12"/>
  <c r="E354" i="12"/>
  <c r="D354" i="12"/>
  <c r="C354" i="12"/>
  <c r="A354" i="12"/>
  <c r="B354" i="12" s="1"/>
  <c r="E353" i="12"/>
  <c r="D353" i="12"/>
  <c r="C353" i="12"/>
  <c r="B353" i="12"/>
  <c r="A353" i="12"/>
  <c r="E352" i="12"/>
  <c r="D352" i="12"/>
  <c r="C352" i="12"/>
  <c r="B352" i="12"/>
  <c r="A352" i="12"/>
  <c r="E351" i="12"/>
  <c r="D351" i="12"/>
  <c r="C351" i="12"/>
  <c r="A351" i="12"/>
  <c r="B351" i="12" s="1"/>
  <c r="E350" i="12"/>
  <c r="D350" i="12"/>
  <c r="C350" i="12"/>
  <c r="A350" i="12"/>
  <c r="B350" i="12" s="1"/>
  <c r="E349" i="12"/>
  <c r="D349" i="12"/>
  <c r="C349" i="12"/>
  <c r="A349" i="12"/>
  <c r="B349" i="12" s="1"/>
  <c r="E348" i="12"/>
  <c r="D348" i="12"/>
  <c r="C348" i="12"/>
  <c r="B348" i="12"/>
  <c r="A348" i="12"/>
  <c r="E347" i="12"/>
  <c r="D347" i="12"/>
  <c r="C347" i="12"/>
  <c r="B347" i="12"/>
  <c r="A347" i="12"/>
  <c r="E346" i="12"/>
  <c r="D346" i="12"/>
  <c r="C346" i="12"/>
  <c r="A346" i="12"/>
  <c r="B346" i="12" s="1"/>
  <c r="E345" i="12"/>
  <c r="D345" i="12"/>
  <c r="C345" i="12"/>
  <c r="A345" i="12"/>
  <c r="B345" i="12" s="1"/>
  <c r="E344" i="12"/>
  <c r="D344" i="12"/>
  <c r="C344" i="12"/>
  <c r="B344" i="12"/>
  <c r="A344" i="12"/>
  <c r="E343" i="12"/>
  <c r="D343" i="12"/>
  <c r="C343" i="12"/>
  <c r="A343" i="12"/>
  <c r="B343" i="12" s="1"/>
  <c r="E342" i="12"/>
  <c r="D342" i="12"/>
  <c r="C342" i="12"/>
  <c r="A342" i="12"/>
  <c r="B342" i="12" s="1"/>
  <c r="E341" i="12"/>
  <c r="D341" i="12"/>
  <c r="C341" i="12"/>
  <c r="A341" i="12"/>
  <c r="B341" i="12" s="1"/>
  <c r="E340" i="12"/>
  <c r="D340" i="12"/>
  <c r="C340" i="12"/>
  <c r="A340" i="12"/>
  <c r="B340" i="12" s="1"/>
  <c r="E339" i="12"/>
  <c r="D339" i="12"/>
  <c r="C339" i="12"/>
  <c r="B339" i="12"/>
  <c r="A339" i="12"/>
  <c r="E338" i="12"/>
  <c r="D338" i="12"/>
  <c r="C338" i="12"/>
  <c r="A338" i="12"/>
  <c r="B338" i="12" s="1"/>
  <c r="E337" i="12"/>
  <c r="D337" i="12"/>
  <c r="C337" i="12"/>
  <c r="B337" i="12"/>
  <c r="A337" i="12"/>
  <c r="E336" i="12"/>
  <c r="D336" i="12"/>
  <c r="C336" i="12"/>
  <c r="A336" i="12"/>
  <c r="B336" i="12" s="1"/>
  <c r="E335" i="12"/>
  <c r="D335" i="12"/>
  <c r="C335" i="12"/>
  <c r="B335" i="12"/>
  <c r="A335" i="12"/>
  <c r="E334" i="12"/>
  <c r="D334" i="12"/>
  <c r="C334" i="12"/>
  <c r="A334" i="12"/>
  <c r="B334" i="12" s="1"/>
  <c r="E333" i="12"/>
  <c r="D333" i="12"/>
  <c r="C333" i="12"/>
  <c r="A333" i="12"/>
  <c r="B333" i="12" s="1"/>
  <c r="E332" i="12"/>
  <c r="D332" i="12"/>
  <c r="C332" i="12"/>
  <c r="B332" i="12"/>
  <c r="A332" i="12"/>
  <c r="E331" i="12"/>
  <c r="D331" i="12"/>
  <c r="C331" i="12"/>
  <c r="B331" i="12"/>
  <c r="A331" i="12"/>
  <c r="E330" i="12"/>
  <c r="D330" i="12"/>
  <c r="C330" i="12"/>
  <c r="B330" i="12"/>
  <c r="A330" i="12"/>
  <c r="E329" i="12"/>
  <c r="D329" i="12"/>
  <c r="C329" i="12"/>
  <c r="B329" i="12"/>
  <c r="A329" i="12"/>
  <c r="E328" i="12"/>
  <c r="D328" i="12"/>
  <c r="C328" i="12"/>
  <c r="A328" i="12"/>
  <c r="B328" i="12" s="1"/>
  <c r="E327" i="12"/>
  <c r="D327" i="12"/>
  <c r="C327" i="12"/>
  <c r="A327" i="12"/>
  <c r="B327" i="12" s="1"/>
  <c r="E326" i="12"/>
  <c r="D326" i="12"/>
  <c r="C326" i="12"/>
  <c r="A326" i="12"/>
  <c r="B326" i="12" s="1"/>
  <c r="E325" i="12"/>
  <c r="D325" i="12"/>
  <c r="C325" i="12"/>
  <c r="B325" i="12"/>
  <c r="A325" i="12"/>
  <c r="E324" i="12"/>
  <c r="D324" i="12"/>
  <c r="C324" i="12"/>
  <c r="A324" i="12"/>
  <c r="B324" i="12" s="1"/>
  <c r="E323" i="12"/>
  <c r="D323" i="12"/>
  <c r="C323" i="12"/>
  <c r="B323" i="12"/>
  <c r="A323" i="12"/>
  <c r="E322" i="12"/>
  <c r="D322" i="12"/>
  <c r="C322" i="12"/>
  <c r="A322" i="12"/>
  <c r="B322" i="12" s="1"/>
  <c r="E321" i="12"/>
  <c r="D321" i="12"/>
  <c r="C321" i="12"/>
  <c r="B321" i="12"/>
  <c r="A321" i="12"/>
  <c r="E320" i="12"/>
  <c r="D320" i="12"/>
  <c r="C320" i="12"/>
  <c r="A320" i="12"/>
  <c r="B320" i="12" s="1"/>
  <c r="E319" i="12"/>
  <c r="D319" i="12"/>
  <c r="C319" i="12"/>
  <c r="B319" i="12"/>
  <c r="A319" i="12"/>
  <c r="E318" i="12"/>
  <c r="D318" i="12"/>
  <c r="C318" i="12"/>
  <c r="A318" i="12"/>
  <c r="B318" i="12" s="1"/>
  <c r="E317" i="12"/>
  <c r="D317" i="12"/>
  <c r="C317" i="12"/>
  <c r="A317" i="12"/>
  <c r="B317" i="12" s="1"/>
  <c r="E316" i="12"/>
  <c r="D316" i="12"/>
  <c r="C316" i="12"/>
  <c r="A316" i="12"/>
  <c r="B316" i="12" s="1"/>
  <c r="E315" i="12"/>
  <c r="D315" i="12"/>
  <c r="C315" i="12"/>
  <c r="B315" i="12"/>
  <c r="A315" i="12"/>
  <c r="E314" i="12"/>
  <c r="D314" i="12"/>
  <c r="C314" i="12"/>
  <c r="B314" i="12"/>
  <c r="A314" i="12"/>
  <c r="E313" i="12"/>
  <c r="D313" i="12"/>
  <c r="C313" i="12"/>
  <c r="A313" i="12"/>
  <c r="B313" i="12" s="1"/>
  <c r="E312" i="12"/>
  <c r="D312" i="12"/>
  <c r="C312" i="12"/>
  <c r="B312" i="12"/>
  <c r="A312" i="12"/>
  <c r="E311" i="12"/>
  <c r="D311" i="12"/>
  <c r="C311" i="12"/>
  <c r="B311" i="12"/>
  <c r="A311" i="12"/>
  <c r="E310" i="12"/>
  <c r="D310" i="12"/>
  <c r="C310" i="12"/>
  <c r="A310" i="12"/>
  <c r="B310" i="12" s="1"/>
  <c r="E309" i="12"/>
  <c r="D309" i="12"/>
  <c r="C309" i="12"/>
  <c r="B309" i="12"/>
  <c r="A309" i="12"/>
  <c r="E308" i="12"/>
  <c r="D308" i="12"/>
  <c r="C308" i="12"/>
  <c r="A308" i="12"/>
  <c r="B308" i="12" s="1"/>
  <c r="E307" i="12"/>
  <c r="D307" i="12"/>
  <c r="C307" i="12"/>
  <c r="B307" i="12"/>
  <c r="A307" i="12"/>
  <c r="E306" i="12"/>
  <c r="D306" i="12"/>
  <c r="C306" i="12"/>
  <c r="A306" i="12"/>
  <c r="B306" i="12" s="1"/>
  <c r="E305" i="12"/>
  <c r="D305" i="12"/>
  <c r="C305" i="12"/>
  <c r="A305" i="12"/>
  <c r="B305" i="12" s="1"/>
  <c r="E304" i="12"/>
  <c r="D304" i="12"/>
  <c r="C304" i="12"/>
  <c r="A304" i="12"/>
  <c r="B304" i="12" s="1"/>
  <c r="E303" i="12"/>
  <c r="D303" i="12"/>
  <c r="C303" i="12"/>
  <c r="B303" i="12"/>
  <c r="A303" i="12"/>
  <c r="E302" i="12"/>
  <c r="D302" i="12"/>
  <c r="C302" i="12"/>
  <c r="A302" i="12"/>
  <c r="B302" i="12" s="1"/>
  <c r="E301" i="12"/>
  <c r="D301" i="12"/>
  <c r="C301" i="12"/>
  <c r="A301" i="12"/>
  <c r="B301" i="12" s="1"/>
  <c r="E300" i="12"/>
  <c r="D300" i="12"/>
  <c r="C300" i="12"/>
  <c r="A300" i="12"/>
  <c r="B300" i="12" s="1"/>
  <c r="E299" i="12"/>
  <c r="D299" i="12"/>
  <c r="C299" i="12"/>
  <c r="B299" i="12"/>
  <c r="A299" i="12"/>
  <c r="E298" i="12"/>
  <c r="D298" i="12"/>
  <c r="C298" i="12"/>
  <c r="A298" i="12"/>
  <c r="B298" i="12" s="1"/>
  <c r="E297" i="12"/>
  <c r="D297" i="12"/>
  <c r="C297" i="12"/>
  <c r="A297" i="12"/>
  <c r="B297" i="12" s="1"/>
  <c r="E296" i="12"/>
  <c r="D296" i="12"/>
  <c r="C296" i="12"/>
  <c r="B296" i="12"/>
  <c r="A296" i="12"/>
  <c r="E295" i="12"/>
  <c r="D295" i="12"/>
  <c r="C295" i="12"/>
  <c r="A295" i="12"/>
  <c r="B295" i="12" s="1"/>
  <c r="E294" i="12"/>
  <c r="D294" i="12"/>
  <c r="C294" i="12"/>
  <c r="A294" i="12"/>
  <c r="B294" i="12" s="1"/>
  <c r="E293" i="12"/>
  <c r="D293" i="12"/>
  <c r="C293" i="12"/>
  <c r="B293" i="12"/>
  <c r="A293" i="12"/>
  <c r="E292" i="12"/>
  <c r="D292" i="12"/>
  <c r="C292" i="12"/>
  <c r="A292" i="12"/>
  <c r="B292" i="12" s="1"/>
  <c r="E291" i="12"/>
  <c r="D291" i="12"/>
  <c r="C291" i="12"/>
  <c r="B291" i="12"/>
  <c r="A291" i="12"/>
  <c r="E290" i="12"/>
  <c r="D290" i="12"/>
  <c r="C290" i="12"/>
  <c r="B290" i="12"/>
  <c r="A290" i="12"/>
  <c r="E289" i="12"/>
  <c r="D289" i="12"/>
  <c r="C289" i="12"/>
  <c r="B289" i="12"/>
  <c r="A289" i="12"/>
  <c r="E288" i="12"/>
  <c r="D288" i="12"/>
  <c r="C288" i="12"/>
  <c r="B288" i="12"/>
  <c r="A288" i="12"/>
  <c r="E287" i="12"/>
  <c r="D287" i="12"/>
  <c r="C287" i="12"/>
  <c r="A287" i="12"/>
  <c r="B287" i="12" s="1"/>
  <c r="E286" i="12"/>
  <c r="D286" i="12"/>
  <c r="C286" i="12"/>
  <c r="A286" i="12"/>
  <c r="B286" i="12" s="1"/>
  <c r="E285" i="12"/>
  <c r="D285" i="12"/>
  <c r="C285" i="12"/>
  <c r="A285" i="12"/>
  <c r="B285" i="12" s="1"/>
  <c r="E284" i="12"/>
  <c r="D284" i="12"/>
  <c r="C284" i="12"/>
  <c r="A284" i="12"/>
  <c r="B284" i="12" s="1"/>
  <c r="E283" i="12"/>
  <c r="D283" i="12"/>
  <c r="C283" i="12"/>
  <c r="B283" i="12"/>
  <c r="A283" i="12"/>
  <c r="E282" i="12"/>
  <c r="D282" i="12"/>
  <c r="C282" i="12"/>
  <c r="A282" i="12"/>
  <c r="B282" i="12" s="1"/>
  <c r="E281" i="12"/>
  <c r="D281" i="12"/>
  <c r="C281" i="12"/>
  <c r="B281" i="12"/>
  <c r="A281" i="12"/>
  <c r="E280" i="12"/>
  <c r="D280" i="12"/>
  <c r="C280" i="12"/>
  <c r="A280" i="12"/>
  <c r="B280" i="12" s="1"/>
  <c r="E279" i="12"/>
  <c r="D279" i="12"/>
  <c r="C279" i="12"/>
  <c r="A279" i="12"/>
  <c r="B279" i="12" s="1"/>
  <c r="E278" i="12"/>
  <c r="D278" i="12"/>
  <c r="C278" i="12"/>
  <c r="A278" i="12"/>
  <c r="B278" i="12" s="1"/>
  <c r="E277" i="12"/>
  <c r="D277" i="12"/>
  <c r="C277" i="12"/>
  <c r="B277" i="12"/>
  <c r="A277" i="12"/>
  <c r="E276" i="12"/>
  <c r="D276" i="12"/>
  <c r="C276" i="12"/>
  <c r="A276" i="12"/>
  <c r="B276" i="12" s="1"/>
  <c r="E275" i="12"/>
  <c r="D275" i="12"/>
  <c r="C275" i="12"/>
  <c r="B275" i="12"/>
  <c r="A275" i="12"/>
  <c r="E274" i="12"/>
  <c r="D274" i="12"/>
  <c r="C274" i="12"/>
  <c r="B274" i="12"/>
  <c r="A274" i="12"/>
  <c r="E273" i="12"/>
  <c r="D273" i="12"/>
  <c r="C273" i="12"/>
  <c r="B273" i="12"/>
  <c r="A273" i="12"/>
  <c r="E272" i="12"/>
  <c r="D272" i="12"/>
  <c r="C272" i="12"/>
  <c r="B272" i="12"/>
  <c r="A272" i="12"/>
  <c r="E271" i="12"/>
  <c r="D271" i="12"/>
  <c r="C271" i="12"/>
  <c r="A271" i="12"/>
  <c r="B271" i="12" s="1"/>
  <c r="E270" i="12"/>
  <c r="D270" i="12"/>
  <c r="C270" i="12"/>
  <c r="A270" i="12"/>
  <c r="B270" i="12" s="1"/>
  <c r="E269" i="12"/>
  <c r="D269" i="12"/>
  <c r="C269" i="12"/>
  <c r="A269" i="12"/>
  <c r="B269" i="12" s="1"/>
  <c r="E268" i="12"/>
  <c r="D268" i="12"/>
  <c r="C268" i="12"/>
  <c r="A268" i="12"/>
  <c r="B268" i="12" s="1"/>
  <c r="E267" i="12"/>
  <c r="D267" i="12"/>
  <c r="C267" i="12"/>
  <c r="B267" i="12"/>
  <c r="A267" i="12"/>
  <c r="E266" i="12"/>
  <c r="D266" i="12"/>
  <c r="C266" i="12"/>
  <c r="B266" i="12"/>
  <c r="A266" i="12"/>
  <c r="E265" i="12"/>
  <c r="D265" i="12"/>
  <c r="C265" i="12"/>
  <c r="B265" i="12"/>
  <c r="A265" i="12"/>
  <c r="E264" i="12"/>
  <c r="D264" i="12"/>
  <c r="C264" i="12"/>
  <c r="A264" i="12"/>
  <c r="B264" i="12" s="1"/>
  <c r="E263" i="12"/>
  <c r="D263" i="12"/>
  <c r="C263" i="12"/>
  <c r="A263" i="12"/>
  <c r="B263" i="12" s="1"/>
  <c r="E262" i="12"/>
  <c r="D262" i="12"/>
  <c r="C262" i="12"/>
  <c r="A262" i="12"/>
  <c r="B262" i="12" s="1"/>
  <c r="E261" i="12"/>
  <c r="D261" i="12"/>
  <c r="C261" i="12"/>
  <c r="A261" i="12"/>
  <c r="B261" i="12" s="1"/>
  <c r="E260" i="12"/>
  <c r="D260" i="12"/>
  <c r="C260" i="12"/>
  <c r="A260" i="12"/>
  <c r="B260" i="12" s="1"/>
  <c r="E259" i="12"/>
  <c r="D259" i="12"/>
  <c r="C259" i="12"/>
  <c r="B259" i="12"/>
  <c r="A259" i="12"/>
  <c r="E258" i="12"/>
  <c r="D258" i="12"/>
  <c r="C258" i="12"/>
  <c r="B258" i="12"/>
  <c r="A258" i="12"/>
  <c r="E257" i="12"/>
  <c r="D257" i="12"/>
  <c r="C257" i="12"/>
  <c r="B257" i="12"/>
  <c r="A257" i="12"/>
  <c r="E256" i="12"/>
  <c r="D256" i="12"/>
  <c r="C256" i="12"/>
  <c r="A256" i="12"/>
  <c r="B256" i="12" s="1"/>
  <c r="E255" i="12"/>
  <c r="D255" i="12"/>
  <c r="C255" i="12"/>
  <c r="A255" i="12"/>
  <c r="B255" i="12" s="1"/>
  <c r="E254" i="12"/>
  <c r="D254" i="12"/>
  <c r="C254" i="12"/>
  <c r="A254" i="12"/>
  <c r="B254" i="12" s="1"/>
  <c r="E253" i="12"/>
  <c r="D253" i="12"/>
  <c r="C253" i="12"/>
  <c r="A253" i="12"/>
  <c r="B253" i="12" s="1"/>
  <c r="E252" i="12"/>
  <c r="D252" i="12"/>
  <c r="C252" i="12"/>
  <c r="A252" i="12"/>
  <c r="B252" i="12" s="1"/>
  <c r="E251" i="12"/>
  <c r="D251" i="12"/>
  <c r="C251" i="12"/>
  <c r="B251" i="12"/>
  <c r="A251" i="12"/>
  <c r="E250" i="12"/>
  <c r="D250" i="12"/>
  <c r="C250" i="12"/>
  <c r="A250" i="12"/>
  <c r="B250" i="12" s="1"/>
  <c r="E249" i="12"/>
  <c r="D249" i="12"/>
  <c r="C249" i="12"/>
  <c r="B249" i="12"/>
  <c r="A249" i="12"/>
  <c r="E248" i="12"/>
  <c r="D248" i="12"/>
  <c r="C248" i="12"/>
  <c r="B248" i="12"/>
  <c r="A248" i="12"/>
  <c r="E247" i="12"/>
  <c r="D247" i="12"/>
  <c r="C247" i="12"/>
  <c r="A247" i="12"/>
  <c r="B247" i="12" s="1"/>
  <c r="E246" i="12"/>
  <c r="D246" i="12"/>
  <c r="C246" i="12"/>
  <c r="A246" i="12"/>
  <c r="B246" i="12" s="1"/>
  <c r="E245" i="12"/>
  <c r="D245" i="12"/>
  <c r="C245" i="12"/>
  <c r="B245" i="12"/>
  <c r="A245" i="12"/>
  <c r="E244" i="12"/>
  <c r="D244" i="12"/>
  <c r="C244" i="12"/>
  <c r="A244" i="12"/>
  <c r="B244" i="12" s="1"/>
  <c r="E243" i="12"/>
  <c r="D243" i="12"/>
  <c r="C243" i="12"/>
  <c r="B243" i="12"/>
  <c r="A243" i="12"/>
  <c r="E242" i="12"/>
  <c r="D242" i="12"/>
  <c r="C242" i="12"/>
  <c r="A242" i="12"/>
  <c r="B242" i="12" s="1"/>
  <c r="E241" i="12"/>
  <c r="D241" i="12"/>
  <c r="C241" i="12"/>
  <c r="B241" i="12"/>
  <c r="A241" i="12"/>
  <c r="E240" i="12"/>
  <c r="D240" i="12"/>
  <c r="C240" i="12"/>
  <c r="B240" i="12"/>
  <c r="A240" i="12"/>
  <c r="E239" i="12"/>
  <c r="D239" i="12"/>
  <c r="C239" i="12"/>
  <c r="A239" i="12"/>
  <c r="B239" i="12" s="1"/>
  <c r="E238" i="12"/>
  <c r="D238" i="12"/>
  <c r="C238" i="12"/>
  <c r="A238" i="12"/>
  <c r="B238" i="12" s="1"/>
  <c r="E237" i="12"/>
  <c r="D237" i="12"/>
  <c r="C237" i="12"/>
  <c r="A237" i="12"/>
  <c r="B237" i="12" s="1"/>
  <c r="E236" i="12"/>
  <c r="D236" i="12"/>
  <c r="C236" i="12"/>
  <c r="A236" i="12"/>
  <c r="B236" i="12" s="1"/>
  <c r="E235" i="12"/>
  <c r="D235" i="12"/>
  <c r="C235" i="12"/>
  <c r="B235" i="12"/>
  <c r="A235" i="12"/>
  <c r="E234" i="12"/>
  <c r="D234" i="12"/>
  <c r="C234" i="12"/>
  <c r="A234" i="12"/>
  <c r="B234" i="12" s="1"/>
  <c r="E233" i="12"/>
  <c r="D233" i="12"/>
  <c r="C233" i="12"/>
  <c r="B233" i="12"/>
  <c r="A233" i="12"/>
  <c r="E232" i="12"/>
  <c r="D232" i="12"/>
  <c r="C232" i="12"/>
  <c r="A232" i="12"/>
  <c r="B232" i="12" s="1"/>
  <c r="E231" i="12"/>
  <c r="D231" i="12"/>
  <c r="C231" i="12"/>
  <c r="A231" i="12"/>
  <c r="B231" i="12" s="1"/>
  <c r="E230" i="12"/>
  <c r="D230" i="12"/>
  <c r="C230" i="12"/>
  <c r="A230" i="12"/>
  <c r="B230" i="12" s="1"/>
  <c r="E229" i="12"/>
  <c r="D229" i="12"/>
  <c r="C229" i="12"/>
  <c r="A229" i="12"/>
  <c r="B229" i="12" s="1"/>
  <c r="E228" i="12"/>
  <c r="D228" i="12"/>
  <c r="C228" i="12"/>
  <c r="A228" i="12"/>
  <c r="B228" i="12" s="1"/>
  <c r="E227" i="12"/>
  <c r="D227" i="12"/>
  <c r="C227" i="12"/>
  <c r="B227" i="12"/>
  <c r="A227" i="12"/>
  <c r="E226" i="12"/>
  <c r="D226" i="12"/>
  <c r="C226" i="12"/>
  <c r="B226" i="12"/>
  <c r="A226" i="12"/>
  <c r="E225" i="12"/>
  <c r="D225" i="12"/>
  <c r="C225" i="12"/>
  <c r="B225" i="12"/>
  <c r="A225" i="12"/>
  <c r="E224" i="12"/>
  <c r="D224" i="12"/>
  <c r="C224" i="12"/>
  <c r="A224" i="12"/>
  <c r="B224" i="12" s="1"/>
  <c r="E223" i="12"/>
  <c r="D223" i="12"/>
  <c r="C223" i="12"/>
  <c r="A223" i="12"/>
  <c r="B223" i="12" s="1"/>
  <c r="E222" i="12"/>
  <c r="D222" i="12"/>
  <c r="C222" i="12"/>
  <c r="A222" i="12"/>
  <c r="B222" i="12" s="1"/>
  <c r="E221" i="12"/>
  <c r="D221" i="12"/>
  <c r="C221" i="12"/>
  <c r="A221" i="12"/>
  <c r="B221" i="12" s="1"/>
  <c r="E220" i="12"/>
  <c r="D220" i="12"/>
  <c r="C220" i="12"/>
  <c r="A220" i="12"/>
  <c r="B220" i="12" s="1"/>
  <c r="E219" i="12"/>
  <c r="D219" i="12"/>
  <c r="C219" i="12"/>
  <c r="B219" i="12"/>
  <c r="A219" i="12"/>
  <c r="E218" i="12"/>
  <c r="D218" i="12"/>
  <c r="C218" i="12"/>
  <c r="A218" i="12"/>
  <c r="B218" i="12" s="1"/>
  <c r="E217" i="12"/>
  <c r="D217" i="12"/>
  <c r="C217" i="12"/>
  <c r="B217" i="12"/>
  <c r="A217" i="12"/>
  <c r="E216" i="12"/>
  <c r="D216" i="12"/>
  <c r="C216" i="12"/>
  <c r="B216" i="12"/>
  <c r="A216" i="12"/>
  <c r="E215" i="12"/>
  <c r="D215" i="12"/>
  <c r="C215" i="12"/>
  <c r="A215" i="12"/>
  <c r="B215" i="12" s="1"/>
  <c r="E214" i="12"/>
  <c r="D214" i="12"/>
  <c r="C214" i="12"/>
  <c r="A214" i="12"/>
  <c r="B214" i="12" s="1"/>
  <c r="E213" i="12"/>
  <c r="D213" i="12"/>
  <c r="C213" i="12"/>
  <c r="B213" i="12"/>
  <c r="A213" i="12"/>
  <c r="E212" i="12"/>
  <c r="D212" i="12"/>
  <c r="C212" i="12"/>
  <c r="A212" i="12"/>
  <c r="B212" i="12" s="1"/>
  <c r="E211" i="12"/>
  <c r="D211" i="12"/>
  <c r="C211" i="12"/>
  <c r="B211" i="12"/>
  <c r="A211" i="12"/>
  <c r="E210" i="12"/>
  <c r="D210" i="12"/>
  <c r="C210" i="12"/>
  <c r="B210" i="12"/>
  <c r="A210" i="12"/>
  <c r="E209" i="12"/>
  <c r="D209" i="12"/>
  <c r="C209" i="12"/>
  <c r="B209" i="12"/>
  <c r="A209" i="12"/>
  <c r="E208" i="12"/>
  <c r="D208" i="12"/>
  <c r="C208" i="12"/>
  <c r="B208" i="12"/>
  <c r="A208" i="12"/>
  <c r="E207" i="12"/>
  <c r="D207" i="12"/>
  <c r="C207" i="12"/>
  <c r="A207" i="12"/>
  <c r="B207" i="12" s="1"/>
  <c r="E206" i="12"/>
  <c r="D206" i="12"/>
  <c r="C206" i="12"/>
  <c r="A206" i="12"/>
  <c r="B206" i="12" s="1"/>
  <c r="E205" i="12"/>
  <c r="D205" i="12"/>
  <c r="C205" i="12"/>
  <c r="A205" i="12"/>
  <c r="B205" i="12" s="1"/>
  <c r="E204" i="12"/>
  <c r="D204" i="12"/>
  <c r="C204" i="12"/>
  <c r="A204" i="12"/>
  <c r="B204" i="12" s="1"/>
  <c r="E203" i="12"/>
  <c r="D203" i="12"/>
  <c r="C203" i="12"/>
  <c r="B203" i="12"/>
  <c r="A203" i="12"/>
  <c r="E202" i="12"/>
  <c r="D202" i="12"/>
  <c r="C202" i="12"/>
  <c r="A202" i="12"/>
  <c r="B202" i="12" s="1"/>
  <c r="E201" i="12"/>
  <c r="D201" i="12"/>
  <c r="C201" i="12"/>
  <c r="B201" i="12"/>
  <c r="A201" i="12"/>
  <c r="E200" i="12"/>
  <c r="D200" i="12"/>
  <c r="C200" i="12"/>
  <c r="A200" i="12"/>
  <c r="B200" i="12" s="1"/>
  <c r="E199" i="12"/>
  <c r="D199" i="12"/>
  <c r="C199" i="12"/>
  <c r="A199" i="12"/>
  <c r="B199" i="12" s="1"/>
  <c r="E198" i="12"/>
  <c r="D198" i="12"/>
  <c r="C198" i="12"/>
  <c r="A198" i="12"/>
  <c r="B198" i="12" s="1"/>
  <c r="E197" i="12"/>
  <c r="D197" i="12"/>
  <c r="C197" i="12"/>
  <c r="A197" i="12"/>
  <c r="B197" i="12" s="1"/>
  <c r="E196" i="12"/>
  <c r="D196" i="12"/>
  <c r="C196" i="12"/>
  <c r="A196" i="12"/>
  <c r="B196" i="12" s="1"/>
  <c r="E195" i="12"/>
  <c r="D195" i="12"/>
  <c r="C195" i="12"/>
  <c r="B195" i="12"/>
  <c r="A195" i="12"/>
  <c r="E194" i="12"/>
  <c r="D194" i="12"/>
  <c r="C194" i="12"/>
  <c r="B194" i="12"/>
  <c r="A194" i="12"/>
  <c r="E193" i="12"/>
  <c r="D193" i="12"/>
  <c r="C193" i="12"/>
  <c r="B193" i="12"/>
  <c r="A193" i="12"/>
  <c r="E192" i="12"/>
  <c r="D192" i="12"/>
  <c r="C192" i="12"/>
  <c r="A192" i="12"/>
  <c r="B192" i="12" s="1"/>
  <c r="E191" i="12"/>
  <c r="D191" i="12"/>
  <c r="C191" i="12"/>
  <c r="A191" i="12"/>
  <c r="B191" i="12" s="1"/>
  <c r="E190" i="12"/>
  <c r="D190" i="12"/>
  <c r="C190" i="12"/>
  <c r="A190" i="12"/>
  <c r="B190" i="12" s="1"/>
  <c r="E189" i="12"/>
  <c r="D189" i="12"/>
  <c r="C189" i="12"/>
  <c r="B189" i="12"/>
  <c r="A189" i="12"/>
  <c r="E188" i="12"/>
  <c r="D188" i="12"/>
  <c r="C188" i="12"/>
  <c r="A188" i="12"/>
  <c r="B188" i="12" s="1"/>
  <c r="E187" i="12"/>
  <c r="D187" i="12"/>
  <c r="C187" i="12"/>
  <c r="B187" i="12"/>
  <c r="A187" i="12"/>
  <c r="E186" i="12"/>
  <c r="D186" i="12"/>
  <c r="C186" i="12"/>
  <c r="A186" i="12"/>
  <c r="B186" i="12" s="1"/>
  <c r="E185" i="12"/>
  <c r="D185" i="12"/>
  <c r="C185" i="12"/>
  <c r="B185" i="12"/>
  <c r="A185" i="12"/>
  <c r="E184" i="12"/>
  <c r="D184" i="12"/>
  <c r="C184" i="12"/>
  <c r="A184" i="12"/>
  <c r="B184" i="12" s="1"/>
  <c r="E183" i="12"/>
  <c r="D183" i="12"/>
  <c r="C183" i="12"/>
  <c r="A183" i="12"/>
  <c r="B183" i="12" s="1"/>
  <c r="E182" i="12"/>
  <c r="D182" i="12"/>
  <c r="C182" i="12"/>
  <c r="A182" i="12"/>
  <c r="B182" i="12" s="1"/>
  <c r="E181" i="12"/>
  <c r="D181" i="12"/>
  <c r="C181" i="12"/>
  <c r="B181" i="12"/>
  <c r="A181" i="12"/>
  <c r="E180" i="12"/>
  <c r="D180" i="12"/>
  <c r="C180" i="12"/>
  <c r="A180" i="12"/>
  <c r="B180" i="12" s="1"/>
  <c r="E179" i="12"/>
  <c r="D179" i="12"/>
  <c r="C179" i="12"/>
  <c r="B179" i="12"/>
  <c r="A179" i="12"/>
  <c r="E178" i="12"/>
  <c r="D178" i="12"/>
  <c r="C178" i="12"/>
  <c r="A178" i="12"/>
  <c r="B178" i="12" s="1"/>
  <c r="E177" i="12"/>
  <c r="D177" i="12"/>
  <c r="C177" i="12"/>
  <c r="B177" i="12"/>
  <c r="A177" i="12"/>
  <c r="E176" i="12"/>
  <c r="D176" i="12"/>
  <c r="C176" i="12"/>
  <c r="B176" i="12"/>
  <c r="A176" i="12"/>
  <c r="E175" i="12"/>
  <c r="D175" i="12"/>
  <c r="C175" i="12"/>
  <c r="A175" i="12"/>
  <c r="B175" i="12" s="1"/>
  <c r="E174" i="12"/>
  <c r="D174" i="12"/>
  <c r="C174" i="12"/>
  <c r="A174" i="12"/>
  <c r="B174" i="12" s="1"/>
  <c r="E173" i="12"/>
  <c r="D173" i="12"/>
  <c r="C173" i="12"/>
  <c r="A173" i="12"/>
  <c r="B173" i="12" s="1"/>
  <c r="E172" i="12"/>
  <c r="D172" i="12"/>
  <c r="C172" i="12"/>
  <c r="A172" i="12"/>
  <c r="B172" i="12" s="1"/>
  <c r="E171" i="12"/>
  <c r="D171" i="12"/>
  <c r="C171" i="12"/>
  <c r="B171" i="12"/>
  <c r="A171" i="12"/>
  <c r="E170" i="12"/>
  <c r="D170" i="12"/>
  <c r="C170" i="12"/>
  <c r="B170" i="12"/>
  <c r="A170" i="12"/>
  <c r="E169" i="12"/>
  <c r="D169" i="12"/>
  <c r="C169" i="12"/>
  <c r="B169" i="12"/>
  <c r="A169" i="12"/>
  <c r="E168" i="12"/>
  <c r="D168" i="12"/>
  <c r="C168" i="12"/>
  <c r="A168" i="12"/>
  <c r="B168" i="12" s="1"/>
  <c r="E167" i="12"/>
  <c r="D167" i="12"/>
  <c r="C167" i="12"/>
  <c r="A167" i="12"/>
  <c r="B167" i="12" s="1"/>
  <c r="E166" i="12"/>
  <c r="D166" i="12"/>
  <c r="C166" i="12"/>
  <c r="A166" i="12"/>
  <c r="B166" i="12" s="1"/>
  <c r="E165" i="12"/>
  <c r="D165" i="12"/>
  <c r="C165" i="12"/>
  <c r="A165" i="12"/>
  <c r="B165" i="12" s="1"/>
  <c r="E164" i="12"/>
  <c r="D164" i="12"/>
  <c r="C164" i="12"/>
  <c r="A164" i="12"/>
  <c r="B164" i="12" s="1"/>
  <c r="E163" i="12"/>
  <c r="D163" i="12"/>
  <c r="C163" i="12"/>
  <c r="B163" i="12"/>
  <c r="A163" i="12"/>
  <c r="E162" i="12"/>
  <c r="D162" i="12"/>
  <c r="C162" i="12"/>
  <c r="B162" i="12"/>
  <c r="A162" i="12"/>
  <c r="E161" i="12"/>
  <c r="D161" i="12"/>
  <c r="C161" i="12"/>
  <c r="B161" i="12"/>
  <c r="A161" i="12"/>
  <c r="E160" i="12"/>
  <c r="D160" i="12"/>
  <c r="C160" i="12"/>
  <c r="A160" i="12"/>
  <c r="B160" i="12" s="1"/>
  <c r="E159" i="12"/>
  <c r="D159" i="12"/>
  <c r="C159" i="12"/>
  <c r="A159" i="12"/>
  <c r="B159" i="12" s="1"/>
  <c r="E158" i="12"/>
  <c r="D158" i="12"/>
  <c r="C158" i="12"/>
  <c r="A158" i="12"/>
  <c r="B158" i="12" s="1"/>
  <c r="E157" i="12"/>
  <c r="D157" i="12"/>
  <c r="C157" i="12"/>
  <c r="B157" i="12"/>
  <c r="A157" i="12"/>
  <c r="E156" i="12"/>
  <c r="D156" i="12"/>
  <c r="C156" i="12"/>
  <c r="A156" i="12"/>
  <c r="B156" i="12" s="1"/>
  <c r="E155" i="12"/>
  <c r="D155" i="12"/>
  <c r="C155" i="12"/>
  <c r="B155" i="12"/>
  <c r="A155" i="12"/>
  <c r="E154" i="12"/>
  <c r="D154" i="12"/>
  <c r="C154" i="12"/>
  <c r="A154" i="12"/>
  <c r="B154" i="12" s="1"/>
  <c r="E153" i="12"/>
  <c r="D153" i="12"/>
  <c r="C153" i="12"/>
  <c r="B153" i="12"/>
  <c r="A153" i="12"/>
  <c r="E152" i="12"/>
  <c r="D152" i="12"/>
  <c r="C152" i="12"/>
  <c r="A152" i="12"/>
  <c r="B152" i="12" s="1"/>
  <c r="E151" i="12"/>
  <c r="D151" i="12"/>
  <c r="C151" i="12"/>
  <c r="A151" i="12"/>
  <c r="B151" i="12" s="1"/>
  <c r="E150" i="12"/>
  <c r="D150" i="12"/>
  <c r="C150" i="12"/>
  <c r="A150" i="12"/>
  <c r="B150" i="12" s="1"/>
  <c r="E149" i="12"/>
  <c r="D149" i="12"/>
  <c r="C149" i="12"/>
  <c r="B149" i="12"/>
  <c r="A149" i="12"/>
  <c r="E148" i="12"/>
  <c r="D148" i="12"/>
  <c r="C148" i="12"/>
  <c r="A148" i="12"/>
  <c r="B148" i="12" s="1"/>
  <c r="E147" i="12"/>
  <c r="D147" i="12"/>
  <c r="C147" i="12"/>
  <c r="B147" i="12"/>
  <c r="A147" i="12"/>
  <c r="E146" i="12"/>
  <c r="D146" i="12"/>
  <c r="C146" i="12"/>
  <c r="A146" i="12"/>
  <c r="B146" i="12" s="1"/>
  <c r="E145" i="12"/>
  <c r="D145" i="12"/>
  <c r="C145" i="12"/>
  <c r="B145" i="12"/>
  <c r="A145" i="12"/>
  <c r="E144" i="12"/>
  <c r="D144" i="12"/>
  <c r="C144" i="12"/>
  <c r="B144" i="12"/>
  <c r="A144" i="12"/>
  <c r="E143" i="12"/>
  <c r="D143" i="12"/>
  <c r="C143" i="12"/>
  <c r="A143" i="12"/>
  <c r="B143" i="12" s="1"/>
  <c r="E142" i="12"/>
  <c r="D142" i="12"/>
  <c r="C142" i="12"/>
  <c r="A142" i="12"/>
  <c r="B142" i="12" s="1"/>
  <c r="E141" i="12"/>
  <c r="D141" i="12"/>
  <c r="C141" i="12"/>
  <c r="A141" i="12"/>
  <c r="B141" i="12" s="1"/>
  <c r="E140" i="12"/>
  <c r="D140" i="12"/>
  <c r="C140" i="12"/>
  <c r="A140" i="12"/>
  <c r="B140" i="12" s="1"/>
  <c r="E139" i="12"/>
  <c r="D139" i="12"/>
  <c r="C139" i="12"/>
  <c r="B139" i="12"/>
  <c r="A139" i="12"/>
  <c r="E138" i="12"/>
  <c r="D138" i="12"/>
  <c r="C138" i="12"/>
  <c r="A138" i="12"/>
  <c r="B138" i="12" s="1"/>
  <c r="E137" i="12"/>
  <c r="D137" i="12"/>
  <c r="C137" i="12"/>
  <c r="B137" i="12"/>
  <c r="A137" i="12"/>
  <c r="E136" i="12"/>
  <c r="D136" i="12"/>
  <c r="C136" i="12"/>
  <c r="A136" i="12"/>
  <c r="B136" i="12" s="1"/>
  <c r="E135" i="12"/>
  <c r="D135" i="12"/>
  <c r="C135" i="12"/>
  <c r="A135" i="12"/>
  <c r="B135" i="12" s="1"/>
  <c r="E134" i="12"/>
  <c r="D134" i="12"/>
  <c r="C134" i="12"/>
  <c r="A134" i="12"/>
  <c r="B134" i="12" s="1"/>
  <c r="E133" i="12"/>
  <c r="D133" i="12"/>
  <c r="C133" i="12"/>
  <c r="A133" i="12"/>
  <c r="B133" i="12" s="1"/>
  <c r="E132" i="12"/>
  <c r="D132" i="12"/>
  <c r="C132" i="12"/>
  <c r="A132" i="12"/>
  <c r="B132" i="12" s="1"/>
  <c r="E131" i="12"/>
  <c r="D131" i="12"/>
  <c r="C131" i="12"/>
  <c r="B131" i="12"/>
  <c r="A131" i="12"/>
  <c r="E130" i="12"/>
  <c r="D130" i="12"/>
  <c r="C130" i="12"/>
  <c r="B130" i="12"/>
  <c r="A130" i="12"/>
  <c r="E129" i="12"/>
  <c r="D129" i="12"/>
  <c r="C129" i="12"/>
  <c r="B129" i="12"/>
  <c r="A129" i="12"/>
  <c r="E128" i="12"/>
  <c r="D128" i="12"/>
  <c r="C128" i="12"/>
  <c r="A128" i="12"/>
  <c r="B128" i="12" s="1"/>
  <c r="E127" i="12"/>
  <c r="D127" i="12"/>
  <c r="C127" i="12"/>
  <c r="A127" i="12"/>
  <c r="B127" i="12" s="1"/>
  <c r="E126" i="12"/>
  <c r="D126" i="12"/>
  <c r="C126" i="12"/>
  <c r="A126" i="12"/>
  <c r="B126" i="12" s="1"/>
  <c r="E125" i="12"/>
  <c r="D125" i="12"/>
  <c r="C125" i="12"/>
  <c r="A125" i="12"/>
  <c r="B125" i="12" s="1"/>
  <c r="E124" i="12"/>
  <c r="D124" i="12"/>
  <c r="C124" i="12"/>
  <c r="A124" i="12"/>
  <c r="B124" i="12" s="1"/>
  <c r="E123" i="12"/>
  <c r="D123" i="12"/>
  <c r="C123" i="12"/>
  <c r="B123" i="12"/>
  <c r="A123" i="12"/>
  <c r="E122" i="12"/>
  <c r="D122" i="12"/>
  <c r="C122" i="12"/>
  <c r="A122" i="12"/>
  <c r="B122" i="12" s="1"/>
  <c r="E121" i="12"/>
  <c r="D121" i="12"/>
  <c r="C121" i="12"/>
  <c r="B121" i="12"/>
  <c r="A121" i="12"/>
  <c r="E120" i="12"/>
  <c r="D120" i="12"/>
  <c r="C120" i="12"/>
  <c r="A120" i="12"/>
  <c r="B120" i="12" s="1"/>
  <c r="E119" i="12"/>
  <c r="D119" i="12"/>
  <c r="C119" i="12"/>
  <c r="A119" i="12"/>
  <c r="B119" i="12" s="1"/>
  <c r="E118" i="12"/>
  <c r="D118" i="12"/>
  <c r="C118" i="12"/>
  <c r="A118" i="12"/>
  <c r="B118" i="12" s="1"/>
  <c r="E117" i="12"/>
  <c r="D117" i="12"/>
  <c r="C117" i="12"/>
  <c r="B117" i="12"/>
  <c r="A117" i="12"/>
  <c r="E116" i="12"/>
  <c r="D116" i="12"/>
  <c r="C116" i="12"/>
  <c r="A116" i="12"/>
  <c r="B116" i="12" s="1"/>
  <c r="E115" i="12"/>
  <c r="D115" i="12"/>
  <c r="C115" i="12"/>
  <c r="B115" i="12"/>
  <c r="A115" i="12"/>
  <c r="E114" i="12"/>
  <c r="D114" i="12"/>
  <c r="C114" i="12"/>
  <c r="A114" i="12"/>
  <c r="B114" i="12" s="1"/>
  <c r="E113" i="12"/>
  <c r="D113" i="12"/>
  <c r="C113" i="12"/>
  <c r="B113" i="12"/>
  <c r="A113" i="12"/>
  <c r="E112" i="12"/>
  <c r="D112" i="12"/>
  <c r="C112" i="12"/>
  <c r="B112" i="12"/>
  <c r="A112" i="12"/>
  <c r="E111" i="12"/>
  <c r="D111" i="12"/>
  <c r="C111" i="12"/>
  <c r="A111" i="12"/>
  <c r="B111" i="12" s="1"/>
  <c r="E110" i="12"/>
  <c r="D110" i="12"/>
  <c r="C110" i="12"/>
  <c r="A110" i="12"/>
  <c r="B110" i="12" s="1"/>
  <c r="E109" i="12"/>
  <c r="D109" i="12"/>
  <c r="C109" i="12"/>
  <c r="A109" i="12"/>
  <c r="B109" i="12" s="1"/>
  <c r="E108" i="12"/>
  <c r="D108" i="12"/>
  <c r="C108" i="12"/>
  <c r="A108" i="12"/>
  <c r="B108" i="12" s="1"/>
  <c r="E107" i="12"/>
  <c r="D107" i="12"/>
  <c r="C107" i="12"/>
  <c r="B107" i="12"/>
  <c r="A107" i="12"/>
  <c r="E106" i="12"/>
  <c r="D106" i="12"/>
  <c r="C106" i="12"/>
  <c r="A106" i="12"/>
  <c r="B106" i="12" s="1"/>
  <c r="E105" i="12"/>
  <c r="D105" i="12"/>
  <c r="C105" i="12"/>
  <c r="B105" i="12"/>
  <c r="A105" i="12"/>
  <c r="E104" i="12"/>
  <c r="D104" i="12"/>
  <c r="C104" i="12"/>
  <c r="A104" i="12"/>
  <c r="B104" i="12" s="1"/>
  <c r="E103" i="12"/>
  <c r="D103" i="12"/>
  <c r="C103" i="12"/>
  <c r="A103" i="12"/>
  <c r="B103" i="12" s="1"/>
  <c r="E102" i="12"/>
  <c r="D102" i="12"/>
  <c r="C102" i="12"/>
  <c r="A102" i="12"/>
  <c r="B102" i="12" s="1"/>
  <c r="E101" i="12"/>
  <c r="D101" i="12"/>
  <c r="C101" i="12"/>
  <c r="A101" i="12"/>
  <c r="B101" i="12" s="1"/>
  <c r="E100" i="12"/>
  <c r="D100" i="12"/>
  <c r="C100" i="12"/>
  <c r="A100" i="12"/>
  <c r="B100" i="12" s="1"/>
  <c r="E99" i="12"/>
  <c r="D99" i="12"/>
  <c r="C99" i="12"/>
  <c r="B99" i="12"/>
  <c r="A99" i="12"/>
  <c r="E98" i="12"/>
  <c r="D98" i="12"/>
  <c r="C98" i="12"/>
  <c r="B98" i="12"/>
  <c r="A98" i="12"/>
  <c r="E97" i="12"/>
  <c r="D97" i="12"/>
  <c r="C97" i="12"/>
  <c r="B97" i="12"/>
  <c r="A97" i="12"/>
  <c r="E96" i="12"/>
  <c r="D96" i="12"/>
  <c r="C96" i="12"/>
  <c r="A96" i="12"/>
  <c r="B96" i="12" s="1"/>
  <c r="E95" i="12"/>
  <c r="D95" i="12"/>
  <c r="C95" i="12"/>
  <c r="A95" i="12"/>
  <c r="B95" i="12" s="1"/>
  <c r="E94" i="12"/>
  <c r="D94" i="12"/>
  <c r="C94" i="12"/>
  <c r="A94" i="12"/>
  <c r="B94" i="12" s="1"/>
  <c r="E93" i="12"/>
  <c r="D93" i="12"/>
  <c r="C93" i="12"/>
  <c r="A93" i="12"/>
  <c r="B93" i="12" s="1"/>
  <c r="E92" i="12"/>
  <c r="D92" i="12"/>
  <c r="C92" i="12"/>
  <c r="A92" i="12"/>
  <c r="B92" i="12" s="1"/>
  <c r="E91" i="12"/>
  <c r="D91" i="12"/>
  <c r="C91" i="12"/>
  <c r="B91" i="12"/>
  <c r="A91" i="12"/>
  <c r="E90" i="12"/>
  <c r="D90" i="12"/>
  <c r="C90" i="12"/>
  <c r="A90" i="12"/>
  <c r="B90" i="12" s="1"/>
  <c r="E89" i="12"/>
  <c r="D89" i="12"/>
  <c r="C89" i="12"/>
  <c r="B89" i="12"/>
  <c r="A89" i="12"/>
  <c r="E88" i="12"/>
  <c r="D88" i="12"/>
  <c r="C88" i="12"/>
  <c r="A88" i="12"/>
  <c r="B88" i="12" s="1"/>
  <c r="E87" i="12"/>
  <c r="D87" i="12"/>
  <c r="C87" i="12"/>
  <c r="A87" i="12"/>
  <c r="B87" i="12" s="1"/>
  <c r="E86" i="12"/>
  <c r="D86" i="12"/>
  <c r="C86" i="12"/>
  <c r="A86" i="12"/>
  <c r="B86" i="12" s="1"/>
  <c r="E85" i="12"/>
  <c r="D85" i="12"/>
  <c r="C85" i="12"/>
  <c r="B85" i="12"/>
  <c r="A85" i="12"/>
  <c r="E84" i="12"/>
  <c r="D84" i="12"/>
  <c r="C84" i="12"/>
  <c r="A84" i="12"/>
  <c r="B84" i="12" s="1"/>
  <c r="E83" i="12"/>
  <c r="D83" i="12"/>
  <c r="C83" i="12"/>
  <c r="B83" i="12"/>
  <c r="A83" i="12"/>
  <c r="E82" i="12"/>
  <c r="D82" i="12"/>
  <c r="C82" i="12"/>
  <c r="A82" i="12"/>
  <c r="B82" i="12" s="1"/>
  <c r="E81" i="12"/>
  <c r="D81" i="12"/>
  <c r="C81" i="12"/>
  <c r="B81" i="12"/>
  <c r="A81" i="12"/>
  <c r="E80" i="12"/>
  <c r="D80" i="12"/>
  <c r="C80" i="12"/>
  <c r="B80" i="12"/>
  <c r="A80" i="12"/>
  <c r="E79" i="12"/>
  <c r="D79" i="12"/>
  <c r="C79" i="12"/>
  <c r="A79" i="12"/>
  <c r="B79" i="12" s="1"/>
  <c r="E78" i="12"/>
  <c r="D78" i="12"/>
  <c r="C78" i="12"/>
  <c r="A78" i="12"/>
  <c r="B78" i="12" s="1"/>
  <c r="E77" i="12"/>
  <c r="D77" i="12"/>
  <c r="C77" i="12"/>
  <c r="A77" i="12"/>
  <c r="B77" i="12" s="1"/>
  <c r="E76" i="12"/>
  <c r="D76" i="12"/>
  <c r="C76" i="12"/>
  <c r="A76" i="12"/>
  <c r="B76" i="12" s="1"/>
  <c r="E75" i="12"/>
  <c r="D75" i="12"/>
  <c r="C75" i="12"/>
  <c r="B75" i="12"/>
  <c r="A75" i="12"/>
  <c r="E74" i="12"/>
  <c r="D74" i="12"/>
  <c r="C74" i="12"/>
  <c r="B74" i="12"/>
  <c r="A74" i="12"/>
  <c r="E73" i="12"/>
  <c r="D73" i="12"/>
  <c r="C73" i="12"/>
  <c r="B73" i="12"/>
  <c r="A73" i="12"/>
  <c r="E72" i="12"/>
  <c r="D72" i="12"/>
  <c r="C72" i="12"/>
  <c r="A72" i="12"/>
  <c r="B72" i="12" s="1"/>
  <c r="E71" i="12"/>
  <c r="D71" i="12"/>
  <c r="C71" i="12"/>
  <c r="A71" i="12"/>
  <c r="B71" i="12" s="1"/>
  <c r="E70" i="12"/>
  <c r="D70" i="12"/>
  <c r="C70" i="12"/>
  <c r="A70" i="12"/>
  <c r="B70" i="12" s="1"/>
  <c r="E69" i="12"/>
  <c r="D69" i="12"/>
  <c r="C69" i="12"/>
  <c r="A69" i="12"/>
  <c r="B69" i="12" s="1"/>
  <c r="E68" i="12"/>
  <c r="D68" i="12"/>
  <c r="C68" i="12"/>
  <c r="A68" i="12"/>
  <c r="B68" i="12" s="1"/>
  <c r="E67" i="12"/>
  <c r="D67" i="12"/>
  <c r="C67" i="12"/>
  <c r="B67" i="12"/>
  <c r="A67" i="12"/>
  <c r="E66" i="12"/>
  <c r="D66" i="12"/>
  <c r="C66" i="12"/>
  <c r="B66" i="12"/>
  <c r="A66" i="12"/>
  <c r="E65" i="12"/>
  <c r="D65" i="12"/>
  <c r="C65" i="12"/>
  <c r="B65" i="12"/>
  <c r="A65" i="12"/>
  <c r="E64" i="12"/>
  <c r="D64" i="12"/>
  <c r="C64" i="12"/>
  <c r="A64" i="12"/>
  <c r="B64" i="12" s="1"/>
  <c r="E63" i="12"/>
  <c r="D63" i="12"/>
  <c r="C63" i="12"/>
  <c r="A63" i="12"/>
  <c r="B63" i="12" s="1"/>
  <c r="E62" i="12"/>
  <c r="D62" i="12"/>
  <c r="C62" i="12"/>
  <c r="A62" i="12"/>
  <c r="B62" i="12" s="1"/>
  <c r="E61" i="12"/>
  <c r="D61" i="12"/>
  <c r="C61" i="12"/>
  <c r="A61" i="12"/>
  <c r="B61" i="12" s="1"/>
  <c r="E60" i="12"/>
  <c r="D60" i="12"/>
  <c r="C60" i="12"/>
  <c r="A60" i="12"/>
  <c r="B60" i="12" s="1"/>
  <c r="E59" i="12"/>
  <c r="D59" i="12"/>
  <c r="C59" i="12"/>
  <c r="B59" i="12"/>
  <c r="A59" i="12"/>
  <c r="E58" i="12"/>
  <c r="D58" i="12"/>
  <c r="C58" i="12"/>
  <c r="A58" i="12"/>
  <c r="B58" i="12" s="1"/>
  <c r="E57" i="12"/>
  <c r="D57" i="12"/>
  <c r="C57" i="12"/>
  <c r="B57" i="12"/>
  <c r="A57" i="12"/>
  <c r="E56" i="12"/>
  <c r="D56" i="12"/>
  <c r="C56" i="12"/>
  <c r="B56" i="12"/>
  <c r="A56" i="12"/>
  <c r="E55" i="12"/>
  <c r="D55" i="12"/>
  <c r="C55" i="12"/>
  <c r="A55" i="12"/>
  <c r="B55" i="12" s="1"/>
  <c r="E54" i="12"/>
  <c r="D54" i="12"/>
  <c r="C54" i="12"/>
  <c r="A54" i="12"/>
  <c r="B54" i="12" s="1"/>
  <c r="E53" i="12"/>
  <c r="D53" i="12"/>
  <c r="C53" i="12"/>
  <c r="B53" i="12"/>
  <c r="A53" i="12"/>
  <c r="E52" i="12"/>
  <c r="D52" i="12"/>
  <c r="C52" i="12"/>
  <c r="A52" i="12"/>
  <c r="B52" i="12" s="1"/>
  <c r="E51" i="12"/>
  <c r="D51" i="12"/>
  <c r="C51" i="12"/>
  <c r="B51" i="12"/>
  <c r="A51" i="12"/>
  <c r="E50" i="12"/>
  <c r="D50" i="12"/>
  <c r="C50" i="12"/>
  <c r="A50" i="12"/>
  <c r="B50" i="12" s="1"/>
  <c r="E49" i="12"/>
  <c r="D49" i="12"/>
  <c r="C49" i="12"/>
  <c r="B49" i="12"/>
  <c r="A49" i="12"/>
  <c r="E48" i="12"/>
  <c r="D48" i="12"/>
  <c r="C48" i="12"/>
  <c r="B48" i="12"/>
  <c r="A48" i="12"/>
  <c r="E47" i="12"/>
  <c r="D47" i="12"/>
  <c r="C47" i="12"/>
  <c r="A47" i="12"/>
  <c r="B47" i="12" s="1"/>
  <c r="E46" i="12"/>
  <c r="D46" i="12"/>
  <c r="C46" i="12"/>
  <c r="A46" i="12"/>
  <c r="B46" i="12" s="1"/>
  <c r="E45" i="12"/>
  <c r="D45" i="12"/>
  <c r="C45" i="12"/>
  <c r="A45" i="12"/>
  <c r="B45" i="12" s="1"/>
  <c r="E44" i="12"/>
  <c r="D44" i="12"/>
  <c r="C44" i="12"/>
  <c r="A44" i="12"/>
  <c r="B44" i="12" s="1"/>
  <c r="E43" i="12"/>
  <c r="D43" i="12"/>
  <c r="C43" i="12"/>
  <c r="B43" i="12"/>
  <c r="A43" i="12"/>
  <c r="E42" i="12"/>
  <c r="D42" i="12"/>
  <c r="C42" i="12"/>
  <c r="A42" i="12"/>
  <c r="B42" i="12" s="1"/>
  <c r="E41" i="12"/>
  <c r="D41" i="12"/>
  <c r="C41" i="12"/>
  <c r="B41" i="12"/>
  <c r="A41" i="12"/>
  <c r="E40" i="12"/>
  <c r="D40" i="12"/>
  <c r="C40" i="12"/>
  <c r="A40" i="12"/>
  <c r="B40" i="12" s="1"/>
  <c r="E39" i="12"/>
  <c r="D39" i="12"/>
  <c r="C39" i="12"/>
  <c r="A39" i="12"/>
  <c r="B39" i="12" s="1"/>
  <c r="E38" i="12"/>
  <c r="D38" i="12"/>
  <c r="C38" i="12"/>
  <c r="A38" i="12"/>
  <c r="B38" i="12" s="1"/>
  <c r="E37" i="12"/>
  <c r="D37" i="12"/>
  <c r="C37" i="12"/>
  <c r="A37" i="12"/>
  <c r="B37" i="12" s="1"/>
  <c r="E36" i="12"/>
  <c r="D36" i="12"/>
  <c r="C36" i="12"/>
  <c r="A36" i="12"/>
  <c r="B36" i="12" s="1"/>
  <c r="E35" i="12"/>
  <c r="D35" i="12"/>
  <c r="C35" i="12"/>
  <c r="B35" i="12"/>
  <c r="A35" i="12"/>
  <c r="E34" i="12"/>
  <c r="D34" i="12"/>
  <c r="C34" i="12"/>
  <c r="B34" i="12"/>
  <c r="A34" i="12"/>
  <c r="E33" i="12"/>
  <c r="D33" i="12"/>
  <c r="C33" i="12"/>
  <c r="B33" i="12"/>
  <c r="A33" i="12"/>
  <c r="E32" i="12"/>
  <c r="D32" i="12"/>
  <c r="C32" i="12"/>
  <c r="A32" i="12"/>
  <c r="B32" i="12" s="1"/>
  <c r="E31" i="12"/>
  <c r="D31" i="12"/>
  <c r="C31" i="12"/>
  <c r="A31" i="12"/>
  <c r="B31" i="12" s="1"/>
  <c r="E30" i="12"/>
  <c r="D30" i="12"/>
  <c r="C30" i="12"/>
  <c r="A30" i="12"/>
  <c r="B30" i="12" s="1"/>
  <c r="E29" i="12"/>
  <c r="D29" i="12"/>
  <c r="C29" i="12"/>
  <c r="A29" i="12"/>
  <c r="B29" i="12" s="1"/>
  <c r="E28" i="12"/>
  <c r="D28" i="12"/>
  <c r="C28" i="12"/>
  <c r="A28" i="12"/>
  <c r="B28" i="12" s="1"/>
  <c r="E27" i="12"/>
  <c r="D27" i="12"/>
  <c r="C27" i="12"/>
  <c r="B27" i="12"/>
  <c r="A27" i="12"/>
  <c r="E26" i="12"/>
  <c r="D26" i="12"/>
  <c r="C26" i="12"/>
  <c r="A26" i="12"/>
  <c r="B26" i="12" s="1"/>
  <c r="E25" i="12"/>
  <c r="D25" i="12"/>
  <c r="C25" i="12"/>
  <c r="B25" i="12"/>
  <c r="A25" i="12"/>
  <c r="E24" i="12"/>
  <c r="D24" i="12"/>
  <c r="C24" i="12"/>
  <c r="B24" i="12"/>
  <c r="A24" i="12"/>
  <c r="E23" i="12"/>
  <c r="D23" i="12"/>
  <c r="C23" i="12"/>
  <c r="A23" i="12"/>
  <c r="B23" i="12" s="1"/>
  <c r="E22" i="12"/>
  <c r="D22" i="12"/>
  <c r="C22" i="12"/>
  <c r="A22" i="12"/>
  <c r="B22" i="12" s="1"/>
  <c r="E21" i="12"/>
  <c r="D21" i="12"/>
  <c r="C21" i="12"/>
  <c r="B21" i="12"/>
  <c r="A21" i="12"/>
  <c r="E20" i="12"/>
  <c r="D20" i="12"/>
  <c r="C20" i="12"/>
  <c r="A20" i="12"/>
  <c r="B20" i="12" s="1"/>
  <c r="E19" i="12"/>
  <c r="D19" i="12"/>
  <c r="C19" i="12"/>
  <c r="B19" i="12"/>
  <c r="A19" i="12"/>
  <c r="E18" i="12"/>
  <c r="D18" i="12"/>
  <c r="C18" i="12"/>
  <c r="B18" i="12"/>
  <c r="A18" i="12"/>
  <c r="E17" i="12"/>
  <c r="D17" i="12"/>
  <c r="C17" i="12"/>
  <c r="B17" i="12"/>
  <c r="A17" i="12"/>
  <c r="E16" i="12"/>
  <c r="D16" i="12"/>
  <c r="C16" i="12"/>
  <c r="B16" i="12"/>
  <c r="A16" i="12"/>
  <c r="E15" i="12"/>
  <c r="D15" i="12"/>
  <c r="C15" i="12"/>
  <c r="A15" i="12"/>
  <c r="B15" i="12" s="1"/>
  <c r="E14" i="12"/>
  <c r="D14" i="12"/>
  <c r="C14" i="12"/>
  <c r="A14" i="12"/>
  <c r="B14" i="12" s="1"/>
  <c r="E13" i="12"/>
  <c r="D13" i="12"/>
  <c r="C13" i="12"/>
  <c r="A13" i="12"/>
  <c r="B13" i="12" s="1"/>
  <c r="E12" i="12"/>
  <c r="D12" i="12"/>
  <c r="C12" i="12"/>
  <c r="A12" i="12"/>
  <c r="B12" i="12" s="1"/>
  <c r="E11" i="12"/>
  <c r="D11" i="12"/>
  <c r="C11" i="12"/>
  <c r="B11" i="12"/>
  <c r="A11" i="12"/>
  <c r="N10" i="12"/>
  <c r="E10" i="12"/>
  <c r="D10" i="12"/>
  <c r="C10" i="12"/>
  <c r="B10" i="12"/>
  <c r="A10" i="12"/>
  <c r="N9" i="12"/>
  <c r="E9" i="12"/>
  <c r="D9" i="12"/>
  <c r="C9" i="12"/>
  <c r="B9" i="12"/>
  <c r="A9" i="12"/>
  <c r="N8" i="12"/>
  <c r="E8" i="12"/>
  <c r="D8" i="12"/>
  <c r="C8" i="12"/>
  <c r="A8" i="12"/>
  <c r="B8" i="12" s="1"/>
  <c r="N7" i="12"/>
  <c r="O9" i="12" s="1"/>
  <c r="E7" i="12"/>
  <c r="D7" i="12"/>
  <c r="C7" i="12"/>
  <c r="A7" i="12"/>
  <c r="B7" i="12" s="1"/>
  <c r="N6" i="12"/>
  <c r="E6" i="12"/>
  <c r="D6" i="12"/>
  <c r="C6" i="12"/>
  <c r="B6" i="12"/>
  <c r="A6" i="12"/>
  <c r="E718" i="11"/>
  <c r="D718" i="11"/>
  <c r="C718" i="11"/>
  <c r="A718" i="11"/>
  <c r="B718" i="11" s="1"/>
  <c r="E717" i="11"/>
  <c r="D717" i="11"/>
  <c r="C717" i="11"/>
  <c r="A717" i="11"/>
  <c r="B717" i="11" s="1"/>
  <c r="E716" i="11"/>
  <c r="D716" i="11"/>
  <c r="C716" i="11"/>
  <c r="B716" i="11"/>
  <c r="A716" i="11"/>
  <c r="E715" i="11"/>
  <c r="D715" i="11"/>
  <c r="C715" i="11"/>
  <c r="A715" i="11"/>
  <c r="B715" i="11" s="1"/>
  <c r="E714" i="11"/>
  <c r="D714" i="11"/>
  <c r="C714" i="11"/>
  <c r="A714" i="11"/>
  <c r="B714" i="11" s="1"/>
  <c r="E713" i="11"/>
  <c r="D713" i="11"/>
  <c r="C713" i="11"/>
  <c r="A713" i="11"/>
  <c r="B713" i="11" s="1"/>
  <c r="E712" i="11"/>
  <c r="D712" i="11"/>
  <c r="C712" i="11"/>
  <c r="B712" i="11"/>
  <c r="A712" i="11"/>
  <c r="E711" i="11"/>
  <c r="D711" i="11"/>
  <c r="C711" i="11"/>
  <c r="B711" i="11"/>
  <c r="A711" i="11"/>
  <c r="E710" i="11"/>
  <c r="D710" i="11"/>
  <c r="C710" i="11"/>
  <c r="A710" i="11"/>
  <c r="B710" i="11" s="1"/>
  <c r="E709" i="11"/>
  <c r="D709" i="11"/>
  <c r="C709" i="11"/>
  <c r="A709" i="11"/>
  <c r="B709" i="11" s="1"/>
  <c r="E708" i="11"/>
  <c r="D708" i="11"/>
  <c r="C708" i="11"/>
  <c r="A708" i="11"/>
  <c r="B708" i="11" s="1"/>
  <c r="E707" i="11"/>
  <c r="D707" i="11"/>
  <c r="C707" i="11"/>
  <c r="A707" i="11"/>
  <c r="B707" i="11" s="1"/>
  <c r="E706" i="11"/>
  <c r="D706" i="11"/>
  <c r="C706" i="11"/>
  <c r="A706" i="11"/>
  <c r="B706" i="11" s="1"/>
  <c r="E705" i="11"/>
  <c r="D705" i="11"/>
  <c r="C705" i="11"/>
  <c r="B705" i="11"/>
  <c r="A705" i="11"/>
  <c r="E704" i="11"/>
  <c r="D704" i="11"/>
  <c r="C704" i="11"/>
  <c r="A704" i="11"/>
  <c r="B704" i="11" s="1"/>
  <c r="E703" i="11"/>
  <c r="D703" i="11"/>
  <c r="C703" i="11"/>
  <c r="B703" i="11"/>
  <c r="A703" i="11"/>
  <c r="E702" i="11"/>
  <c r="D702" i="11"/>
  <c r="C702" i="11"/>
  <c r="A702" i="11"/>
  <c r="B702" i="11" s="1"/>
  <c r="E701" i="11"/>
  <c r="D701" i="11"/>
  <c r="C701" i="11"/>
  <c r="A701" i="11"/>
  <c r="B701" i="11" s="1"/>
  <c r="E700" i="11"/>
  <c r="D700" i="11"/>
  <c r="C700" i="11"/>
  <c r="B700" i="11"/>
  <c r="A700" i="11"/>
  <c r="E699" i="11"/>
  <c r="D699" i="11"/>
  <c r="C699" i="11"/>
  <c r="A699" i="11"/>
  <c r="B699" i="11" s="1"/>
  <c r="E698" i="11"/>
  <c r="D698" i="11"/>
  <c r="C698" i="11"/>
  <c r="A698" i="11"/>
  <c r="B698" i="11" s="1"/>
  <c r="E697" i="11"/>
  <c r="D697" i="11"/>
  <c r="C697" i="11"/>
  <c r="A697" i="11"/>
  <c r="B697" i="11" s="1"/>
  <c r="E696" i="11"/>
  <c r="D696" i="11"/>
  <c r="C696" i="11"/>
  <c r="A696" i="11"/>
  <c r="B696" i="11" s="1"/>
  <c r="E695" i="11"/>
  <c r="D695" i="11"/>
  <c r="C695" i="11"/>
  <c r="B695" i="11"/>
  <c r="A695" i="11"/>
  <c r="E694" i="11"/>
  <c r="D694" i="11"/>
  <c r="C694" i="11"/>
  <c r="A694" i="11"/>
  <c r="B694" i="11" s="1"/>
  <c r="E693" i="11"/>
  <c r="D693" i="11"/>
  <c r="C693" i="11"/>
  <c r="A693" i="11"/>
  <c r="B693" i="11" s="1"/>
  <c r="E692" i="11"/>
  <c r="D692" i="11"/>
  <c r="C692" i="11"/>
  <c r="B692" i="11"/>
  <c r="A692" i="11"/>
  <c r="E691" i="11"/>
  <c r="D691" i="11"/>
  <c r="C691" i="11"/>
  <c r="A691" i="11"/>
  <c r="B691" i="11" s="1"/>
  <c r="E690" i="11"/>
  <c r="D690" i="11"/>
  <c r="C690" i="11"/>
  <c r="A690" i="11"/>
  <c r="B690" i="11" s="1"/>
  <c r="E689" i="11"/>
  <c r="D689" i="11"/>
  <c r="C689" i="11"/>
  <c r="B689" i="11"/>
  <c r="A689" i="11"/>
  <c r="E688" i="11"/>
  <c r="D688" i="11"/>
  <c r="C688" i="11"/>
  <c r="A688" i="11"/>
  <c r="B688" i="11" s="1"/>
  <c r="E687" i="11"/>
  <c r="D687" i="11"/>
  <c r="C687" i="11"/>
  <c r="B687" i="11"/>
  <c r="A687" i="11"/>
  <c r="E686" i="11"/>
  <c r="D686" i="11"/>
  <c r="C686" i="11"/>
  <c r="B686" i="11"/>
  <c r="A686" i="11"/>
  <c r="E685" i="11"/>
  <c r="D685" i="11"/>
  <c r="C685" i="11"/>
  <c r="A685" i="11"/>
  <c r="B685" i="11" s="1"/>
  <c r="E684" i="11"/>
  <c r="D684" i="11"/>
  <c r="C684" i="11"/>
  <c r="B684" i="11"/>
  <c r="A684" i="11"/>
  <c r="E683" i="11"/>
  <c r="D683" i="11"/>
  <c r="C683" i="11"/>
  <c r="A683" i="11"/>
  <c r="B683" i="11" s="1"/>
  <c r="E682" i="11"/>
  <c r="D682" i="11"/>
  <c r="C682" i="11"/>
  <c r="A682" i="11"/>
  <c r="B682" i="11" s="1"/>
  <c r="E681" i="11"/>
  <c r="D681" i="11"/>
  <c r="C681" i="11"/>
  <c r="B681" i="11"/>
  <c r="A681" i="11"/>
  <c r="E680" i="11"/>
  <c r="D680" i="11"/>
  <c r="C680" i="11"/>
  <c r="B680" i="11"/>
  <c r="A680" i="11"/>
  <c r="E679" i="11"/>
  <c r="D679" i="11"/>
  <c r="C679" i="11"/>
  <c r="B679" i="11"/>
  <c r="A679" i="11"/>
  <c r="E678" i="11"/>
  <c r="D678" i="11"/>
  <c r="C678" i="11"/>
  <c r="A678" i="11"/>
  <c r="B678" i="11" s="1"/>
  <c r="E677" i="11"/>
  <c r="D677" i="11"/>
  <c r="C677" i="11"/>
  <c r="A677" i="11"/>
  <c r="B677" i="11" s="1"/>
  <c r="E676" i="11"/>
  <c r="D676" i="11"/>
  <c r="C676" i="11"/>
  <c r="A676" i="11"/>
  <c r="B676" i="11" s="1"/>
  <c r="E675" i="11"/>
  <c r="D675" i="11"/>
  <c r="C675" i="11"/>
  <c r="A675" i="11"/>
  <c r="B675" i="11" s="1"/>
  <c r="E674" i="11"/>
  <c r="D674" i="11"/>
  <c r="C674" i="11"/>
  <c r="A674" i="11"/>
  <c r="B674" i="11" s="1"/>
  <c r="E673" i="11"/>
  <c r="D673" i="11"/>
  <c r="C673" i="11"/>
  <c r="B673" i="11"/>
  <c r="A673" i="11"/>
  <c r="E672" i="11"/>
  <c r="D672" i="11"/>
  <c r="C672" i="11"/>
  <c r="A672" i="11"/>
  <c r="B672" i="11" s="1"/>
  <c r="E671" i="11"/>
  <c r="D671" i="11"/>
  <c r="C671" i="11"/>
  <c r="B671" i="11"/>
  <c r="A671" i="11"/>
  <c r="E670" i="11"/>
  <c r="D670" i="11"/>
  <c r="C670" i="11"/>
  <c r="B670" i="11"/>
  <c r="A670" i="11"/>
  <c r="E669" i="11"/>
  <c r="D669" i="11"/>
  <c r="C669" i="11"/>
  <c r="A669" i="11"/>
  <c r="B669" i="11" s="1"/>
  <c r="E668" i="11"/>
  <c r="D668" i="11"/>
  <c r="C668" i="11"/>
  <c r="B668" i="11"/>
  <c r="A668" i="11"/>
  <c r="E667" i="11"/>
  <c r="D667" i="11"/>
  <c r="C667" i="11"/>
  <c r="A667" i="11"/>
  <c r="B667" i="11" s="1"/>
  <c r="E666" i="11"/>
  <c r="D666" i="11"/>
  <c r="C666" i="11"/>
  <c r="A666" i="11"/>
  <c r="B666" i="11" s="1"/>
  <c r="E665" i="11"/>
  <c r="D665" i="11"/>
  <c r="C665" i="11"/>
  <c r="A665" i="11"/>
  <c r="B665" i="11" s="1"/>
  <c r="E664" i="11"/>
  <c r="D664" i="11"/>
  <c r="C664" i="11"/>
  <c r="B664" i="11"/>
  <c r="A664" i="11"/>
  <c r="E663" i="11"/>
  <c r="D663" i="11"/>
  <c r="C663" i="11"/>
  <c r="B663" i="11"/>
  <c r="A663" i="11"/>
  <c r="E662" i="11"/>
  <c r="D662" i="11"/>
  <c r="C662" i="11"/>
  <c r="A662" i="11"/>
  <c r="B662" i="11" s="1"/>
  <c r="E661" i="11"/>
  <c r="D661" i="11"/>
  <c r="C661" i="11"/>
  <c r="A661" i="11"/>
  <c r="B661" i="11" s="1"/>
  <c r="E660" i="11"/>
  <c r="D660" i="11"/>
  <c r="C660" i="11"/>
  <c r="B660" i="11"/>
  <c r="A660" i="11"/>
  <c r="E659" i="11"/>
  <c r="D659" i="11"/>
  <c r="C659" i="11"/>
  <c r="B659" i="11"/>
  <c r="A659" i="11"/>
  <c r="E658" i="11"/>
  <c r="D658" i="11"/>
  <c r="C658" i="11"/>
  <c r="A658" i="11"/>
  <c r="B658" i="11" s="1"/>
  <c r="E657" i="11"/>
  <c r="D657" i="11"/>
  <c r="C657" i="11"/>
  <c r="B657" i="11"/>
  <c r="A657" i="11"/>
  <c r="E656" i="11"/>
  <c r="D656" i="11"/>
  <c r="C656" i="11"/>
  <c r="A656" i="11"/>
  <c r="B656" i="11" s="1"/>
  <c r="E655" i="11"/>
  <c r="D655" i="11"/>
  <c r="C655" i="11"/>
  <c r="B655" i="11"/>
  <c r="A655" i="11"/>
  <c r="E654" i="11"/>
  <c r="D654" i="11"/>
  <c r="C654" i="11"/>
  <c r="B654" i="11"/>
  <c r="A654" i="11"/>
  <c r="E653" i="11"/>
  <c r="D653" i="11"/>
  <c r="C653" i="11"/>
  <c r="A653" i="11"/>
  <c r="B653" i="11" s="1"/>
  <c r="E652" i="11"/>
  <c r="D652" i="11"/>
  <c r="C652" i="11"/>
  <c r="B652" i="11"/>
  <c r="A652" i="11"/>
  <c r="E651" i="11"/>
  <c r="D651" i="11"/>
  <c r="C651" i="11"/>
  <c r="A651" i="11"/>
  <c r="B651" i="11" s="1"/>
  <c r="E650" i="11"/>
  <c r="D650" i="11"/>
  <c r="C650" i="11"/>
  <c r="A650" i="11"/>
  <c r="B650" i="11" s="1"/>
  <c r="E649" i="11"/>
  <c r="D649" i="11"/>
  <c r="C649" i="11"/>
  <c r="A649" i="11"/>
  <c r="B649" i="11" s="1"/>
  <c r="E648" i="11"/>
  <c r="D648" i="11"/>
  <c r="C648" i="11"/>
  <c r="A648" i="11"/>
  <c r="B648" i="11" s="1"/>
  <c r="E647" i="11"/>
  <c r="D647" i="11"/>
  <c r="C647" i="11"/>
  <c r="B647" i="11"/>
  <c r="A647" i="11"/>
  <c r="E646" i="11"/>
  <c r="D646" i="11"/>
  <c r="C646" i="11"/>
  <c r="A646" i="11"/>
  <c r="B646" i="11" s="1"/>
  <c r="E645" i="11"/>
  <c r="D645" i="11"/>
  <c r="C645" i="11"/>
  <c r="A645" i="11"/>
  <c r="B645" i="11" s="1"/>
  <c r="E644" i="11"/>
  <c r="D644" i="11"/>
  <c r="C644" i="11"/>
  <c r="A644" i="11"/>
  <c r="B644" i="11" s="1"/>
  <c r="E643" i="11"/>
  <c r="D643" i="11"/>
  <c r="C643" i="11"/>
  <c r="B643" i="11"/>
  <c r="A643" i="11"/>
  <c r="E642" i="11"/>
  <c r="D642" i="11"/>
  <c r="C642" i="11"/>
  <c r="A642" i="11"/>
  <c r="B642" i="11" s="1"/>
  <c r="E641" i="11"/>
  <c r="D641" i="11"/>
  <c r="C641" i="11"/>
  <c r="B641" i="11"/>
  <c r="A641" i="11"/>
  <c r="E640" i="11"/>
  <c r="D640" i="11"/>
  <c r="C640" i="11"/>
  <c r="A640" i="11"/>
  <c r="B640" i="11" s="1"/>
  <c r="E639" i="11"/>
  <c r="D639" i="11"/>
  <c r="C639" i="11"/>
  <c r="B639" i="11"/>
  <c r="A639" i="11"/>
  <c r="E638" i="11"/>
  <c r="D638" i="11"/>
  <c r="C638" i="11"/>
  <c r="B638" i="11"/>
  <c r="A638" i="11"/>
  <c r="E637" i="11"/>
  <c r="D637" i="11"/>
  <c r="C637" i="11"/>
  <c r="A637" i="11"/>
  <c r="B637" i="11" s="1"/>
  <c r="E636" i="11"/>
  <c r="D636" i="11"/>
  <c r="C636" i="11"/>
  <c r="B636" i="11"/>
  <c r="A636" i="11"/>
  <c r="E635" i="11"/>
  <c r="D635" i="11"/>
  <c r="C635" i="11"/>
  <c r="A635" i="11"/>
  <c r="B635" i="11" s="1"/>
  <c r="E634" i="11"/>
  <c r="D634" i="11"/>
  <c r="C634" i="11"/>
  <c r="A634" i="11"/>
  <c r="B634" i="11" s="1"/>
  <c r="E633" i="11"/>
  <c r="D633" i="11"/>
  <c r="C633" i="11"/>
  <c r="A633" i="11"/>
  <c r="B633" i="11" s="1"/>
  <c r="E632" i="11"/>
  <c r="D632" i="11"/>
  <c r="C632" i="11"/>
  <c r="B632" i="11"/>
  <c r="A632" i="11"/>
  <c r="E631" i="11"/>
  <c r="D631" i="11"/>
  <c r="C631" i="11"/>
  <c r="B631" i="11"/>
  <c r="A631" i="11"/>
  <c r="E630" i="11"/>
  <c r="D630" i="11"/>
  <c r="C630" i="11"/>
  <c r="A630" i="11"/>
  <c r="B630" i="11" s="1"/>
  <c r="E629" i="11"/>
  <c r="D629" i="11"/>
  <c r="C629" i="11"/>
  <c r="A629" i="11"/>
  <c r="B629" i="11" s="1"/>
  <c r="E628" i="11"/>
  <c r="D628" i="11"/>
  <c r="C628" i="11"/>
  <c r="B628" i="11"/>
  <c r="A628" i="11"/>
  <c r="E627" i="11"/>
  <c r="D627" i="11"/>
  <c r="C627" i="11"/>
  <c r="A627" i="11"/>
  <c r="B627" i="11" s="1"/>
  <c r="E626" i="11"/>
  <c r="D626" i="11"/>
  <c r="C626" i="11"/>
  <c r="A626" i="11"/>
  <c r="B626" i="11" s="1"/>
  <c r="E625" i="11"/>
  <c r="D625" i="11"/>
  <c r="C625" i="11"/>
  <c r="B625" i="11"/>
  <c r="A625" i="11"/>
  <c r="E624" i="11"/>
  <c r="D624" i="11"/>
  <c r="C624" i="11"/>
  <c r="A624" i="11"/>
  <c r="B624" i="11" s="1"/>
  <c r="E623" i="11"/>
  <c r="D623" i="11"/>
  <c r="C623" i="11"/>
  <c r="B623" i="11"/>
  <c r="A623" i="11"/>
  <c r="E622" i="11"/>
  <c r="D622" i="11"/>
  <c r="C622" i="11"/>
  <c r="B622" i="11"/>
  <c r="A622" i="11"/>
  <c r="E621" i="11"/>
  <c r="D621" i="11"/>
  <c r="C621" i="11"/>
  <c r="A621" i="11"/>
  <c r="B621" i="11" s="1"/>
  <c r="E620" i="11"/>
  <c r="D620" i="11"/>
  <c r="C620" i="11"/>
  <c r="B620" i="11"/>
  <c r="A620" i="11"/>
  <c r="E619" i="11"/>
  <c r="D619" i="11"/>
  <c r="C619" i="11"/>
  <c r="A619" i="11"/>
  <c r="B619" i="11" s="1"/>
  <c r="E618" i="11"/>
  <c r="D618" i="11"/>
  <c r="C618" i="11"/>
  <c r="A618" i="11"/>
  <c r="B618" i="11" s="1"/>
  <c r="E617" i="11"/>
  <c r="D617" i="11"/>
  <c r="C617" i="11"/>
  <c r="A617" i="11"/>
  <c r="B617" i="11" s="1"/>
  <c r="E616" i="11"/>
  <c r="D616" i="11"/>
  <c r="C616" i="11"/>
  <c r="A616" i="11"/>
  <c r="B616" i="11" s="1"/>
  <c r="E615" i="11"/>
  <c r="D615" i="11"/>
  <c r="C615" i="11"/>
  <c r="B615" i="11"/>
  <c r="A615" i="11"/>
  <c r="E614" i="11"/>
  <c r="D614" i="11"/>
  <c r="C614" i="11"/>
  <c r="A614" i="11"/>
  <c r="B614" i="11" s="1"/>
  <c r="E613" i="11"/>
  <c r="D613" i="11"/>
  <c r="C613" i="11"/>
  <c r="A613" i="11"/>
  <c r="B613" i="11" s="1"/>
  <c r="E612" i="11"/>
  <c r="D612" i="11"/>
  <c r="C612" i="11"/>
  <c r="B612" i="11"/>
  <c r="A612" i="11"/>
  <c r="E611" i="11"/>
  <c r="D611" i="11"/>
  <c r="C611" i="11"/>
  <c r="B611" i="11"/>
  <c r="A611" i="11"/>
  <c r="E610" i="11"/>
  <c r="D610" i="11"/>
  <c r="C610" i="11"/>
  <c r="A610" i="11"/>
  <c r="B610" i="11" s="1"/>
  <c r="E609" i="11"/>
  <c r="D609" i="11"/>
  <c r="C609" i="11"/>
  <c r="B609" i="11"/>
  <c r="A609" i="11"/>
  <c r="E608" i="11"/>
  <c r="D608" i="11"/>
  <c r="C608" i="11"/>
  <c r="A608" i="11"/>
  <c r="B608" i="11" s="1"/>
  <c r="E607" i="11"/>
  <c r="D607" i="11"/>
  <c r="C607" i="11"/>
  <c r="B607" i="11"/>
  <c r="A607" i="11"/>
  <c r="E606" i="11"/>
  <c r="D606" i="11"/>
  <c r="C606" i="11"/>
  <c r="A606" i="11"/>
  <c r="B606" i="11" s="1"/>
  <c r="E605" i="11"/>
  <c r="D605" i="11"/>
  <c r="C605" i="11"/>
  <c r="A605" i="11"/>
  <c r="B605" i="11" s="1"/>
  <c r="E604" i="11"/>
  <c r="D604" i="11"/>
  <c r="C604" i="11"/>
  <c r="B604" i="11"/>
  <c r="A604" i="11"/>
  <c r="E603" i="11"/>
  <c r="D603" i="11"/>
  <c r="C603" i="11"/>
  <c r="A603" i="11"/>
  <c r="B603" i="11" s="1"/>
  <c r="E602" i="11"/>
  <c r="D602" i="11"/>
  <c r="C602" i="11"/>
  <c r="A602" i="11"/>
  <c r="B602" i="11" s="1"/>
  <c r="E601" i="11"/>
  <c r="D601" i="11"/>
  <c r="C601" i="11"/>
  <c r="B601" i="11"/>
  <c r="A601" i="11"/>
  <c r="E600" i="11"/>
  <c r="D600" i="11"/>
  <c r="C600" i="11"/>
  <c r="A600" i="11"/>
  <c r="B600" i="11" s="1"/>
  <c r="E599" i="11"/>
  <c r="D599" i="11"/>
  <c r="C599" i="11"/>
  <c r="B599" i="11"/>
  <c r="A599" i="11"/>
  <c r="E598" i="11"/>
  <c r="D598" i="11"/>
  <c r="C598" i="11"/>
  <c r="A598" i="11"/>
  <c r="B598" i="11" s="1"/>
  <c r="E597" i="11"/>
  <c r="D597" i="11"/>
  <c r="C597" i="11"/>
  <c r="A597" i="11"/>
  <c r="B597" i="11" s="1"/>
  <c r="E596" i="11"/>
  <c r="D596" i="11"/>
  <c r="C596" i="11"/>
  <c r="B596" i="11"/>
  <c r="A596" i="11"/>
  <c r="E595" i="11"/>
  <c r="D595" i="11"/>
  <c r="C595" i="11"/>
  <c r="A595" i="11"/>
  <c r="B595" i="11" s="1"/>
  <c r="E594" i="11"/>
  <c r="D594" i="11"/>
  <c r="C594" i="11"/>
  <c r="A594" i="11"/>
  <c r="B594" i="11" s="1"/>
  <c r="E593" i="11"/>
  <c r="D593" i="11"/>
  <c r="C593" i="11"/>
  <c r="B593" i="11"/>
  <c r="A593" i="11"/>
  <c r="E592" i="11"/>
  <c r="D592" i="11"/>
  <c r="C592" i="11"/>
  <c r="A592" i="11"/>
  <c r="B592" i="11" s="1"/>
  <c r="E591" i="11"/>
  <c r="D591" i="11"/>
  <c r="C591" i="11"/>
  <c r="B591" i="11"/>
  <c r="A591" i="11"/>
  <c r="E590" i="11"/>
  <c r="D590" i="11"/>
  <c r="C590" i="11"/>
  <c r="B590" i="11"/>
  <c r="A590" i="11"/>
  <c r="E589" i="11"/>
  <c r="D589" i="11"/>
  <c r="C589" i="11"/>
  <c r="A589" i="11"/>
  <c r="B589" i="11" s="1"/>
  <c r="E588" i="11"/>
  <c r="D588" i="11"/>
  <c r="C588" i="11"/>
  <c r="B588" i="11"/>
  <c r="A588" i="11"/>
  <c r="E587" i="11"/>
  <c r="D587" i="11"/>
  <c r="C587" i="11"/>
  <c r="A587" i="11"/>
  <c r="B587" i="11" s="1"/>
  <c r="E586" i="11"/>
  <c r="D586" i="11"/>
  <c r="C586" i="11"/>
  <c r="A586" i="11"/>
  <c r="B586" i="11" s="1"/>
  <c r="E585" i="11"/>
  <c r="D585" i="11"/>
  <c r="C585" i="11"/>
  <c r="B585" i="11"/>
  <c r="A585" i="11"/>
  <c r="E584" i="11"/>
  <c r="D584" i="11"/>
  <c r="C584" i="11"/>
  <c r="A584" i="11"/>
  <c r="B584" i="11" s="1"/>
  <c r="E583" i="11"/>
  <c r="D583" i="11"/>
  <c r="C583" i="11"/>
  <c r="B583" i="11"/>
  <c r="A583" i="11"/>
  <c r="E582" i="11"/>
  <c r="D582" i="11"/>
  <c r="C582" i="11"/>
  <c r="A582" i="11"/>
  <c r="B582" i="11" s="1"/>
  <c r="E581" i="11"/>
  <c r="D581" i="11"/>
  <c r="C581" i="11"/>
  <c r="A581" i="11"/>
  <c r="B581" i="11" s="1"/>
  <c r="E580" i="11"/>
  <c r="D580" i="11"/>
  <c r="C580" i="11"/>
  <c r="B580" i="11"/>
  <c r="A580" i="11"/>
  <c r="E579" i="11"/>
  <c r="D579" i="11"/>
  <c r="C579" i="11"/>
  <c r="B579" i="11"/>
  <c r="A579" i="11"/>
  <c r="E578" i="11"/>
  <c r="D578" i="11"/>
  <c r="C578" i="11"/>
  <c r="A578" i="11"/>
  <c r="B578" i="11" s="1"/>
  <c r="E577" i="11"/>
  <c r="D577" i="11"/>
  <c r="C577" i="11"/>
  <c r="B577" i="11"/>
  <c r="A577" i="11"/>
  <c r="E576" i="11"/>
  <c r="D576" i="11"/>
  <c r="C576" i="11"/>
  <c r="A576" i="11"/>
  <c r="B576" i="11" s="1"/>
  <c r="E575" i="11"/>
  <c r="D575" i="11"/>
  <c r="C575" i="11"/>
  <c r="B575" i="11"/>
  <c r="A575" i="11"/>
  <c r="E574" i="11"/>
  <c r="D574" i="11"/>
  <c r="C574" i="11"/>
  <c r="A574" i="11"/>
  <c r="B574" i="11" s="1"/>
  <c r="E573" i="11"/>
  <c r="D573" i="11"/>
  <c r="C573" i="11"/>
  <c r="A573" i="11"/>
  <c r="B573" i="11" s="1"/>
  <c r="E572" i="11"/>
  <c r="D572" i="11"/>
  <c r="C572" i="11"/>
  <c r="B572" i="11"/>
  <c r="A572" i="11"/>
  <c r="E571" i="11"/>
  <c r="D571" i="11"/>
  <c r="C571" i="11"/>
  <c r="A571" i="11"/>
  <c r="B571" i="11" s="1"/>
  <c r="E570" i="11"/>
  <c r="D570" i="11"/>
  <c r="C570" i="11"/>
  <c r="A570" i="11"/>
  <c r="B570" i="11" s="1"/>
  <c r="E569" i="11"/>
  <c r="D569" i="11"/>
  <c r="C569" i="11"/>
  <c r="A569" i="11"/>
  <c r="B569" i="11" s="1"/>
  <c r="E568" i="11"/>
  <c r="D568" i="11"/>
  <c r="C568" i="11"/>
  <c r="B568" i="11"/>
  <c r="A568" i="11"/>
  <c r="E567" i="11"/>
  <c r="D567" i="11"/>
  <c r="C567" i="11"/>
  <c r="B567" i="11"/>
  <c r="A567" i="11"/>
  <c r="E566" i="11"/>
  <c r="D566" i="11"/>
  <c r="C566" i="11"/>
  <c r="A566" i="11"/>
  <c r="B566" i="11" s="1"/>
  <c r="E565" i="11"/>
  <c r="D565" i="11"/>
  <c r="C565" i="11"/>
  <c r="A565" i="11"/>
  <c r="B565" i="11" s="1"/>
  <c r="E564" i="11"/>
  <c r="D564" i="11"/>
  <c r="C564" i="11"/>
  <c r="B564" i="11"/>
  <c r="A564" i="11"/>
  <c r="E563" i="11"/>
  <c r="D563" i="11"/>
  <c r="C563" i="11"/>
  <c r="B563" i="11"/>
  <c r="A563" i="11"/>
  <c r="E562" i="11"/>
  <c r="D562" i="11"/>
  <c r="C562" i="11"/>
  <c r="A562" i="11"/>
  <c r="B562" i="11" s="1"/>
  <c r="E561" i="11"/>
  <c r="D561" i="11"/>
  <c r="C561" i="11"/>
  <c r="B561" i="11"/>
  <c r="A561" i="11"/>
  <c r="E560" i="11"/>
  <c r="D560" i="11"/>
  <c r="C560" i="11"/>
  <c r="A560" i="11"/>
  <c r="B560" i="11" s="1"/>
  <c r="E559" i="11"/>
  <c r="D559" i="11"/>
  <c r="C559" i="11"/>
  <c r="B559" i="11"/>
  <c r="A559" i="11"/>
  <c r="E558" i="11"/>
  <c r="D558" i="11"/>
  <c r="C558" i="11"/>
  <c r="A558" i="11"/>
  <c r="B558" i="11" s="1"/>
  <c r="E557" i="11"/>
  <c r="D557" i="11"/>
  <c r="C557" i="11"/>
  <c r="A557" i="11"/>
  <c r="B557" i="11" s="1"/>
  <c r="E556" i="11"/>
  <c r="D556" i="11"/>
  <c r="C556" i="11"/>
  <c r="B556" i="11"/>
  <c r="A556" i="11"/>
  <c r="E555" i="11"/>
  <c r="D555" i="11"/>
  <c r="C555" i="11"/>
  <c r="A555" i="11"/>
  <c r="B555" i="11" s="1"/>
  <c r="E554" i="11"/>
  <c r="D554" i="11"/>
  <c r="C554" i="11"/>
  <c r="A554" i="11"/>
  <c r="B554" i="11" s="1"/>
  <c r="E553" i="11"/>
  <c r="D553" i="11"/>
  <c r="C553" i="11"/>
  <c r="B553" i="11"/>
  <c r="A553" i="11"/>
  <c r="E552" i="11"/>
  <c r="D552" i="11"/>
  <c r="C552" i="11"/>
  <c r="B552" i="11"/>
  <c r="A552" i="11"/>
  <c r="E551" i="11"/>
  <c r="D551" i="11"/>
  <c r="C551" i="11"/>
  <c r="B551" i="11"/>
  <c r="A551" i="11"/>
  <c r="E550" i="11"/>
  <c r="D550" i="11"/>
  <c r="C550" i="11"/>
  <c r="A550" i="11"/>
  <c r="B550" i="11" s="1"/>
  <c r="E549" i="11"/>
  <c r="D549" i="11"/>
  <c r="C549" i="11"/>
  <c r="A549" i="11"/>
  <c r="B549" i="11" s="1"/>
  <c r="E548" i="11"/>
  <c r="D548" i="11"/>
  <c r="C548" i="11"/>
  <c r="A548" i="11"/>
  <c r="B548" i="11" s="1"/>
  <c r="E547" i="11"/>
  <c r="D547" i="11"/>
  <c r="C547" i="11"/>
  <c r="A547" i="11"/>
  <c r="B547" i="11" s="1"/>
  <c r="E546" i="11"/>
  <c r="D546" i="11"/>
  <c r="C546" i="11"/>
  <c r="A546" i="11"/>
  <c r="B546" i="11" s="1"/>
  <c r="E545" i="11"/>
  <c r="D545" i="11"/>
  <c r="C545" i="11"/>
  <c r="B545" i="11"/>
  <c r="A545" i="11"/>
  <c r="E544" i="11"/>
  <c r="D544" i="11"/>
  <c r="C544" i="11"/>
  <c r="A544" i="11"/>
  <c r="B544" i="11" s="1"/>
  <c r="E543" i="11"/>
  <c r="D543" i="11"/>
  <c r="C543" i="11"/>
  <c r="B543" i="11"/>
  <c r="A543" i="11"/>
  <c r="E542" i="11"/>
  <c r="D542" i="11"/>
  <c r="C542" i="11"/>
  <c r="A542" i="11"/>
  <c r="B542" i="11" s="1"/>
  <c r="E541" i="11"/>
  <c r="D541" i="11"/>
  <c r="C541" i="11"/>
  <c r="A541" i="11"/>
  <c r="B541" i="11" s="1"/>
  <c r="E540" i="11"/>
  <c r="D540" i="11"/>
  <c r="C540" i="11"/>
  <c r="B540" i="11"/>
  <c r="A540" i="11"/>
  <c r="E539" i="11"/>
  <c r="D539" i="11"/>
  <c r="C539" i="11"/>
  <c r="A539" i="11"/>
  <c r="B539" i="11" s="1"/>
  <c r="E538" i="11"/>
  <c r="D538" i="11"/>
  <c r="C538" i="11"/>
  <c r="A538" i="11"/>
  <c r="B538" i="11" s="1"/>
  <c r="E537" i="11"/>
  <c r="D537" i="11"/>
  <c r="C537" i="11"/>
  <c r="A537" i="11"/>
  <c r="B537" i="11" s="1"/>
  <c r="E536" i="11"/>
  <c r="D536" i="11"/>
  <c r="C536" i="11"/>
  <c r="B536" i="11"/>
  <c r="A536" i="11"/>
  <c r="E535" i="11"/>
  <c r="D535" i="11"/>
  <c r="C535" i="11"/>
  <c r="B535" i="11"/>
  <c r="A535" i="11"/>
  <c r="E534" i="11"/>
  <c r="D534" i="11"/>
  <c r="C534" i="11"/>
  <c r="A534" i="11"/>
  <c r="B534" i="11" s="1"/>
  <c r="E533" i="11"/>
  <c r="D533" i="11"/>
  <c r="C533" i="11"/>
  <c r="A533" i="11"/>
  <c r="B533" i="11" s="1"/>
  <c r="E532" i="11"/>
  <c r="D532" i="11"/>
  <c r="C532" i="11"/>
  <c r="B532" i="11"/>
  <c r="A532" i="11"/>
  <c r="E531" i="11"/>
  <c r="D531" i="11"/>
  <c r="C531" i="11"/>
  <c r="B531" i="11"/>
  <c r="A531" i="11"/>
  <c r="E530" i="11"/>
  <c r="D530" i="11"/>
  <c r="C530" i="11"/>
  <c r="A530" i="11"/>
  <c r="B530" i="11" s="1"/>
  <c r="E529" i="11"/>
  <c r="D529" i="11"/>
  <c r="C529" i="11"/>
  <c r="B529" i="11"/>
  <c r="A529" i="11"/>
  <c r="E528" i="11"/>
  <c r="D528" i="11"/>
  <c r="C528" i="11"/>
  <c r="A528" i="11"/>
  <c r="B528" i="11" s="1"/>
  <c r="E527" i="11"/>
  <c r="D527" i="11"/>
  <c r="C527" i="11"/>
  <c r="B527" i="11"/>
  <c r="A527" i="11"/>
  <c r="E526" i="11"/>
  <c r="D526" i="11"/>
  <c r="C526" i="11"/>
  <c r="A526" i="11"/>
  <c r="B526" i="11" s="1"/>
  <c r="E525" i="11"/>
  <c r="D525" i="11"/>
  <c r="C525" i="11"/>
  <c r="A525" i="11"/>
  <c r="B525" i="11" s="1"/>
  <c r="E524" i="11"/>
  <c r="D524" i="11"/>
  <c r="C524" i="11"/>
  <c r="B524" i="11"/>
  <c r="A524" i="11"/>
  <c r="E523" i="11"/>
  <c r="D523" i="11"/>
  <c r="C523" i="11"/>
  <c r="A523" i="11"/>
  <c r="B523" i="11" s="1"/>
  <c r="E522" i="11"/>
  <c r="D522" i="11"/>
  <c r="C522" i="11"/>
  <c r="A522" i="11"/>
  <c r="B522" i="11" s="1"/>
  <c r="E521" i="11"/>
  <c r="D521" i="11"/>
  <c r="C521" i="11"/>
  <c r="B521" i="11"/>
  <c r="A521" i="11"/>
  <c r="E520" i="11"/>
  <c r="D520" i="11"/>
  <c r="C520" i="11"/>
  <c r="A520" i="11"/>
  <c r="B520" i="11" s="1"/>
  <c r="E519" i="11"/>
  <c r="D519" i="11"/>
  <c r="C519" i="11"/>
  <c r="B519" i="11"/>
  <c r="A519" i="11"/>
  <c r="E518" i="11"/>
  <c r="D518" i="11"/>
  <c r="C518" i="11"/>
  <c r="A518" i="11"/>
  <c r="B518" i="11" s="1"/>
  <c r="E517" i="11"/>
  <c r="D517" i="11"/>
  <c r="C517" i="11"/>
  <c r="A517" i="11"/>
  <c r="B517" i="11" s="1"/>
  <c r="E516" i="11"/>
  <c r="D516" i="11"/>
  <c r="C516" i="11"/>
  <c r="A516" i="11"/>
  <c r="B516" i="11" s="1"/>
  <c r="E515" i="11"/>
  <c r="D515" i="11"/>
  <c r="C515" i="11"/>
  <c r="B515" i="11"/>
  <c r="A515" i="11"/>
  <c r="E514" i="11"/>
  <c r="D514" i="11"/>
  <c r="C514" i="11"/>
  <c r="A514" i="11"/>
  <c r="B514" i="11" s="1"/>
  <c r="E513" i="11"/>
  <c r="D513" i="11"/>
  <c r="C513" i="11"/>
  <c r="B513" i="11"/>
  <c r="A513" i="11"/>
  <c r="E512" i="11"/>
  <c r="D512" i="11"/>
  <c r="C512" i="11"/>
  <c r="A512" i="11"/>
  <c r="B512" i="11" s="1"/>
  <c r="E511" i="11"/>
  <c r="D511" i="11"/>
  <c r="C511" i="11"/>
  <c r="B511" i="11"/>
  <c r="A511" i="11"/>
  <c r="E510" i="11"/>
  <c r="D510" i="11"/>
  <c r="C510" i="11"/>
  <c r="B510" i="11"/>
  <c r="A510" i="11"/>
  <c r="E509" i="11"/>
  <c r="D509" i="11"/>
  <c r="C509" i="11"/>
  <c r="A509" i="11"/>
  <c r="B509" i="11" s="1"/>
  <c r="E508" i="11"/>
  <c r="D508" i="11"/>
  <c r="C508" i="11"/>
  <c r="B508" i="11"/>
  <c r="A508" i="11"/>
  <c r="E507" i="11"/>
  <c r="D507" i="11"/>
  <c r="C507" i="11"/>
  <c r="A507" i="11"/>
  <c r="B507" i="11" s="1"/>
  <c r="E506" i="11"/>
  <c r="D506" i="11"/>
  <c r="C506" i="11"/>
  <c r="A506" i="11"/>
  <c r="B506" i="11" s="1"/>
  <c r="E505" i="11"/>
  <c r="D505" i="11"/>
  <c r="C505" i="11"/>
  <c r="B505" i="11"/>
  <c r="A505" i="11"/>
  <c r="E504" i="11"/>
  <c r="D504" i="11"/>
  <c r="C504" i="11"/>
  <c r="B504" i="11"/>
  <c r="A504" i="11"/>
  <c r="E503" i="11"/>
  <c r="D503" i="11"/>
  <c r="C503" i="11"/>
  <c r="B503" i="11"/>
  <c r="A503" i="11"/>
  <c r="E502" i="11"/>
  <c r="D502" i="11"/>
  <c r="C502" i="11"/>
  <c r="A502" i="11"/>
  <c r="B502" i="11" s="1"/>
  <c r="E501" i="11"/>
  <c r="D501" i="11"/>
  <c r="C501" i="11"/>
  <c r="A501" i="11"/>
  <c r="B501" i="11" s="1"/>
  <c r="E500" i="11"/>
  <c r="D500" i="11"/>
  <c r="C500" i="11"/>
  <c r="A500" i="11"/>
  <c r="B500" i="11" s="1"/>
  <c r="E499" i="11"/>
  <c r="D499" i="11"/>
  <c r="C499" i="11"/>
  <c r="A499" i="11"/>
  <c r="B499" i="11" s="1"/>
  <c r="E498" i="11"/>
  <c r="D498" i="11"/>
  <c r="C498" i="11"/>
  <c r="A498" i="11"/>
  <c r="B498" i="11" s="1"/>
  <c r="E497" i="11"/>
  <c r="D497" i="11"/>
  <c r="C497" i="11"/>
  <c r="B497" i="11"/>
  <c r="A497" i="11"/>
  <c r="E496" i="11"/>
  <c r="D496" i="11"/>
  <c r="C496" i="11"/>
  <c r="A496" i="11"/>
  <c r="B496" i="11" s="1"/>
  <c r="E495" i="11"/>
  <c r="D495" i="11"/>
  <c r="C495" i="11"/>
  <c r="B495" i="11"/>
  <c r="A495" i="11"/>
  <c r="E494" i="11"/>
  <c r="D494" i="11"/>
  <c r="C494" i="11"/>
  <c r="B494" i="11"/>
  <c r="A494" i="11"/>
  <c r="E493" i="11"/>
  <c r="D493" i="11"/>
  <c r="C493" i="11"/>
  <c r="A493" i="11"/>
  <c r="B493" i="11" s="1"/>
  <c r="E492" i="11"/>
  <c r="D492" i="11"/>
  <c r="C492" i="11"/>
  <c r="B492" i="11"/>
  <c r="A492" i="11"/>
  <c r="E491" i="11"/>
  <c r="D491" i="11"/>
  <c r="C491" i="11"/>
  <c r="A491" i="11"/>
  <c r="B491" i="11" s="1"/>
  <c r="E490" i="11"/>
  <c r="D490" i="11"/>
  <c r="C490" i="11"/>
  <c r="A490" i="11"/>
  <c r="B490" i="11" s="1"/>
  <c r="E489" i="11"/>
  <c r="D489" i="11"/>
  <c r="C489" i="11"/>
  <c r="B489" i="11"/>
  <c r="A489" i="11"/>
  <c r="E488" i="11"/>
  <c r="D488" i="11"/>
  <c r="C488" i="11"/>
  <c r="A488" i="11"/>
  <c r="B488" i="11" s="1"/>
  <c r="E487" i="11"/>
  <c r="D487" i="11"/>
  <c r="C487" i="11"/>
  <c r="B487" i="11"/>
  <c r="A487" i="11"/>
  <c r="E486" i="11"/>
  <c r="D486" i="11"/>
  <c r="C486" i="11"/>
  <c r="A486" i="11"/>
  <c r="B486" i="11" s="1"/>
  <c r="E485" i="11"/>
  <c r="D485" i="11"/>
  <c r="C485" i="11"/>
  <c r="A485" i="11"/>
  <c r="B485" i="11" s="1"/>
  <c r="E484" i="11"/>
  <c r="D484" i="11"/>
  <c r="C484" i="11"/>
  <c r="A484" i="11"/>
  <c r="B484" i="11" s="1"/>
  <c r="E483" i="11"/>
  <c r="D483" i="11"/>
  <c r="C483" i="11"/>
  <c r="B483" i="11"/>
  <c r="A483" i="11"/>
  <c r="E482" i="11"/>
  <c r="D482" i="11"/>
  <c r="C482" i="11"/>
  <c r="A482" i="11"/>
  <c r="B482" i="11" s="1"/>
  <c r="E481" i="11"/>
  <c r="D481" i="11"/>
  <c r="C481" i="11"/>
  <c r="B481" i="11"/>
  <c r="A481" i="11"/>
  <c r="E480" i="11"/>
  <c r="D480" i="11"/>
  <c r="C480" i="11"/>
  <c r="A480" i="11"/>
  <c r="B480" i="11" s="1"/>
  <c r="E479" i="11"/>
  <c r="D479" i="11"/>
  <c r="C479" i="11"/>
  <c r="B479" i="11"/>
  <c r="A479" i="11"/>
  <c r="E478" i="11"/>
  <c r="D478" i="11"/>
  <c r="C478" i="11"/>
  <c r="A478" i="11"/>
  <c r="B478" i="11" s="1"/>
  <c r="E477" i="11"/>
  <c r="D477" i="11"/>
  <c r="C477" i="11"/>
  <c r="A477" i="11"/>
  <c r="B477" i="11" s="1"/>
  <c r="E476" i="11"/>
  <c r="D476" i="11"/>
  <c r="C476" i="11"/>
  <c r="B476" i="11"/>
  <c r="A476" i="11"/>
  <c r="E475" i="11"/>
  <c r="D475" i="11"/>
  <c r="C475" i="11"/>
  <c r="A475" i="11"/>
  <c r="B475" i="11" s="1"/>
  <c r="E474" i="11"/>
  <c r="D474" i="11"/>
  <c r="C474" i="11"/>
  <c r="A474" i="11"/>
  <c r="B474" i="11" s="1"/>
  <c r="E473" i="11"/>
  <c r="D473" i="11"/>
  <c r="C473" i="11"/>
  <c r="B473" i="11"/>
  <c r="A473" i="11"/>
  <c r="E472" i="11"/>
  <c r="D472" i="11"/>
  <c r="C472" i="11"/>
  <c r="A472" i="11"/>
  <c r="B472" i="11" s="1"/>
  <c r="E471" i="11"/>
  <c r="D471" i="11"/>
  <c r="C471" i="11"/>
  <c r="B471" i="11"/>
  <c r="A471" i="11"/>
  <c r="E470" i="11"/>
  <c r="D470" i="11"/>
  <c r="C470" i="11"/>
  <c r="A470" i="11"/>
  <c r="B470" i="11" s="1"/>
  <c r="E469" i="11"/>
  <c r="D469" i="11"/>
  <c r="C469" i="11"/>
  <c r="A469" i="11"/>
  <c r="B469" i="11" s="1"/>
  <c r="E468" i="11"/>
  <c r="D468" i="11"/>
  <c r="C468" i="11"/>
  <c r="A468" i="11"/>
  <c r="B468" i="11" s="1"/>
  <c r="E467" i="11"/>
  <c r="D467" i="11"/>
  <c r="C467" i="11"/>
  <c r="A467" i="11"/>
  <c r="B467" i="11" s="1"/>
  <c r="E466" i="11"/>
  <c r="D466" i="11"/>
  <c r="C466" i="11"/>
  <c r="A466" i="11"/>
  <c r="B466" i="11" s="1"/>
  <c r="E465" i="11"/>
  <c r="D465" i="11"/>
  <c r="C465" i="11"/>
  <c r="B465" i="11"/>
  <c r="A465" i="11"/>
  <c r="E464" i="11"/>
  <c r="D464" i="11"/>
  <c r="C464" i="11"/>
  <c r="A464" i="11"/>
  <c r="B464" i="11" s="1"/>
  <c r="E463" i="11"/>
  <c r="D463" i="11"/>
  <c r="C463" i="11"/>
  <c r="B463" i="11"/>
  <c r="A463" i="11"/>
  <c r="E462" i="11"/>
  <c r="D462" i="11"/>
  <c r="C462" i="11"/>
  <c r="B462" i="11"/>
  <c r="A462" i="11"/>
  <c r="E461" i="11"/>
  <c r="D461" i="11"/>
  <c r="C461" i="11"/>
  <c r="A461" i="11"/>
  <c r="B461" i="11" s="1"/>
  <c r="E460" i="11"/>
  <c r="D460" i="11"/>
  <c r="C460" i="11"/>
  <c r="B460" i="11"/>
  <c r="A460" i="11"/>
  <c r="E459" i="11"/>
  <c r="D459" i="11"/>
  <c r="C459" i="11"/>
  <c r="A459" i="11"/>
  <c r="B459" i="11" s="1"/>
  <c r="E458" i="11"/>
  <c r="D458" i="11"/>
  <c r="C458" i="11"/>
  <c r="A458" i="11"/>
  <c r="B458" i="11" s="1"/>
  <c r="E457" i="11"/>
  <c r="D457" i="11"/>
  <c r="C457" i="11"/>
  <c r="B457" i="11"/>
  <c r="A457" i="11"/>
  <c r="E456" i="11"/>
  <c r="D456" i="11"/>
  <c r="C456" i="11"/>
  <c r="B456" i="11"/>
  <c r="A456" i="11"/>
  <c r="E455" i="11"/>
  <c r="D455" i="11"/>
  <c r="C455" i="11"/>
  <c r="B455" i="11"/>
  <c r="A455" i="11"/>
  <c r="E454" i="11"/>
  <c r="D454" i="11"/>
  <c r="C454" i="11"/>
  <c r="A454" i="11"/>
  <c r="B454" i="11" s="1"/>
  <c r="E453" i="11"/>
  <c r="D453" i="11"/>
  <c r="C453" i="11"/>
  <c r="A453" i="11"/>
  <c r="B453" i="11" s="1"/>
  <c r="E452" i="11"/>
  <c r="D452" i="11"/>
  <c r="C452" i="11"/>
  <c r="B452" i="11"/>
  <c r="A452" i="11"/>
  <c r="E451" i="11"/>
  <c r="D451" i="11"/>
  <c r="C451" i="11"/>
  <c r="A451" i="11"/>
  <c r="B451" i="11" s="1"/>
  <c r="E450" i="11"/>
  <c r="D450" i="11"/>
  <c r="C450" i="11"/>
  <c r="A450" i="11"/>
  <c r="B450" i="11" s="1"/>
  <c r="E449" i="11"/>
  <c r="D449" i="11"/>
  <c r="C449" i="11"/>
  <c r="B449" i="11"/>
  <c r="A449" i="11"/>
  <c r="E448" i="11"/>
  <c r="D448" i="11"/>
  <c r="C448" i="11"/>
  <c r="A448" i="11"/>
  <c r="B448" i="11" s="1"/>
  <c r="E447" i="11"/>
  <c r="D447" i="11"/>
  <c r="C447" i="11"/>
  <c r="B447" i="11"/>
  <c r="A447" i="11"/>
  <c r="E446" i="11"/>
  <c r="D446" i="11"/>
  <c r="C446" i="11"/>
  <c r="A446" i="11"/>
  <c r="B446" i="11" s="1"/>
  <c r="E445" i="11"/>
  <c r="D445" i="11"/>
  <c r="C445" i="11"/>
  <c r="A445" i="11"/>
  <c r="B445" i="11" s="1"/>
  <c r="E444" i="11"/>
  <c r="D444" i="11"/>
  <c r="C444" i="11"/>
  <c r="B444" i="11"/>
  <c r="A444" i="11"/>
  <c r="E443" i="11"/>
  <c r="D443" i="11"/>
  <c r="C443" i="11"/>
  <c r="A443" i="11"/>
  <c r="B443" i="11" s="1"/>
  <c r="E442" i="11"/>
  <c r="D442" i="11"/>
  <c r="C442" i="11"/>
  <c r="A442" i="11"/>
  <c r="B442" i="11" s="1"/>
  <c r="E441" i="11"/>
  <c r="D441" i="11"/>
  <c r="C441" i="11"/>
  <c r="A441" i="11"/>
  <c r="B441" i="11" s="1"/>
  <c r="E440" i="11"/>
  <c r="D440" i="11"/>
  <c r="C440" i="11"/>
  <c r="A440" i="11"/>
  <c r="B440" i="11" s="1"/>
  <c r="E439" i="11"/>
  <c r="D439" i="11"/>
  <c r="C439" i="11"/>
  <c r="B439" i="11"/>
  <c r="A439" i="11"/>
  <c r="E438" i="11"/>
  <c r="D438" i="11"/>
  <c r="C438" i="11"/>
  <c r="A438" i="11"/>
  <c r="B438" i="11" s="1"/>
  <c r="E437" i="11"/>
  <c r="D437" i="11"/>
  <c r="C437" i="11"/>
  <c r="A437" i="11"/>
  <c r="B437" i="11" s="1"/>
  <c r="E436" i="11"/>
  <c r="D436" i="11"/>
  <c r="C436" i="11"/>
  <c r="B436" i="11"/>
  <c r="A436" i="11"/>
  <c r="E435" i="11"/>
  <c r="D435" i="11"/>
  <c r="C435" i="11"/>
  <c r="A435" i="11"/>
  <c r="B435" i="11" s="1"/>
  <c r="E434" i="11"/>
  <c r="D434" i="11"/>
  <c r="C434" i="11"/>
  <c r="A434" i="11"/>
  <c r="B434" i="11" s="1"/>
  <c r="E433" i="11"/>
  <c r="D433" i="11"/>
  <c r="C433" i="11"/>
  <c r="B433" i="11"/>
  <c r="A433" i="11"/>
  <c r="E432" i="11"/>
  <c r="D432" i="11"/>
  <c r="C432" i="11"/>
  <c r="A432" i="11"/>
  <c r="B432" i="11" s="1"/>
  <c r="E431" i="11"/>
  <c r="D431" i="11"/>
  <c r="C431" i="11"/>
  <c r="B431" i="11"/>
  <c r="A431" i="11"/>
  <c r="E430" i="11"/>
  <c r="D430" i="11"/>
  <c r="C430" i="11"/>
  <c r="B430" i="11"/>
  <c r="A430" i="11"/>
  <c r="E429" i="11"/>
  <c r="D429" i="11"/>
  <c r="C429" i="11"/>
  <c r="A429" i="11"/>
  <c r="B429" i="11" s="1"/>
  <c r="E428" i="11"/>
  <c r="D428" i="11"/>
  <c r="C428" i="11"/>
  <c r="B428" i="11"/>
  <c r="A428" i="11"/>
  <c r="E427" i="11"/>
  <c r="D427" i="11"/>
  <c r="C427" i="11"/>
  <c r="A427" i="11"/>
  <c r="B427" i="11" s="1"/>
  <c r="E426" i="11"/>
  <c r="D426" i="11"/>
  <c r="C426" i="11"/>
  <c r="A426" i="11"/>
  <c r="B426" i="11" s="1"/>
  <c r="E425" i="11"/>
  <c r="D425" i="11"/>
  <c r="C425" i="11"/>
  <c r="B425" i="11"/>
  <c r="A425" i="11"/>
  <c r="E424" i="11"/>
  <c r="D424" i="11"/>
  <c r="C424" i="11"/>
  <c r="B424" i="11"/>
  <c r="A424" i="11"/>
  <c r="E423" i="11"/>
  <c r="D423" i="11"/>
  <c r="C423" i="11"/>
  <c r="B423" i="11"/>
  <c r="A423" i="11"/>
  <c r="E422" i="11"/>
  <c r="D422" i="11"/>
  <c r="C422" i="11"/>
  <c r="A422" i="11"/>
  <c r="B422" i="11" s="1"/>
  <c r="E421" i="11"/>
  <c r="D421" i="11"/>
  <c r="C421" i="11"/>
  <c r="A421" i="11"/>
  <c r="B421" i="11" s="1"/>
  <c r="E420" i="11"/>
  <c r="D420" i="11"/>
  <c r="C420" i="11"/>
  <c r="A420" i="11"/>
  <c r="B420" i="11" s="1"/>
  <c r="E419" i="11"/>
  <c r="D419" i="11"/>
  <c r="C419" i="11"/>
  <c r="A419" i="11"/>
  <c r="B419" i="11" s="1"/>
  <c r="E418" i="11"/>
  <c r="D418" i="11"/>
  <c r="C418" i="11"/>
  <c r="A418" i="11"/>
  <c r="B418" i="11" s="1"/>
  <c r="E417" i="11"/>
  <c r="D417" i="11"/>
  <c r="C417" i="11"/>
  <c r="B417" i="11"/>
  <c r="A417" i="11"/>
  <c r="E416" i="11"/>
  <c r="D416" i="11"/>
  <c r="C416" i="11"/>
  <c r="A416" i="11"/>
  <c r="B416" i="11" s="1"/>
  <c r="E415" i="11"/>
  <c r="D415" i="11"/>
  <c r="C415" i="11"/>
  <c r="B415" i="11"/>
  <c r="A415" i="11"/>
  <c r="E414" i="11"/>
  <c r="D414" i="11"/>
  <c r="C414" i="11"/>
  <c r="B414" i="11"/>
  <c r="A414" i="11"/>
  <c r="E413" i="11"/>
  <c r="D413" i="11"/>
  <c r="C413" i="11"/>
  <c r="A413" i="11"/>
  <c r="B413" i="11" s="1"/>
  <c r="E412" i="11"/>
  <c r="D412" i="11"/>
  <c r="C412" i="11"/>
  <c r="B412" i="11"/>
  <c r="A412" i="11"/>
  <c r="E411" i="11"/>
  <c r="D411" i="11"/>
  <c r="C411" i="11"/>
  <c r="A411" i="11"/>
  <c r="B411" i="11" s="1"/>
  <c r="E410" i="11"/>
  <c r="D410" i="11"/>
  <c r="C410" i="11"/>
  <c r="A410" i="11"/>
  <c r="B410" i="11" s="1"/>
  <c r="E409" i="11"/>
  <c r="D409" i="11"/>
  <c r="C409" i="11"/>
  <c r="A409" i="11"/>
  <c r="B409" i="11" s="1"/>
  <c r="E408" i="11"/>
  <c r="D408" i="11"/>
  <c r="C408" i="11"/>
  <c r="B408" i="11"/>
  <c r="A408" i="11"/>
  <c r="E407" i="11"/>
  <c r="D407" i="11"/>
  <c r="C407" i="11"/>
  <c r="B407" i="11"/>
  <c r="A407" i="11"/>
  <c r="E406" i="11"/>
  <c r="D406" i="11"/>
  <c r="C406" i="11"/>
  <c r="A406" i="11"/>
  <c r="B406" i="11" s="1"/>
  <c r="E405" i="11"/>
  <c r="D405" i="11"/>
  <c r="C405" i="11"/>
  <c r="A405" i="11"/>
  <c r="B405" i="11" s="1"/>
  <c r="E404" i="11"/>
  <c r="D404" i="11"/>
  <c r="C404" i="11"/>
  <c r="B404" i="11"/>
  <c r="A404" i="11"/>
  <c r="E403" i="11"/>
  <c r="D403" i="11"/>
  <c r="C403" i="11"/>
  <c r="B403" i="11"/>
  <c r="A403" i="11"/>
  <c r="E402" i="11"/>
  <c r="D402" i="11"/>
  <c r="C402" i="11"/>
  <c r="A402" i="11"/>
  <c r="B402" i="11" s="1"/>
  <c r="E401" i="11"/>
  <c r="D401" i="11"/>
  <c r="C401" i="11"/>
  <c r="B401" i="11"/>
  <c r="A401" i="11"/>
  <c r="E400" i="11"/>
  <c r="D400" i="11"/>
  <c r="C400" i="11"/>
  <c r="A400" i="11"/>
  <c r="B400" i="11" s="1"/>
  <c r="E399" i="11"/>
  <c r="D399" i="11"/>
  <c r="C399" i="11"/>
  <c r="B399" i="11"/>
  <c r="A399" i="11"/>
  <c r="E398" i="11"/>
  <c r="D398" i="11"/>
  <c r="C398" i="11"/>
  <c r="B398" i="11"/>
  <c r="A398" i="11"/>
  <c r="E397" i="11"/>
  <c r="D397" i="11"/>
  <c r="C397" i="11"/>
  <c r="A397" i="11"/>
  <c r="B397" i="11" s="1"/>
  <c r="E396" i="11"/>
  <c r="D396" i="11"/>
  <c r="C396" i="11"/>
  <c r="B396" i="11"/>
  <c r="A396" i="11"/>
  <c r="E395" i="11"/>
  <c r="D395" i="11"/>
  <c r="C395" i="11"/>
  <c r="A395" i="11"/>
  <c r="B395" i="11" s="1"/>
  <c r="E394" i="11"/>
  <c r="D394" i="11"/>
  <c r="C394" i="11"/>
  <c r="A394" i="11"/>
  <c r="B394" i="11" s="1"/>
  <c r="E393" i="11"/>
  <c r="D393" i="11"/>
  <c r="C393" i="11"/>
  <c r="A393" i="11"/>
  <c r="B393" i="11" s="1"/>
  <c r="E392" i="11"/>
  <c r="D392" i="11"/>
  <c r="C392" i="11"/>
  <c r="A392" i="11"/>
  <c r="B392" i="11" s="1"/>
  <c r="E391" i="11"/>
  <c r="D391" i="11"/>
  <c r="C391" i="11"/>
  <c r="B391" i="11"/>
  <c r="A391" i="11"/>
  <c r="E390" i="11"/>
  <c r="D390" i="11"/>
  <c r="C390" i="11"/>
  <c r="A390" i="11"/>
  <c r="B390" i="11" s="1"/>
  <c r="E389" i="11"/>
  <c r="D389" i="11"/>
  <c r="C389" i="11"/>
  <c r="A389" i="11"/>
  <c r="B389" i="11" s="1"/>
  <c r="E388" i="11"/>
  <c r="D388" i="11"/>
  <c r="C388" i="11"/>
  <c r="A388" i="11"/>
  <c r="B388" i="11" s="1"/>
  <c r="E387" i="11"/>
  <c r="D387" i="11"/>
  <c r="C387" i="11"/>
  <c r="B387" i="11"/>
  <c r="A387" i="11"/>
  <c r="E386" i="11"/>
  <c r="D386" i="11"/>
  <c r="C386" i="11"/>
  <c r="A386" i="11"/>
  <c r="B386" i="11" s="1"/>
  <c r="E385" i="11"/>
  <c r="D385" i="11"/>
  <c r="C385" i="11"/>
  <c r="B385" i="11"/>
  <c r="A385" i="11"/>
  <c r="E384" i="11"/>
  <c r="D384" i="11"/>
  <c r="C384" i="11"/>
  <c r="A384" i="11"/>
  <c r="B384" i="11" s="1"/>
  <c r="E383" i="11"/>
  <c r="D383" i="11"/>
  <c r="C383" i="11"/>
  <c r="B383" i="11"/>
  <c r="A383" i="11"/>
  <c r="E382" i="11"/>
  <c r="D382" i="11"/>
  <c r="C382" i="11"/>
  <c r="B382" i="11"/>
  <c r="A382" i="11"/>
  <c r="E381" i="11"/>
  <c r="D381" i="11"/>
  <c r="C381" i="11"/>
  <c r="A381" i="11"/>
  <c r="B381" i="11" s="1"/>
  <c r="E380" i="11"/>
  <c r="D380" i="11"/>
  <c r="C380" i="11"/>
  <c r="B380" i="11"/>
  <c r="A380" i="11"/>
  <c r="E379" i="11"/>
  <c r="D379" i="11"/>
  <c r="C379" i="11"/>
  <c r="A379" i="11"/>
  <c r="B379" i="11" s="1"/>
  <c r="E378" i="11"/>
  <c r="D378" i="11"/>
  <c r="C378" i="11"/>
  <c r="A378" i="11"/>
  <c r="B378" i="11" s="1"/>
  <c r="E377" i="11"/>
  <c r="D377" i="11"/>
  <c r="C377" i="11"/>
  <c r="B377" i="11"/>
  <c r="A377" i="11"/>
  <c r="E376" i="11"/>
  <c r="D376" i="11"/>
  <c r="C376" i="11"/>
  <c r="B376" i="11"/>
  <c r="A376" i="11"/>
  <c r="E375" i="11"/>
  <c r="D375" i="11"/>
  <c r="C375" i="11"/>
  <c r="B375" i="11"/>
  <c r="A375" i="11"/>
  <c r="E374" i="11"/>
  <c r="D374" i="11"/>
  <c r="C374" i="11"/>
  <c r="A374" i="11"/>
  <c r="B374" i="11" s="1"/>
  <c r="E373" i="11"/>
  <c r="D373" i="11"/>
  <c r="C373" i="11"/>
  <c r="A373" i="11"/>
  <c r="B373" i="11" s="1"/>
  <c r="E372" i="11"/>
  <c r="D372" i="11"/>
  <c r="C372" i="11"/>
  <c r="B372" i="11"/>
  <c r="A372" i="11"/>
  <c r="E371" i="11"/>
  <c r="D371" i="11"/>
  <c r="C371" i="11"/>
  <c r="A371" i="11"/>
  <c r="B371" i="11" s="1"/>
  <c r="E370" i="11"/>
  <c r="D370" i="11"/>
  <c r="C370" i="11"/>
  <c r="A370" i="11"/>
  <c r="B370" i="11" s="1"/>
  <c r="E369" i="11"/>
  <c r="D369" i="11"/>
  <c r="C369" i="11"/>
  <c r="B369" i="11"/>
  <c r="A369" i="11"/>
  <c r="E368" i="11"/>
  <c r="D368" i="11"/>
  <c r="C368" i="11"/>
  <c r="A368" i="11"/>
  <c r="B368" i="11" s="1"/>
  <c r="E367" i="11"/>
  <c r="D367" i="11"/>
  <c r="C367" i="11"/>
  <c r="B367" i="11"/>
  <c r="A367" i="11"/>
  <c r="E366" i="11"/>
  <c r="D366" i="11"/>
  <c r="C366" i="11"/>
  <c r="B366" i="11"/>
  <c r="A366" i="11"/>
  <c r="E365" i="11"/>
  <c r="D365" i="11"/>
  <c r="C365" i="11"/>
  <c r="A365" i="11"/>
  <c r="B365" i="11" s="1"/>
  <c r="E364" i="11"/>
  <c r="D364" i="11"/>
  <c r="C364" i="11"/>
  <c r="B364" i="11"/>
  <c r="A364" i="11"/>
  <c r="E363" i="11"/>
  <c r="D363" i="11"/>
  <c r="C363" i="11"/>
  <c r="A363" i="11"/>
  <c r="B363" i="11" s="1"/>
  <c r="E362" i="11"/>
  <c r="D362" i="11"/>
  <c r="C362" i="11"/>
  <c r="A362" i="11"/>
  <c r="B362" i="11" s="1"/>
  <c r="E361" i="11"/>
  <c r="D361" i="11"/>
  <c r="C361" i="11"/>
  <c r="B361" i="11"/>
  <c r="A361" i="11"/>
  <c r="E360" i="11"/>
  <c r="D360" i="11"/>
  <c r="C360" i="11"/>
  <c r="A360" i="11"/>
  <c r="B360" i="11" s="1"/>
  <c r="E359" i="11"/>
  <c r="D359" i="11"/>
  <c r="C359" i="11"/>
  <c r="B359" i="11"/>
  <c r="A359" i="11"/>
  <c r="E358" i="11"/>
  <c r="D358" i="11"/>
  <c r="C358" i="11"/>
  <c r="A358" i="11"/>
  <c r="B358" i="11" s="1"/>
  <c r="E357" i="11"/>
  <c r="D357" i="11"/>
  <c r="C357" i="11"/>
  <c r="A357" i="11"/>
  <c r="B357" i="11" s="1"/>
  <c r="E356" i="11"/>
  <c r="D356" i="11"/>
  <c r="C356" i="11"/>
  <c r="A356" i="11"/>
  <c r="B356" i="11" s="1"/>
  <c r="E355" i="11"/>
  <c r="D355" i="11"/>
  <c r="C355" i="11"/>
  <c r="B355" i="11"/>
  <c r="A355" i="11"/>
  <c r="E354" i="11"/>
  <c r="D354" i="11"/>
  <c r="C354" i="11"/>
  <c r="A354" i="11"/>
  <c r="B354" i="11" s="1"/>
  <c r="E353" i="11"/>
  <c r="D353" i="11"/>
  <c r="C353" i="11"/>
  <c r="B353" i="11"/>
  <c r="A353" i="11"/>
  <c r="E352" i="11"/>
  <c r="D352" i="11"/>
  <c r="C352" i="11"/>
  <c r="A352" i="11"/>
  <c r="B352" i="11" s="1"/>
  <c r="E351" i="11"/>
  <c r="D351" i="11"/>
  <c r="C351" i="11"/>
  <c r="B351" i="11"/>
  <c r="A351" i="11"/>
  <c r="E350" i="11"/>
  <c r="D350" i="11"/>
  <c r="C350" i="11"/>
  <c r="A350" i="11"/>
  <c r="B350" i="11" s="1"/>
  <c r="E349" i="11"/>
  <c r="D349" i="11"/>
  <c r="C349" i="11"/>
  <c r="A349" i="11"/>
  <c r="B349" i="11" s="1"/>
  <c r="E348" i="11"/>
  <c r="D348" i="11"/>
  <c r="C348" i="11"/>
  <c r="B348" i="11"/>
  <c r="A348" i="11"/>
  <c r="E347" i="11"/>
  <c r="D347" i="11"/>
  <c r="C347" i="11"/>
  <c r="A347" i="11"/>
  <c r="B347" i="11" s="1"/>
  <c r="E346" i="11"/>
  <c r="D346" i="11"/>
  <c r="C346" i="11"/>
  <c r="A346" i="11"/>
  <c r="B346" i="11" s="1"/>
  <c r="E345" i="11"/>
  <c r="D345" i="11"/>
  <c r="C345" i="11"/>
  <c r="B345" i="11"/>
  <c r="A345" i="11"/>
  <c r="E344" i="11"/>
  <c r="D344" i="11"/>
  <c r="C344" i="11"/>
  <c r="A344" i="11"/>
  <c r="B344" i="11" s="1"/>
  <c r="E343" i="11"/>
  <c r="D343" i="11"/>
  <c r="C343" i="11"/>
  <c r="B343" i="11"/>
  <c r="A343" i="11"/>
  <c r="E342" i="11"/>
  <c r="D342" i="11"/>
  <c r="C342" i="11"/>
  <c r="A342" i="11"/>
  <c r="B342" i="11" s="1"/>
  <c r="E341" i="11"/>
  <c r="D341" i="11"/>
  <c r="C341" i="11"/>
  <c r="A341" i="11"/>
  <c r="B341" i="11" s="1"/>
  <c r="E340" i="11"/>
  <c r="D340" i="11"/>
  <c r="C340" i="11"/>
  <c r="A340" i="11"/>
  <c r="B340" i="11" s="1"/>
  <c r="E339" i="11"/>
  <c r="D339" i="11"/>
  <c r="C339" i="11"/>
  <c r="A339" i="11"/>
  <c r="B339" i="11" s="1"/>
  <c r="E338" i="11"/>
  <c r="D338" i="11"/>
  <c r="C338" i="11"/>
  <c r="A338" i="11"/>
  <c r="B338" i="11" s="1"/>
  <c r="E337" i="11"/>
  <c r="D337" i="11"/>
  <c r="C337" i="11"/>
  <c r="B337" i="11"/>
  <c r="A337" i="11"/>
  <c r="E336" i="11"/>
  <c r="D336" i="11"/>
  <c r="C336" i="11"/>
  <c r="A336" i="11"/>
  <c r="B336" i="11" s="1"/>
  <c r="E335" i="11"/>
  <c r="D335" i="11"/>
  <c r="C335" i="11"/>
  <c r="B335" i="11"/>
  <c r="A335" i="11"/>
  <c r="E334" i="11"/>
  <c r="D334" i="11"/>
  <c r="C334" i="11"/>
  <c r="B334" i="11"/>
  <c r="A334" i="11"/>
  <c r="E333" i="11"/>
  <c r="D333" i="11"/>
  <c r="C333" i="11"/>
  <c r="A333" i="11"/>
  <c r="B333" i="11" s="1"/>
  <c r="E332" i="11"/>
  <c r="D332" i="11"/>
  <c r="C332" i="11"/>
  <c r="B332" i="11"/>
  <c r="A332" i="11"/>
  <c r="E331" i="11"/>
  <c r="D331" i="11"/>
  <c r="C331" i="11"/>
  <c r="A331" i="11"/>
  <c r="B331" i="11" s="1"/>
  <c r="E330" i="11"/>
  <c r="D330" i="11"/>
  <c r="C330" i="11"/>
  <c r="A330" i="11"/>
  <c r="B330" i="11" s="1"/>
  <c r="E329" i="11"/>
  <c r="D329" i="11"/>
  <c r="C329" i="11"/>
  <c r="B329" i="11"/>
  <c r="A329" i="11"/>
  <c r="E328" i="11"/>
  <c r="D328" i="11"/>
  <c r="C328" i="11"/>
  <c r="A328" i="11"/>
  <c r="B328" i="11" s="1"/>
  <c r="E327" i="11"/>
  <c r="D327" i="11"/>
  <c r="C327" i="11"/>
  <c r="B327" i="11"/>
  <c r="A327" i="11"/>
  <c r="E326" i="11"/>
  <c r="D326" i="11"/>
  <c r="C326" i="11"/>
  <c r="A326" i="11"/>
  <c r="B326" i="11" s="1"/>
  <c r="E325" i="11"/>
  <c r="D325" i="11"/>
  <c r="C325" i="11"/>
  <c r="A325" i="11"/>
  <c r="B325" i="11" s="1"/>
  <c r="E324" i="11"/>
  <c r="D324" i="11"/>
  <c r="C324" i="11"/>
  <c r="B324" i="11"/>
  <c r="A324" i="11"/>
  <c r="E323" i="11"/>
  <c r="D323" i="11"/>
  <c r="C323" i="11"/>
  <c r="B323" i="11"/>
  <c r="A323" i="11"/>
  <c r="E322" i="11"/>
  <c r="D322" i="11"/>
  <c r="C322" i="11"/>
  <c r="A322" i="11"/>
  <c r="B322" i="11" s="1"/>
  <c r="E321" i="11"/>
  <c r="D321" i="11"/>
  <c r="C321" i="11"/>
  <c r="B321" i="11"/>
  <c r="A321" i="11"/>
  <c r="E320" i="11"/>
  <c r="D320" i="11"/>
  <c r="C320" i="11"/>
  <c r="A320" i="11"/>
  <c r="B320" i="11" s="1"/>
  <c r="E319" i="11"/>
  <c r="D319" i="11"/>
  <c r="C319" i="11"/>
  <c r="B319" i="11"/>
  <c r="A319" i="11"/>
  <c r="E318" i="11"/>
  <c r="D318" i="11"/>
  <c r="C318" i="11"/>
  <c r="A318" i="11"/>
  <c r="B318" i="11" s="1"/>
  <c r="E317" i="11"/>
  <c r="D317" i="11"/>
  <c r="C317" i="11"/>
  <c r="A317" i="11"/>
  <c r="B317" i="11" s="1"/>
  <c r="E316" i="11"/>
  <c r="D316" i="11"/>
  <c r="C316" i="11"/>
  <c r="B316" i="11"/>
  <c r="A316" i="11"/>
  <c r="E315" i="11"/>
  <c r="D315" i="11"/>
  <c r="C315" i="11"/>
  <c r="A315" i="11"/>
  <c r="B315" i="11" s="1"/>
  <c r="E314" i="11"/>
  <c r="D314" i="11"/>
  <c r="C314" i="11"/>
  <c r="A314" i="11"/>
  <c r="B314" i="11" s="1"/>
  <c r="E313" i="11"/>
  <c r="D313" i="11"/>
  <c r="C313" i="11"/>
  <c r="A313" i="11"/>
  <c r="B313" i="11" s="1"/>
  <c r="E312" i="11"/>
  <c r="D312" i="11"/>
  <c r="C312" i="11"/>
  <c r="B312" i="11"/>
  <c r="A312" i="11"/>
  <c r="E311" i="11"/>
  <c r="D311" i="11"/>
  <c r="C311" i="11"/>
  <c r="B311" i="11"/>
  <c r="A311" i="11"/>
  <c r="E310" i="11"/>
  <c r="D310" i="11"/>
  <c r="C310" i="11"/>
  <c r="A310" i="11"/>
  <c r="B310" i="11" s="1"/>
  <c r="E309" i="11"/>
  <c r="D309" i="11"/>
  <c r="C309" i="11"/>
  <c r="A309" i="11"/>
  <c r="B309" i="11" s="1"/>
  <c r="E308" i="11"/>
  <c r="D308" i="11"/>
  <c r="C308" i="11"/>
  <c r="B308" i="11"/>
  <c r="A308" i="11"/>
  <c r="E307" i="11"/>
  <c r="D307" i="11"/>
  <c r="C307" i="11"/>
  <c r="B307" i="11"/>
  <c r="A307" i="11"/>
  <c r="E306" i="11"/>
  <c r="D306" i="11"/>
  <c r="C306" i="11"/>
  <c r="A306" i="11"/>
  <c r="B306" i="11" s="1"/>
  <c r="E305" i="11"/>
  <c r="D305" i="11"/>
  <c r="C305" i="11"/>
  <c r="B305" i="11"/>
  <c r="A305" i="11"/>
  <c r="E304" i="11"/>
  <c r="D304" i="11"/>
  <c r="C304" i="11"/>
  <c r="A304" i="11"/>
  <c r="B304" i="11" s="1"/>
  <c r="E303" i="11"/>
  <c r="D303" i="11"/>
  <c r="C303" i="11"/>
  <c r="B303" i="11"/>
  <c r="A303" i="11"/>
  <c r="E302" i="11"/>
  <c r="D302" i="11"/>
  <c r="C302" i="11"/>
  <c r="A302" i="11"/>
  <c r="B302" i="11" s="1"/>
  <c r="E301" i="11"/>
  <c r="D301" i="11"/>
  <c r="C301" i="11"/>
  <c r="A301" i="11"/>
  <c r="B301" i="11" s="1"/>
  <c r="E300" i="11"/>
  <c r="D300" i="11"/>
  <c r="C300" i="11"/>
  <c r="B300" i="11"/>
  <c r="A300" i="11"/>
  <c r="E299" i="11"/>
  <c r="D299" i="11"/>
  <c r="C299" i="11"/>
  <c r="A299" i="11"/>
  <c r="B299" i="11" s="1"/>
  <c r="E298" i="11"/>
  <c r="D298" i="11"/>
  <c r="C298" i="11"/>
  <c r="A298" i="11"/>
  <c r="B298" i="11" s="1"/>
  <c r="E297" i="11"/>
  <c r="D297" i="11"/>
  <c r="C297" i="11"/>
  <c r="B297" i="11"/>
  <c r="A297" i="11"/>
  <c r="E296" i="11"/>
  <c r="D296" i="11"/>
  <c r="C296" i="11"/>
  <c r="B296" i="11"/>
  <c r="A296" i="11"/>
  <c r="E295" i="11"/>
  <c r="D295" i="11"/>
  <c r="C295" i="11"/>
  <c r="B295" i="11"/>
  <c r="A295" i="11"/>
  <c r="E294" i="11"/>
  <c r="D294" i="11"/>
  <c r="C294" i="11"/>
  <c r="A294" i="11"/>
  <c r="B294" i="11" s="1"/>
  <c r="E293" i="11"/>
  <c r="D293" i="11"/>
  <c r="C293" i="11"/>
  <c r="A293" i="11"/>
  <c r="B293" i="11" s="1"/>
  <c r="E292" i="11"/>
  <c r="D292" i="11"/>
  <c r="C292" i="11"/>
  <c r="A292" i="11"/>
  <c r="B292" i="11" s="1"/>
  <c r="E291" i="11"/>
  <c r="D291" i="11"/>
  <c r="C291" i="11"/>
  <c r="B291" i="11"/>
  <c r="A291" i="11"/>
  <c r="E290" i="11"/>
  <c r="D290" i="11"/>
  <c r="C290" i="11"/>
  <c r="A290" i="11"/>
  <c r="B290" i="11" s="1"/>
  <c r="E289" i="11"/>
  <c r="D289" i="11"/>
  <c r="C289" i="11"/>
  <c r="B289" i="11"/>
  <c r="A289" i="11"/>
  <c r="E288" i="11"/>
  <c r="D288" i="11"/>
  <c r="C288" i="11"/>
  <c r="A288" i="11"/>
  <c r="B288" i="11" s="1"/>
  <c r="E287" i="11"/>
  <c r="D287" i="11"/>
  <c r="C287" i="11"/>
  <c r="B287" i="11"/>
  <c r="A287" i="11"/>
  <c r="E286" i="11"/>
  <c r="D286" i="11"/>
  <c r="C286" i="11"/>
  <c r="A286" i="11"/>
  <c r="B286" i="11" s="1"/>
  <c r="E285" i="11"/>
  <c r="D285" i="11"/>
  <c r="C285" i="11"/>
  <c r="A285" i="11"/>
  <c r="B285" i="11" s="1"/>
  <c r="E284" i="11"/>
  <c r="D284" i="11"/>
  <c r="C284" i="11"/>
  <c r="B284" i="11"/>
  <c r="A284" i="11"/>
  <c r="E283" i="11"/>
  <c r="D283" i="11"/>
  <c r="C283" i="11"/>
  <c r="A283" i="11"/>
  <c r="B283" i="11" s="1"/>
  <c r="E282" i="11"/>
  <c r="D282" i="11"/>
  <c r="C282" i="11"/>
  <c r="A282" i="11"/>
  <c r="B282" i="11" s="1"/>
  <c r="E281" i="11"/>
  <c r="D281" i="11"/>
  <c r="C281" i="11"/>
  <c r="A281" i="11"/>
  <c r="B281" i="11" s="1"/>
  <c r="E280" i="11"/>
  <c r="D280" i="11"/>
  <c r="C280" i="11"/>
  <c r="B280" i="11"/>
  <c r="A280" i="11"/>
  <c r="E279" i="11"/>
  <c r="D279" i="11"/>
  <c r="C279" i="11"/>
  <c r="B279" i="11"/>
  <c r="A279" i="11"/>
  <c r="E278" i="11"/>
  <c r="D278" i="11"/>
  <c r="C278" i="11"/>
  <c r="A278" i="11"/>
  <c r="B278" i="11" s="1"/>
  <c r="E277" i="11"/>
  <c r="D277" i="11"/>
  <c r="C277" i="11"/>
  <c r="A277" i="11"/>
  <c r="B277" i="11" s="1"/>
  <c r="E276" i="11"/>
  <c r="D276" i="11"/>
  <c r="C276" i="11"/>
  <c r="B276" i="11"/>
  <c r="A276" i="11"/>
  <c r="E275" i="11"/>
  <c r="D275" i="11"/>
  <c r="C275" i="11"/>
  <c r="B275" i="11"/>
  <c r="A275" i="11"/>
  <c r="E274" i="11"/>
  <c r="D274" i="11"/>
  <c r="C274" i="11"/>
  <c r="A274" i="11"/>
  <c r="B274" i="11" s="1"/>
  <c r="E273" i="11"/>
  <c r="D273" i="11"/>
  <c r="C273" i="11"/>
  <c r="B273" i="11"/>
  <c r="A273" i="11"/>
  <c r="E272" i="11"/>
  <c r="D272" i="11"/>
  <c r="C272" i="11"/>
  <c r="A272" i="11"/>
  <c r="B272" i="11" s="1"/>
  <c r="E271" i="11"/>
  <c r="D271" i="11"/>
  <c r="C271" i="11"/>
  <c r="B271" i="11"/>
  <c r="A271" i="11"/>
  <c r="E270" i="11"/>
  <c r="D270" i="11"/>
  <c r="C270" i="11"/>
  <c r="A270" i="11"/>
  <c r="B270" i="11" s="1"/>
  <c r="E269" i="11"/>
  <c r="D269" i="11"/>
  <c r="C269" i="11"/>
  <c r="A269" i="11"/>
  <c r="B269" i="11" s="1"/>
  <c r="E268" i="11"/>
  <c r="D268" i="11"/>
  <c r="C268" i="11"/>
  <c r="B268" i="11"/>
  <c r="A268" i="11"/>
  <c r="E267" i="11"/>
  <c r="D267" i="11"/>
  <c r="C267" i="11"/>
  <c r="A267" i="11"/>
  <c r="B267" i="11" s="1"/>
  <c r="E266" i="11"/>
  <c r="D266" i="11"/>
  <c r="C266" i="11"/>
  <c r="A266" i="11"/>
  <c r="B266" i="11" s="1"/>
  <c r="E265" i="11"/>
  <c r="D265" i="11"/>
  <c r="C265" i="11"/>
  <c r="B265" i="11"/>
  <c r="A265" i="11"/>
  <c r="E264" i="11"/>
  <c r="D264" i="11"/>
  <c r="C264" i="11"/>
  <c r="A264" i="11"/>
  <c r="B264" i="11" s="1"/>
  <c r="E263" i="11"/>
  <c r="D263" i="11"/>
  <c r="C263" i="11"/>
  <c r="B263" i="11"/>
  <c r="A263" i="11"/>
  <c r="E262" i="11"/>
  <c r="D262" i="11"/>
  <c r="C262" i="11"/>
  <c r="A262" i="11"/>
  <c r="B262" i="11" s="1"/>
  <c r="E261" i="11"/>
  <c r="D261" i="11"/>
  <c r="C261" i="11"/>
  <c r="A261" i="11"/>
  <c r="B261" i="11" s="1"/>
  <c r="E260" i="11"/>
  <c r="D260" i="11"/>
  <c r="C260" i="11"/>
  <c r="A260" i="11"/>
  <c r="B260" i="11" s="1"/>
  <c r="E259" i="11"/>
  <c r="D259" i="11"/>
  <c r="C259" i="11"/>
  <c r="B259" i="11"/>
  <c r="A259" i="11"/>
  <c r="E258" i="11"/>
  <c r="D258" i="11"/>
  <c r="C258" i="11"/>
  <c r="A258" i="11"/>
  <c r="B258" i="11" s="1"/>
  <c r="E257" i="11"/>
  <c r="D257" i="11"/>
  <c r="C257" i="11"/>
  <c r="B257" i="11"/>
  <c r="A257" i="11"/>
  <c r="E256" i="11"/>
  <c r="D256" i="11"/>
  <c r="C256" i="11"/>
  <c r="A256" i="11"/>
  <c r="B256" i="11" s="1"/>
  <c r="E255" i="11"/>
  <c r="D255" i="11"/>
  <c r="C255" i="11"/>
  <c r="B255" i="11"/>
  <c r="A255" i="11"/>
  <c r="E254" i="11"/>
  <c r="D254" i="11"/>
  <c r="C254" i="11"/>
  <c r="B254" i="11"/>
  <c r="A254" i="11"/>
  <c r="E253" i="11"/>
  <c r="D253" i="11"/>
  <c r="C253" i="11"/>
  <c r="A253" i="11"/>
  <c r="B253" i="11" s="1"/>
  <c r="E252" i="11"/>
  <c r="D252" i="11"/>
  <c r="C252" i="11"/>
  <c r="B252" i="11"/>
  <c r="A252" i="11"/>
  <c r="E251" i="11"/>
  <c r="D251" i="11"/>
  <c r="C251" i="11"/>
  <c r="A251" i="11"/>
  <c r="B251" i="11" s="1"/>
  <c r="E250" i="11"/>
  <c r="D250" i="11"/>
  <c r="C250" i="11"/>
  <c r="A250" i="11"/>
  <c r="B250" i="11" s="1"/>
  <c r="E249" i="11"/>
  <c r="D249" i="11"/>
  <c r="C249" i="11"/>
  <c r="B249" i="11"/>
  <c r="A249" i="11"/>
  <c r="E248" i="11"/>
  <c r="D248" i="11"/>
  <c r="C248" i="11"/>
  <c r="B248" i="11"/>
  <c r="A248" i="11"/>
  <c r="E247" i="11"/>
  <c r="D247" i="11"/>
  <c r="C247" i="11"/>
  <c r="B247" i="11"/>
  <c r="A247" i="11"/>
  <c r="E246" i="11"/>
  <c r="D246" i="11"/>
  <c r="C246" i="11"/>
  <c r="A246" i="11"/>
  <c r="B246" i="11" s="1"/>
  <c r="E245" i="11"/>
  <c r="D245" i="11"/>
  <c r="C245" i="11"/>
  <c r="B245" i="11"/>
  <c r="A245" i="11"/>
  <c r="E244" i="11"/>
  <c r="D244" i="11"/>
  <c r="C244" i="11"/>
  <c r="B244" i="11"/>
  <c r="A244" i="11"/>
  <c r="E243" i="11"/>
  <c r="D243" i="11"/>
  <c r="C243" i="11"/>
  <c r="B243" i="11"/>
  <c r="A243" i="11"/>
  <c r="E242" i="11"/>
  <c r="D242" i="11"/>
  <c r="C242" i="11"/>
  <c r="A242" i="11"/>
  <c r="B242" i="11" s="1"/>
  <c r="E241" i="11"/>
  <c r="D241" i="11"/>
  <c r="C241" i="11"/>
  <c r="A241" i="11"/>
  <c r="B241" i="11" s="1"/>
  <c r="E240" i="11"/>
  <c r="D240" i="11"/>
  <c r="C240" i="11"/>
  <c r="B240" i="11"/>
  <c r="A240" i="11"/>
  <c r="E239" i="11"/>
  <c r="D239" i="11"/>
  <c r="C239" i="11"/>
  <c r="B239" i="11"/>
  <c r="A239" i="11"/>
  <c r="E238" i="11"/>
  <c r="D238" i="11"/>
  <c r="C238" i="11"/>
  <c r="B238" i="11"/>
  <c r="A238" i="11"/>
  <c r="E237" i="11"/>
  <c r="D237" i="11"/>
  <c r="C237" i="11"/>
  <c r="A237" i="11"/>
  <c r="B237" i="11" s="1"/>
  <c r="E236" i="11"/>
  <c r="D236" i="11"/>
  <c r="C236" i="11"/>
  <c r="B236" i="11"/>
  <c r="A236" i="11"/>
  <c r="E235" i="11"/>
  <c r="D235" i="11"/>
  <c r="C235" i="11"/>
  <c r="B235" i="11"/>
  <c r="A235" i="11"/>
  <c r="E234" i="11"/>
  <c r="D234" i="11"/>
  <c r="C234" i="11"/>
  <c r="A234" i="11"/>
  <c r="B234" i="11" s="1"/>
  <c r="E233" i="11"/>
  <c r="D233" i="11"/>
  <c r="C233" i="11"/>
  <c r="B233" i="11"/>
  <c r="A233" i="11"/>
  <c r="E232" i="11"/>
  <c r="D232" i="11"/>
  <c r="C232" i="11"/>
  <c r="A232" i="11"/>
  <c r="B232" i="11" s="1"/>
  <c r="E231" i="11"/>
  <c r="D231" i="11"/>
  <c r="C231" i="11"/>
  <c r="B231" i="11"/>
  <c r="A231" i="11"/>
  <c r="E230" i="11"/>
  <c r="D230" i="11"/>
  <c r="C230" i="11"/>
  <c r="B230" i="11"/>
  <c r="A230" i="11"/>
  <c r="E229" i="11"/>
  <c r="D229" i="11"/>
  <c r="C229" i="11"/>
  <c r="B229" i="11"/>
  <c r="A229" i="11"/>
  <c r="E228" i="11"/>
  <c r="D228" i="11"/>
  <c r="C228" i="11"/>
  <c r="A228" i="11"/>
  <c r="B228" i="11" s="1"/>
  <c r="E227" i="11"/>
  <c r="D227" i="11"/>
  <c r="C227" i="11"/>
  <c r="A227" i="11"/>
  <c r="B227" i="11" s="1"/>
  <c r="E226" i="11"/>
  <c r="D226" i="11"/>
  <c r="C226" i="11"/>
  <c r="A226" i="11"/>
  <c r="B226" i="11" s="1"/>
  <c r="E225" i="11"/>
  <c r="D225" i="11"/>
  <c r="C225" i="11"/>
  <c r="A225" i="11"/>
  <c r="B225" i="11" s="1"/>
  <c r="E224" i="11"/>
  <c r="D224" i="11"/>
  <c r="C224" i="11"/>
  <c r="B224" i="11"/>
  <c r="A224" i="11"/>
  <c r="E223" i="11"/>
  <c r="D223" i="11"/>
  <c r="C223" i="11"/>
  <c r="B223" i="11"/>
  <c r="A223" i="11"/>
  <c r="E222" i="11"/>
  <c r="D222" i="11"/>
  <c r="C222" i="11"/>
  <c r="A222" i="11"/>
  <c r="B222" i="11" s="1"/>
  <c r="E221" i="11"/>
  <c r="D221" i="11"/>
  <c r="C221" i="11"/>
  <c r="A221" i="11"/>
  <c r="B221" i="11" s="1"/>
  <c r="E220" i="11"/>
  <c r="D220" i="11"/>
  <c r="C220" i="11"/>
  <c r="B220" i="11"/>
  <c r="A220" i="11"/>
  <c r="E219" i="11"/>
  <c r="D219" i="11"/>
  <c r="C219" i="11"/>
  <c r="A219" i="11"/>
  <c r="B219" i="11" s="1"/>
  <c r="E218" i="11"/>
  <c r="D218" i="11"/>
  <c r="C218" i="11"/>
  <c r="A218" i="11"/>
  <c r="B218" i="11" s="1"/>
  <c r="E217" i="11"/>
  <c r="D217" i="11"/>
  <c r="C217" i="11"/>
  <c r="A217" i="11"/>
  <c r="B217" i="11" s="1"/>
  <c r="E216" i="11"/>
  <c r="D216" i="11"/>
  <c r="C216" i="11"/>
  <c r="B216" i="11"/>
  <c r="A216" i="11"/>
  <c r="E215" i="11"/>
  <c r="D215" i="11"/>
  <c r="C215" i="11"/>
  <c r="B215" i="11"/>
  <c r="A215" i="11"/>
  <c r="E214" i="11"/>
  <c r="D214" i="11"/>
  <c r="C214" i="11"/>
  <c r="A214" i="11"/>
  <c r="B214" i="11" s="1"/>
  <c r="E213" i="11"/>
  <c r="D213" i="11"/>
  <c r="C213" i="11"/>
  <c r="A213" i="11"/>
  <c r="B213" i="11" s="1"/>
  <c r="E212" i="11"/>
  <c r="D212" i="11"/>
  <c r="C212" i="11"/>
  <c r="A212" i="11"/>
  <c r="B212" i="11" s="1"/>
  <c r="E211" i="11"/>
  <c r="D211" i="11"/>
  <c r="C211" i="11"/>
  <c r="B211" i="11"/>
  <c r="A211" i="11"/>
  <c r="E210" i="11"/>
  <c r="D210" i="11"/>
  <c r="C210" i="11"/>
  <c r="A210" i="11"/>
  <c r="B210" i="11" s="1"/>
  <c r="E209" i="11"/>
  <c r="D209" i="11"/>
  <c r="C209" i="11"/>
  <c r="A209" i="11"/>
  <c r="B209" i="11" s="1"/>
  <c r="E208" i="11"/>
  <c r="D208" i="11"/>
  <c r="C208" i="11"/>
  <c r="B208" i="11"/>
  <c r="A208" i="11"/>
  <c r="E207" i="11"/>
  <c r="D207" i="11"/>
  <c r="C207" i="11"/>
  <c r="B207" i="11"/>
  <c r="A207" i="11"/>
  <c r="E206" i="11"/>
  <c r="D206" i="11"/>
  <c r="C206" i="11"/>
  <c r="B206" i="11"/>
  <c r="A206" i="11"/>
  <c r="E205" i="11"/>
  <c r="D205" i="11"/>
  <c r="C205" i="11"/>
  <c r="A205" i="11"/>
  <c r="B205" i="11" s="1"/>
  <c r="E204" i="11"/>
  <c r="D204" i="11"/>
  <c r="C204" i="11"/>
  <c r="B204" i="11"/>
  <c r="A204" i="11"/>
  <c r="E203" i="11"/>
  <c r="D203" i="11"/>
  <c r="C203" i="11"/>
  <c r="B203" i="11"/>
  <c r="A203" i="11"/>
  <c r="E202" i="11"/>
  <c r="D202" i="11"/>
  <c r="C202" i="11"/>
  <c r="A202" i="11"/>
  <c r="B202" i="11" s="1"/>
  <c r="E201" i="11"/>
  <c r="D201" i="11"/>
  <c r="C201" i="11"/>
  <c r="B201" i="11"/>
  <c r="A201" i="11"/>
  <c r="E200" i="11"/>
  <c r="D200" i="11"/>
  <c r="C200" i="11"/>
  <c r="A200" i="11"/>
  <c r="B200" i="11" s="1"/>
  <c r="E199" i="11"/>
  <c r="D199" i="11"/>
  <c r="C199" i="11"/>
  <c r="B199" i="11"/>
  <c r="A199" i="11"/>
  <c r="E198" i="11"/>
  <c r="D198" i="11"/>
  <c r="C198" i="11"/>
  <c r="B198" i="11"/>
  <c r="A198" i="11"/>
  <c r="E197" i="11"/>
  <c r="D197" i="11"/>
  <c r="C197" i="11"/>
  <c r="A197" i="11"/>
  <c r="B197" i="11" s="1"/>
  <c r="E196" i="11"/>
  <c r="D196" i="11"/>
  <c r="C196" i="11"/>
  <c r="A196" i="11"/>
  <c r="B196" i="11" s="1"/>
  <c r="E195" i="11"/>
  <c r="D195" i="11"/>
  <c r="C195" i="11"/>
  <c r="B195" i="11"/>
  <c r="A195" i="11"/>
  <c r="E194" i="11"/>
  <c r="D194" i="11"/>
  <c r="C194" i="11"/>
  <c r="A194" i="11"/>
  <c r="B194" i="11" s="1"/>
  <c r="E193" i="11"/>
  <c r="D193" i="11"/>
  <c r="C193" i="11"/>
  <c r="A193" i="11"/>
  <c r="B193" i="11" s="1"/>
  <c r="E192" i="11"/>
  <c r="D192" i="11"/>
  <c r="C192" i="11"/>
  <c r="B192" i="11"/>
  <c r="A192" i="11"/>
  <c r="E191" i="11"/>
  <c r="D191" i="11"/>
  <c r="C191" i="11"/>
  <c r="B191" i="11"/>
  <c r="A191" i="11"/>
  <c r="E190" i="11"/>
  <c r="D190" i="11"/>
  <c r="C190" i="11"/>
  <c r="B190" i="11"/>
  <c r="A190" i="11"/>
  <c r="E189" i="11"/>
  <c r="D189" i="11"/>
  <c r="C189" i="11"/>
  <c r="B189" i="11"/>
  <c r="A189" i="11"/>
  <c r="E188" i="11"/>
  <c r="D188" i="11"/>
  <c r="C188" i="11"/>
  <c r="B188" i="11"/>
  <c r="A188" i="11"/>
  <c r="E187" i="11"/>
  <c r="D187" i="11"/>
  <c r="C187" i="11"/>
  <c r="A187" i="11"/>
  <c r="B187" i="11" s="1"/>
  <c r="E186" i="11"/>
  <c r="D186" i="11"/>
  <c r="C186" i="11"/>
  <c r="A186" i="11"/>
  <c r="B186" i="11" s="1"/>
  <c r="E185" i="11"/>
  <c r="D185" i="11"/>
  <c r="C185" i="11"/>
  <c r="B185" i="11"/>
  <c r="A185" i="11"/>
  <c r="E184" i="11"/>
  <c r="D184" i="11"/>
  <c r="C184" i="11"/>
  <c r="B184" i="11"/>
  <c r="A184" i="11"/>
  <c r="E183" i="11"/>
  <c r="D183" i="11"/>
  <c r="C183" i="11"/>
  <c r="B183" i="11"/>
  <c r="A183" i="11"/>
  <c r="E182" i="11"/>
  <c r="D182" i="11"/>
  <c r="C182" i="11"/>
  <c r="A182" i="11"/>
  <c r="B182" i="11" s="1"/>
  <c r="E181" i="11"/>
  <c r="D181" i="11"/>
  <c r="C181" i="11"/>
  <c r="B181" i="11"/>
  <c r="A181" i="11"/>
  <c r="E180" i="11"/>
  <c r="D180" i="11"/>
  <c r="C180" i="11"/>
  <c r="A180" i="11"/>
  <c r="B180" i="11" s="1"/>
  <c r="E179" i="11"/>
  <c r="D179" i="11"/>
  <c r="C179" i="11"/>
  <c r="B179" i="11"/>
  <c r="A179" i="11"/>
  <c r="E178" i="11"/>
  <c r="D178" i="11"/>
  <c r="C178" i="11"/>
  <c r="A178" i="11"/>
  <c r="B178" i="11" s="1"/>
  <c r="E177" i="11"/>
  <c r="D177" i="11"/>
  <c r="C177" i="11"/>
  <c r="A177" i="11"/>
  <c r="B177" i="11" s="1"/>
  <c r="E176" i="11"/>
  <c r="D176" i="11"/>
  <c r="C176" i="11"/>
  <c r="A176" i="11"/>
  <c r="B176" i="11" s="1"/>
  <c r="E175" i="11"/>
  <c r="D175" i="11"/>
  <c r="C175" i="11"/>
  <c r="B175" i="11"/>
  <c r="A175" i="11"/>
  <c r="E174" i="11"/>
  <c r="D174" i="11"/>
  <c r="C174" i="11"/>
  <c r="B174" i="11"/>
  <c r="A174" i="11"/>
  <c r="E173" i="11"/>
  <c r="D173" i="11"/>
  <c r="C173" i="11"/>
  <c r="A173" i="11"/>
  <c r="B173" i="11" s="1"/>
  <c r="E172" i="11"/>
  <c r="D172" i="11"/>
  <c r="C172" i="11"/>
  <c r="A172" i="11"/>
  <c r="B172" i="11" s="1"/>
  <c r="E171" i="11"/>
  <c r="D171" i="11"/>
  <c r="C171" i="11"/>
  <c r="A171" i="11"/>
  <c r="B171" i="11" s="1"/>
  <c r="E170" i="11"/>
  <c r="D170" i="11"/>
  <c r="C170" i="11"/>
  <c r="A170" i="11"/>
  <c r="B170" i="11" s="1"/>
  <c r="E169" i="11"/>
  <c r="D169" i="11"/>
  <c r="C169" i="11"/>
  <c r="B169" i="11"/>
  <c r="A169" i="11"/>
  <c r="E168" i="11"/>
  <c r="D168" i="11"/>
  <c r="C168" i="11"/>
  <c r="A168" i="11"/>
  <c r="B168" i="11" s="1"/>
  <c r="E167" i="11"/>
  <c r="D167" i="11"/>
  <c r="C167" i="11"/>
  <c r="B167" i="11"/>
  <c r="A167" i="11"/>
  <c r="E166" i="11"/>
  <c r="D166" i="11"/>
  <c r="C166" i="11"/>
  <c r="A166" i="11"/>
  <c r="B166" i="11" s="1"/>
  <c r="E165" i="11"/>
  <c r="D165" i="11"/>
  <c r="C165" i="11"/>
  <c r="B165" i="11"/>
  <c r="A165" i="11"/>
  <c r="E164" i="11"/>
  <c r="D164" i="11"/>
  <c r="C164" i="11"/>
  <c r="B164" i="11"/>
  <c r="A164" i="11"/>
  <c r="E163" i="11"/>
  <c r="D163" i="11"/>
  <c r="C163" i="11"/>
  <c r="B163" i="11"/>
  <c r="A163" i="11"/>
  <c r="E162" i="11"/>
  <c r="D162" i="11"/>
  <c r="C162" i="11"/>
  <c r="A162" i="11"/>
  <c r="B162" i="11" s="1"/>
  <c r="E161" i="11"/>
  <c r="D161" i="11"/>
  <c r="C161" i="11"/>
  <c r="A161" i="11"/>
  <c r="B161" i="11" s="1"/>
  <c r="E160" i="11"/>
  <c r="D160" i="11"/>
  <c r="C160" i="11"/>
  <c r="B160" i="11"/>
  <c r="A160" i="11"/>
  <c r="E159" i="11"/>
  <c r="D159" i="11"/>
  <c r="C159" i="11"/>
  <c r="B159" i="11"/>
  <c r="A159" i="11"/>
  <c r="E158" i="11"/>
  <c r="D158" i="11"/>
  <c r="C158" i="11"/>
  <c r="B158" i="11"/>
  <c r="A158" i="11"/>
  <c r="E157" i="11"/>
  <c r="D157" i="11"/>
  <c r="C157" i="11"/>
  <c r="A157" i="11"/>
  <c r="B157" i="11" s="1"/>
  <c r="E156" i="11"/>
  <c r="D156" i="11"/>
  <c r="C156" i="11"/>
  <c r="A156" i="11"/>
  <c r="B156" i="11" s="1"/>
  <c r="E155" i="11"/>
  <c r="D155" i="11"/>
  <c r="C155" i="11"/>
  <c r="A155" i="11"/>
  <c r="B155" i="11" s="1"/>
  <c r="E154" i="11"/>
  <c r="D154" i="11"/>
  <c r="C154" i="11"/>
  <c r="A154" i="11"/>
  <c r="B154" i="11" s="1"/>
  <c r="E153" i="11"/>
  <c r="D153" i="11"/>
  <c r="C153" i="11"/>
  <c r="A153" i="11"/>
  <c r="B153" i="11" s="1"/>
  <c r="E152" i="11"/>
  <c r="D152" i="11"/>
  <c r="C152" i="11"/>
  <c r="B152" i="11"/>
  <c r="A152" i="11"/>
  <c r="E151" i="11"/>
  <c r="D151" i="11"/>
  <c r="C151" i="11"/>
  <c r="B151" i="11"/>
  <c r="A151" i="11"/>
  <c r="E150" i="11"/>
  <c r="D150" i="11"/>
  <c r="C150" i="11"/>
  <c r="A150" i="11"/>
  <c r="B150" i="11" s="1"/>
  <c r="E149" i="11"/>
  <c r="D149" i="11"/>
  <c r="C149" i="11"/>
  <c r="B149" i="11"/>
  <c r="A149" i="11"/>
  <c r="E148" i="11"/>
  <c r="D148" i="11"/>
  <c r="C148" i="11"/>
  <c r="A148" i="11"/>
  <c r="B148" i="11" s="1"/>
  <c r="E147" i="11"/>
  <c r="D147" i="11"/>
  <c r="C147" i="11"/>
  <c r="B147" i="11"/>
  <c r="A147" i="11"/>
  <c r="E146" i="11"/>
  <c r="D146" i="11"/>
  <c r="C146" i="11"/>
  <c r="A146" i="11"/>
  <c r="B146" i="11" s="1"/>
  <c r="E145" i="11"/>
  <c r="D145" i="11"/>
  <c r="C145" i="11"/>
  <c r="A145" i="11"/>
  <c r="B145" i="11" s="1"/>
  <c r="E144" i="11"/>
  <c r="D144" i="11"/>
  <c r="C144" i="11"/>
  <c r="A144" i="11"/>
  <c r="B144" i="11" s="1"/>
  <c r="E143" i="11"/>
  <c r="D143" i="11"/>
  <c r="C143" i="11"/>
  <c r="B143" i="11"/>
  <c r="A143" i="11"/>
  <c r="E142" i="11"/>
  <c r="D142" i="11"/>
  <c r="C142" i="11"/>
  <c r="B142" i="11"/>
  <c r="A142" i="11"/>
  <c r="E141" i="11"/>
  <c r="D141" i="11"/>
  <c r="C141" i="11"/>
  <c r="B141" i="11"/>
  <c r="A141" i="11"/>
  <c r="E140" i="11"/>
  <c r="D140" i="11"/>
  <c r="C140" i="11"/>
  <c r="A140" i="11"/>
  <c r="B140" i="11" s="1"/>
  <c r="E139" i="11"/>
  <c r="D139" i="11"/>
  <c r="C139" i="11"/>
  <c r="A139" i="11"/>
  <c r="B139" i="11" s="1"/>
  <c r="E138" i="11"/>
  <c r="D138" i="11"/>
  <c r="C138" i="11"/>
  <c r="A138" i="11"/>
  <c r="B138" i="11" s="1"/>
  <c r="E137" i="11"/>
  <c r="D137" i="11"/>
  <c r="C137" i="11"/>
  <c r="B137" i="11"/>
  <c r="A137" i="11"/>
  <c r="E136" i="11"/>
  <c r="D136" i="11"/>
  <c r="C136" i="11"/>
  <c r="B136" i="11"/>
  <c r="A136" i="11"/>
  <c r="E135" i="11"/>
  <c r="D135" i="11"/>
  <c r="C135" i="11"/>
  <c r="B135" i="11"/>
  <c r="A135" i="11"/>
  <c r="E134" i="11"/>
  <c r="D134" i="11"/>
  <c r="C134" i="11"/>
  <c r="A134" i="11"/>
  <c r="B134" i="11" s="1"/>
  <c r="E133" i="11"/>
  <c r="D133" i="11"/>
  <c r="C133" i="11"/>
  <c r="A133" i="11"/>
  <c r="B133" i="11" s="1"/>
  <c r="E132" i="11"/>
  <c r="D132" i="11"/>
  <c r="C132" i="11"/>
  <c r="A132" i="11"/>
  <c r="B132" i="11" s="1"/>
  <c r="E131" i="11"/>
  <c r="D131" i="11"/>
  <c r="C131" i="11"/>
  <c r="A131" i="11"/>
  <c r="B131" i="11" s="1"/>
  <c r="E130" i="11"/>
  <c r="D130" i="11"/>
  <c r="C130" i="11"/>
  <c r="A130" i="11"/>
  <c r="B130" i="11" s="1"/>
  <c r="E129" i="11"/>
  <c r="D129" i="11"/>
  <c r="C129" i="11"/>
  <c r="B129" i="11"/>
  <c r="A129" i="11"/>
  <c r="E128" i="11"/>
  <c r="D128" i="11"/>
  <c r="C128" i="11"/>
  <c r="B128" i="11"/>
  <c r="A128" i="11"/>
  <c r="E127" i="11"/>
  <c r="D127" i="11"/>
  <c r="C127" i="11"/>
  <c r="B127" i="11"/>
  <c r="A127" i="11"/>
  <c r="E126" i="11"/>
  <c r="D126" i="11"/>
  <c r="C126" i="11"/>
  <c r="A126" i="11"/>
  <c r="B126" i="11" s="1"/>
  <c r="E125" i="11"/>
  <c r="D125" i="11"/>
  <c r="C125" i="11"/>
  <c r="A125" i="11"/>
  <c r="B125" i="11" s="1"/>
  <c r="E124" i="11"/>
  <c r="D124" i="11"/>
  <c r="C124" i="11"/>
  <c r="B124" i="11"/>
  <c r="A124" i="11"/>
  <c r="E123" i="11"/>
  <c r="D123" i="11"/>
  <c r="C123" i="11"/>
  <c r="A123" i="11"/>
  <c r="B123" i="11" s="1"/>
  <c r="E122" i="11"/>
  <c r="D122" i="11"/>
  <c r="C122" i="11"/>
  <c r="A122" i="11"/>
  <c r="B122" i="11" s="1"/>
  <c r="E121" i="11"/>
  <c r="D121" i="11"/>
  <c r="C121" i="11"/>
  <c r="A121" i="11"/>
  <c r="B121" i="11" s="1"/>
  <c r="E120" i="11"/>
  <c r="D120" i="11"/>
  <c r="C120" i="11"/>
  <c r="A120" i="11"/>
  <c r="B120" i="11" s="1"/>
  <c r="E119" i="11"/>
  <c r="D119" i="11"/>
  <c r="C119" i="11"/>
  <c r="B119" i="11"/>
  <c r="A119" i="11"/>
  <c r="E118" i="11"/>
  <c r="D118" i="11"/>
  <c r="C118" i="11"/>
  <c r="A118" i="11"/>
  <c r="B118" i="11" s="1"/>
  <c r="E117" i="11"/>
  <c r="D117" i="11"/>
  <c r="C117" i="11"/>
  <c r="B117" i="11"/>
  <c r="A117" i="11"/>
  <c r="E116" i="11"/>
  <c r="D116" i="11"/>
  <c r="C116" i="11"/>
  <c r="B116" i="11"/>
  <c r="A116" i="11"/>
  <c r="E115" i="11"/>
  <c r="D115" i="11"/>
  <c r="C115" i="11"/>
  <c r="B115" i="11"/>
  <c r="A115" i="11"/>
  <c r="E114" i="11"/>
  <c r="D114" i="11"/>
  <c r="C114" i="11"/>
  <c r="A114" i="11"/>
  <c r="B114" i="11" s="1"/>
  <c r="E113" i="11"/>
  <c r="D113" i="11"/>
  <c r="C113" i="11"/>
  <c r="A113" i="11"/>
  <c r="B113" i="11" s="1"/>
  <c r="E112" i="11"/>
  <c r="D112" i="11"/>
  <c r="C112" i="11"/>
  <c r="B112" i="11"/>
  <c r="A112" i="11"/>
  <c r="E111" i="11"/>
  <c r="D111" i="11"/>
  <c r="C111" i="11"/>
  <c r="B111" i="11"/>
  <c r="A111" i="11"/>
  <c r="E110" i="11"/>
  <c r="D110" i="11"/>
  <c r="C110" i="11"/>
  <c r="B110" i="11"/>
  <c r="A110" i="11"/>
  <c r="E109" i="11"/>
  <c r="D109" i="11"/>
  <c r="C109" i="11"/>
  <c r="A109" i="11"/>
  <c r="B109" i="11" s="1"/>
  <c r="E108" i="11"/>
  <c r="D108" i="11"/>
  <c r="C108" i="11"/>
  <c r="A108" i="11"/>
  <c r="B108" i="11" s="1"/>
  <c r="E107" i="11"/>
  <c r="D107" i="11"/>
  <c r="C107" i="11"/>
  <c r="B107" i="11"/>
  <c r="A107" i="11"/>
  <c r="E106" i="11"/>
  <c r="D106" i="11"/>
  <c r="C106" i="11"/>
  <c r="A106" i="11"/>
  <c r="B106" i="11" s="1"/>
  <c r="E105" i="11"/>
  <c r="D105" i="11"/>
  <c r="C105" i="11"/>
  <c r="A105" i="11"/>
  <c r="B105" i="11" s="1"/>
  <c r="E104" i="11"/>
  <c r="D104" i="11"/>
  <c r="C104" i="11"/>
  <c r="A104" i="11"/>
  <c r="B104" i="11" s="1"/>
  <c r="E103" i="11"/>
  <c r="D103" i="11"/>
  <c r="C103" i="11"/>
  <c r="B103" i="11"/>
  <c r="A103" i="11"/>
  <c r="E102" i="11"/>
  <c r="D102" i="11"/>
  <c r="C102" i="11"/>
  <c r="B102" i="11"/>
  <c r="A102" i="11"/>
  <c r="E101" i="11"/>
  <c r="D101" i="11"/>
  <c r="C101" i="11"/>
  <c r="B101" i="11"/>
  <c r="A101" i="11"/>
  <c r="E100" i="11"/>
  <c r="D100" i="11"/>
  <c r="C100" i="11"/>
  <c r="A100" i="11"/>
  <c r="B100" i="11" s="1"/>
  <c r="E99" i="11"/>
  <c r="D99" i="11"/>
  <c r="C99" i="11"/>
  <c r="B99" i="11"/>
  <c r="A99" i="11"/>
  <c r="E98" i="11"/>
  <c r="D98" i="11"/>
  <c r="C98" i="11"/>
  <c r="A98" i="11"/>
  <c r="B98" i="11" s="1"/>
  <c r="E97" i="11"/>
  <c r="D97" i="11"/>
  <c r="C97" i="11"/>
  <c r="B97" i="11"/>
  <c r="A97" i="11"/>
  <c r="E96" i="11"/>
  <c r="D96" i="11"/>
  <c r="C96" i="11"/>
  <c r="B96" i="11"/>
  <c r="A96" i="11"/>
  <c r="E95" i="11"/>
  <c r="D95" i="11"/>
  <c r="C95" i="11"/>
  <c r="B95" i="11"/>
  <c r="A95" i="11"/>
  <c r="E94" i="11"/>
  <c r="D94" i="11"/>
  <c r="C94" i="11"/>
  <c r="B94" i="11"/>
  <c r="A94" i="11"/>
  <c r="E93" i="11"/>
  <c r="D93" i="11"/>
  <c r="C93" i="11"/>
  <c r="A93" i="11"/>
  <c r="B93" i="11" s="1"/>
  <c r="E92" i="11"/>
  <c r="D92" i="11"/>
  <c r="C92" i="11"/>
  <c r="B92" i="11"/>
  <c r="A92" i="11"/>
  <c r="E91" i="11"/>
  <c r="D91" i="11"/>
  <c r="C91" i="11"/>
  <c r="A91" i="11"/>
  <c r="B91" i="11" s="1"/>
  <c r="E90" i="11"/>
  <c r="D90" i="11"/>
  <c r="C90" i="11"/>
  <c r="A90" i="11"/>
  <c r="B90" i="11" s="1"/>
  <c r="E89" i="11"/>
  <c r="D89" i="11"/>
  <c r="C89" i="11"/>
  <c r="A89" i="11"/>
  <c r="B89" i="11" s="1"/>
  <c r="E88" i="11"/>
  <c r="D88" i="11"/>
  <c r="C88" i="11"/>
  <c r="B88" i="11"/>
  <c r="A88" i="11"/>
  <c r="E87" i="11"/>
  <c r="D87" i="11"/>
  <c r="C87" i="11"/>
  <c r="B87" i="11"/>
  <c r="A87" i="11"/>
  <c r="E86" i="11"/>
  <c r="D86" i="11"/>
  <c r="C86" i="11"/>
  <c r="A86" i="11"/>
  <c r="B86" i="11" s="1"/>
  <c r="E85" i="11"/>
  <c r="D85" i="11"/>
  <c r="C85" i="11"/>
  <c r="B85" i="11"/>
  <c r="A85" i="11"/>
  <c r="E84" i="11"/>
  <c r="D84" i="11"/>
  <c r="C84" i="11"/>
  <c r="A84" i="11"/>
  <c r="B84" i="11" s="1"/>
  <c r="E83" i="11"/>
  <c r="D83" i="11"/>
  <c r="C83" i="11"/>
  <c r="B83" i="11"/>
  <c r="A83" i="11"/>
  <c r="E82" i="11"/>
  <c r="D82" i="11"/>
  <c r="C82" i="11"/>
  <c r="A82" i="11"/>
  <c r="B82" i="11" s="1"/>
  <c r="E81" i="11"/>
  <c r="D81" i="11"/>
  <c r="C81" i="11"/>
  <c r="A81" i="11"/>
  <c r="B81" i="11" s="1"/>
  <c r="E80" i="11"/>
  <c r="D80" i="11"/>
  <c r="C80" i="11"/>
  <c r="B80" i="11"/>
  <c r="A80" i="11"/>
  <c r="E79" i="11"/>
  <c r="D79" i="11"/>
  <c r="C79" i="11"/>
  <c r="A79" i="11"/>
  <c r="B79" i="11" s="1"/>
  <c r="E78" i="11"/>
  <c r="D78" i="11"/>
  <c r="C78" i="11"/>
  <c r="B78" i="11"/>
  <c r="A78" i="11"/>
  <c r="E77" i="11"/>
  <c r="D77" i="11"/>
  <c r="C77" i="11"/>
  <c r="B77" i="11"/>
  <c r="A77" i="11"/>
  <c r="E76" i="11"/>
  <c r="D76" i="11"/>
  <c r="C76" i="11"/>
  <c r="A76" i="11"/>
  <c r="B76" i="11" s="1"/>
  <c r="E75" i="11"/>
  <c r="D75" i="11"/>
  <c r="C75" i="11"/>
  <c r="A75" i="11"/>
  <c r="B75" i="11" s="1"/>
  <c r="E74" i="11"/>
  <c r="D74" i="11"/>
  <c r="C74" i="11"/>
  <c r="A74" i="11"/>
  <c r="B74" i="11" s="1"/>
  <c r="E73" i="11"/>
  <c r="D73" i="11"/>
  <c r="C73" i="11"/>
  <c r="A73" i="11"/>
  <c r="B73" i="11" s="1"/>
  <c r="E72" i="11"/>
  <c r="D72" i="11"/>
  <c r="C72" i="11"/>
  <c r="B72" i="11"/>
  <c r="A72" i="11"/>
  <c r="E71" i="11"/>
  <c r="D71" i="11"/>
  <c r="C71" i="11"/>
  <c r="B71" i="11"/>
  <c r="A71" i="11"/>
  <c r="E70" i="11"/>
  <c r="D70" i="11"/>
  <c r="C70" i="11"/>
  <c r="B70" i="11"/>
  <c r="A70" i="11"/>
  <c r="E69" i="11"/>
  <c r="D69" i="11"/>
  <c r="C69" i="11"/>
  <c r="B69" i="11"/>
  <c r="A69" i="11"/>
  <c r="E68" i="11"/>
  <c r="D68" i="11"/>
  <c r="C68" i="11"/>
  <c r="B68" i="11"/>
  <c r="A68" i="11"/>
  <c r="E67" i="11"/>
  <c r="D67" i="11"/>
  <c r="C67" i="11"/>
  <c r="A67" i="11"/>
  <c r="B67" i="11" s="1"/>
  <c r="E66" i="11"/>
  <c r="D66" i="11"/>
  <c r="C66" i="11"/>
  <c r="B66" i="11"/>
  <c r="A66" i="11"/>
  <c r="E65" i="11"/>
  <c r="D65" i="11"/>
  <c r="C65" i="11"/>
  <c r="A65" i="11"/>
  <c r="B65" i="11" s="1"/>
  <c r="E64" i="11"/>
  <c r="D64" i="11"/>
  <c r="C64" i="11"/>
  <c r="B64" i="11"/>
  <c r="A64" i="11"/>
  <c r="E63" i="11"/>
  <c r="D63" i="11"/>
  <c r="C63" i="11"/>
  <c r="A63" i="11"/>
  <c r="B63" i="11" s="1"/>
  <c r="E62" i="11"/>
  <c r="D62" i="11"/>
  <c r="C62" i="11"/>
  <c r="B62" i="11"/>
  <c r="A62" i="11"/>
  <c r="E61" i="11"/>
  <c r="D61" i="11"/>
  <c r="C61" i="11"/>
  <c r="B61" i="11"/>
  <c r="A61" i="11"/>
  <c r="E60" i="11"/>
  <c r="D60" i="11"/>
  <c r="C60" i="11"/>
  <c r="B60" i="11"/>
  <c r="A60" i="11"/>
  <c r="E59" i="11"/>
  <c r="D59" i="11"/>
  <c r="C59" i="11"/>
  <c r="A59" i="11"/>
  <c r="B59" i="11" s="1"/>
  <c r="E58" i="11"/>
  <c r="D58" i="11"/>
  <c r="C58" i="11"/>
  <c r="A58" i="11"/>
  <c r="B58" i="11" s="1"/>
  <c r="E57" i="11"/>
  <c r="D57" i="11"/>
  <c r="C57" i="11"/>
  <c r="A57" i="11"/>
  <c r="B57" i="11" s="1"/>
  <c r="E56" i="11"/>
  <c r="D56" i="11"/>
  <c r="C56" i="11"/>
  <c r="B56" i="11"/>
  <c r="A56" i="11"/>
  <c r="E55" i="11"/>
  <c r="D55" i="11"/>
  <c r="C55" i="11"/>
  <c r="B55" i="11"/>
  <c r="A55" i="11"/>
  <c r="E54" i="11"/>
  <c r="D54" i="11"/>
  <c r="C54" i="11"/>
  <c r="B54" i="11"/>
  <c r="A54" i="11"/>
  <c r="E53" i="11"/>
  <c r="D53" i="11"/>
  <c r="C53" i="11"/>
  <c r="B53" i="11"/>
  <c r="A53" i="11"/>
  <c r="E52" i="11"/>
  <c r="D52" i="11"/>
  <c r="C52" i="11"/>
  <c r="B52" i="11"/>
  <c r="A52" i="11"/>
  <c r="E51" i="11"/>
  <c r="D51" i="11"/>
  <c r="C51" i="11"/>
  <c r="A51" i="11"/>
  <c r="B51" i="11" s="1"/>
  <c r="E50" i="11"/>
  <c r="D50" i="11"/>
  <c r="C50" i="11"/>
  <c r="B50" i="11"/>
  <c r="A50" i="11"/>
  <c r="E49" i="11"/>
  <c r="D49" i="11"/>
  <c r="C49" i="11"/>
  <c r="A49" i="11"/>
  <c r="B49" i="11" s="1"/>
  <c r="E48" i="11"/>
  <c r="D48" i="11"/>
  <c r="C48" i="11"/>
  <c r="B48" i="11"/>
  <c r="A48" i="11"/>
  <c r="E47" i="11"/>
  <c r="D47" i="11"/>
  <c r="C47" i="11"/>
  <c r="A47" i="11"/>
  <c r="B47" i="11" s="1"/>
  <c r="E46" i="11"/>
  <c r="D46" i="11"/>
  <c r="C46" i="11"/>
  <c r="B46" i="11"/>
  <c r="A46" i="11"/>
  <c r="E45" i="11"/>
  <c r="D45" i="11"/>
  <c r="C45" i="11"/>
  <c r="B45" i="11"/>
  <c r="A45" i="11"/>
  <c r="E44" i="11"/>
  <c r="D44" i="11"/>
  <c r="C44" i="11"/>
  <c r="A44" i="11"/>
  <c r="B44" i="11" s="1"/>
  <c r="E43" i="11"/>
  <c r="D43" i="11"/>
  <c r="C43" i="11"/>
  <c r="A43" i="11"/>
  <c r="B43" i="11" s="1"/>
  <c r="E42" i="11"/>
  <c r="D42" i="11"/>
  <c r="C42" i="11"/>
  <c r="A42" i="11"/>
  <c r="B42" i="11" s="1"/>
  <c r="E41" i="11"/>
  <c r="D41" i="11"/>
  <c r="C41" i="11"/>
  <c r="A41" i="11"/>
  <c r="B41" i="11" s="1"/>
  <c r="E40" i="11"/>
  <c r="D40" i="11"/>
  <c r="C40" i="11"/>
  <c r="B40" i="11"/>
  <c r="A40" i="11"/>
  <c r="E39" i="11"/>
  <c r="D39" i="11"/>
  <c r="C39" i="11"/>
  <c r="B39" i="11"/>
  <c r="A39" i="11"/>
  <c r="E38" i="11"/>
  <c r="D38" i="11"/>
  <c r="C38" i="11"/>
  <c r="B38" i="11"/>
  <c r="A38" i="11"/>
  <c r="E37" i="11"/>
  <c r="D37" i="11"/>
  <c r="C37" i="11"/>
  <c r="B37" i="11"/>
  <c r="A37" i="11"/>
  <c r="E36" i="11"/>
  <c r="D36" i="11"/>
  <c r="C36" i="11"/>
  <c r="B36" i="11"/>
  <c r="A36" i="11"/>
  <c r="E35" i="11"/>
  <c r="D35" i="11"/>
  <c r="C35" i="11"/>
  <c r="A35" i="11"/>
  <c r="B35" i="11" s="1"/>
  <c r="E34" i="11"/>
  <c r="D34" i="11"/>
  <c r="C34" i="11"/>
  <c r="B34" i="11"/>
  <c r="A34" i="11"/>
  <c r="E33" i="11"/>
  <c r="D33" i="11"/>
  <c r="C33" i="11"/>
  <c r="A33" i="11"/>
  <c r="B33" i="11" s="1"/>
  <c r="E32" i="11"/>
  <c r="D32" i="11"/>
  <c r="C32" i="11"/>
  <c r="B32" i="11"/>
  <c r="A32" i="11"/>
  <c r="E31" i="11"/>
  <c r="D31" i="11"/>
  <c r="C31" i="11"/>
  <c r="A31" i="11"/>
  <c r="B31" i="11" s="1"/>
  <c r="E30" i="11"/>
  <c r="D30" i="11"/>
  <c r="C30" i="11"/>
  <c r="B30" i="11"/>
  <c r="A30" i="11"/>
  <c r="E29" i="11"/>
  <c r="D29" i="11"/>
  <c r="C29" i="11"/>
  <c r="B29" i="11"/>
  <c r="A29" i="11"/>
  <c r="E28" i="11"/>
  <c r="D28" i="11"/>
  <c r="C28" i="11"/>
  <c r="B28" i="11"/>
  <c r="A28" i="11"/>
  <c r="E27" i="11"/>
  <c r="D27" i="11"/>
  <c r="C27" i="11"/>
  <c r="A27" i="11"/>
  <c r="B27" i="11" s="1"/>
  <c r="E26" i="11"/>
  <c r="D26" i="11"/>
  <c r="C26" i="11"/>
  <c r="A26" i="11"/>
  <c r="B26" i="11" s="1"/>
  <c r="E25" i="11"/>
  <c r="D25" i="11"/>
  <c r="C25" i="11"/>
  <c r="A25" i="11"/>
  <c r="B25" i="11" s="1"/>
  <c r="E24" i="11"/>
  <c r="D24" i="11"/>
  <c r="C24" i="11"/>
  <c r="B24" i="11"/>
  <c r="A24" i="11"/>
  <c r="E23" i="11"/>
  <c r="D23" i="11"/>
  <c r="C23" i="11"/>
  <c r="B23" i="11"/>
  <c r="A23" i="11"/>
  <c r="E22" i="11"/>
  <c r="D22" i="11"/>
  <c r="C22" i="11"/>
  <c r="B22" i="11"/>
  <c r="A22" i="11"/>
  <c r="E21" i="11"/>
  <c r="D21" i="11"/>
  <c r="C21" i="11"/>
  <c r="B21" i="11"/>
  <c r="A21" i="11"/>
  <c r="E20" i="11"/>
  <c r="D20" i="11"/>
  <c r="C20" i="11"/>
  <c r="A20" i="11"/>
  <c r="B20" i="11" s="1"/>
  <c r="E19" i="11"/>
  <c r="D19" i="11"/>
  <c r="C19" i="11"/>
  <c r="A19" i="11"/>
  <c r="B19" i="11" s="1"/>
  <c r="E18" i="11"/>
  <c r="D18" i="11"/>
  <c r="C18" i="11"/>
  <c r="B18" i="11"/>
  <c r="A18" i="11"/>
  <c r="E17" i="11"/>
  <c r="D17" i="11"/>
  <c r="C17" i="11"/>
  <c r="A17" i="11"/>
  <c r="B17" i="11" s="1"/>
  <c r="E16" i="11"/>
  <c r="D16" i="11"/>
  <c r="C16" i="11"/>
  <c r="B16" i="11"/>
  <c r="A16" i="11"/>
  <c r="E15" i="11"/>
  <c r="D15" i="11"/>
  <c r="C15" i="11"/>
  <c r="A15" i="11"/>
  <c r="B15" i="11" s="1"/>
  <c r="E14" i="11"/>
  <c r="D14" i="11"/>
  <c r="C14" i="11"/>
  <c r="B14" i="11"/>
  <c r="A14" i="11"/>
  <c r="E13" i="11"/>
  <c r="D13" i="11"/>
  <c r="C13" i="11"/>
  <c r="B13" i="11"/>
  <c r="A13" i="11"/>
  <c r="E12" i="11"/>
  <c r="D12" i="11"/>
  <c r="C12" i="11"/>
  <c r="A12" i="11"/>
  <c r="B12" i="11" s="1"/>
  <c r="E11" i="11"/>
  <c r="D11" i="11"/>
  <c r="C11" i="11"/>
  <c r="A11" i="11"/>
  <c r="B11" i="11" s="1"/>
  <c r="N10" i="11"/>
  <c r="E10" i="11"/>
  <c r="D10" i="11"/>
  <c r="C10" i="11"/>
  <c r="B10" i="11"/>
  <c r="A10" i="11"/>
  <c r="N9" i="11"/>
  <c r="O9" i="11" s="1"/>
  <c r="E9" i="11"/>
  <c r="D9" i="11"/>
  <c r="C9" i="11"/>
  <c r="A9" i="11"/>
  <c r="B9" i="11" s="1"/>
  <c r="N8" i="11"/>
  <c r="O8" i="11" s="1"/>
  <c r="E8" i="11"/>
  <c r="D8" i="11"/>
  <c r="C8" i="11"/>
  <c r="B8" i="11"/>
  <c r="A8" i="11"/>
  <c r="N7" i="11"/>
  <c r="E7" i="11"/>
  <c r="D7" i="11"/>
  <c r="C7" i="11"/>
  <c r="A7" i="11"/>
  <c r="B7" i="11" s="1"/>
  <c r="O6" i="11"/>
  <c r="N6" i="11"/>
  <c r="O7" i="11" s="1"/>
  <c r="E6" i="11"/>
  <c r="D6" i="11"/>
  <c r="C6" i="11"/>
  <c r="A6" i="11"/>
  <c r="B6" i="11" s="1"/>
  <c r="E718" i="10"/>
  <c r="D718" i="10"/>
  <c r="C718" i="10"/>
  <c r="A718" i="10"/>
  <c r="B718" i="10" s="1"/>
  <c r="E717" i="10"/>
  <c r="D717" i="10"/>
  <c r="C717" i="10"/>
  <c r="B717" i="10"/>
  <c r="A717" i="10"/>
  <c r="E716" i="10"/>
  <c r="D716" i="10"/>
  <c r="C716" i="10"/>
  <c r="B716" i="10"/>
  <c r="A716" i="10"/>
  <c r="E715" i="10"/>
  <c r="D715" i="10"/>
  <c r="C715" i="10"/>
  <c r="B715" i="10"/>
  <c r="A715" i="10"/>
  <c r="E714" i="10"/>
  <c r="D714" i="10"/>
  <c r="C714" i="10"/>
  <c r="B714" i="10"/>
  <c r="A714" i="10"/>
  <c r="E713" i="10"/>
  <c r="D713" i="10"/>
  <c r="C713" i="10"/>
  <c r="A713" i="10"/>
  <c r="B713" i="10" s="1"/>
  <c r="E712" i="10"/>
  <c r="D712" i="10"/>
  <c r="C712" i="10"/>
  <c r="A712" i="10"/>
  <c r="B712" i="10" s="1"/>
  <c r="E711" i="10"/>
  <c r="D711" i="10"/>
  <c r="C711" i="10"/>
  <c r="A711" i="10"/>
  <c r="B711" i="10" s="1"/>
  <c r="E710" i="10"/>
  <c r="D710" i="10"/>
  <c r="C710" i="10"/>
  <c r="A710" i="10"/>
  <c r="B710" i="10" s="1"/>
  <c r="E709" i="10"/>
  <c r="D709" i="10"/>
  <c r="C709" i="10"/>
  <c r="B709" i="10"/>
  <c r="A709" i="10"/>
  <c r="E708" i="10"/>
  <c r="D708" i="10"/>
  <c r="C708" i="10"/>
  <c r="B708" i="10"/>
  <c r="A708" i="10"/>
  <c r="E707" i="10"/>
  <c r="D707" i="10"/>
  <c r="C707" i="10"/>
  <c r="B707" i="10"/>
  <c r="A707" i="10"/>
  <c r="E706" i="10"/>
  <c r="D706" i="10"/>
  <c r="C706" i="10"/>
  <c r="A706" i="10"/>
  <c r="B706" i="10" s="1"/>
  <c r="E705" i="10"/>
  <c r="D705" i="10"/>
  <c r="C705" i="10"/>
  <c r="B705" i="10"/>
  <c r="A705" i="10"/>
  <c r="E704" i="10"/>
  <c r="D704" i="10"/>
  <c r="C704" i="10"/>
  <c r="B704" i="10"/>
  <c r="A704" i="10"/>
  <c r="E703" i="10"/>
  <c r="D703" i="10"/>
  <c r="C703" i="10"/>
  <c r="A703" i="10"/>
  <c r="B703" i="10" s="1"/>
  <c r="E702" i="10"/>
  <c r="D702" i="10"/>
  <c r="C702" i="10"/>
  <c r="A702" i="10"/>
  <c r="B702" i="10" s="1"/>
  <c r="E701" i="10"/>
  <c r="D701" i="10"/>
  <c r="C701" i="10"/>
  <c r="A701" i="10"/>
  <c r="B701" i="10" s="1"/>
  <c r="E700" i="10"/>
  <c r="D700" i="10"/>
  <c r="C700" i="10"/>
  <c r="B700" i="10"/>
  <c r="A700" i="10"/>
  <c r="E699" i="10"/>
  <c r="D699" i="10"/>
  <c r="C699" i="10"/>
  <c r="B699" i="10"/>
  <c r="A699" i="10"/>
  <c r="E698" i="10"/>
  <c r="D698" i="10"/>
  <c r="C698" i="10"/>
  <c r="B698" i="10"/>
  <c r="A698" i="10"/>
  <c r="E697" i="10"/>
  <c r="D697" i="10"/>
  <c r="C697" i="10"/>
  <c r="B697" i="10"/>
  <c r="A697" i="10"/>
  <c r="E696" i="10"/>
  <c r="D696" i="10"/>
  <c r="C696" i="10"/>
  <c r="A696" i="10"/>
  <c r="B696" i="10" s="1"/>
  <c r="E695" i="10"/>
  <c r="D695" i="10"/>
  <c r="C695" i="10"/>
  <c r="A695" i="10"/>
  <c r="B695" i="10" s="1"/>
  <c r="E694" i="10"/>
  <c r="D694" i="10"/>
  <c r="C694" i="10"/>
  <c r="A694" i="10"/>
  <c r="B694" i="10" s="1"/>
  <c r="E693" i="10"/>
  <c r="D693" i="10"/>
  <c r="C693" i="10"/>
  <c r="B693" i="10"/>
  <c r="A693" i="10"/>
  <c r="E692" i="10"/>
  <c r="D692" i="10"/>
  <c r="C692" i="10"/>
  <c r="B692" i="10"/>
  <c r="A692" i="10"/>
  <c r="E691" i="10"/>
  <c r="D691" i="10"/>
  <c r="C691" i="10"/>
  <c r="B691" i="10"/>
  <c r="A691" i="10"/>
  <c r="E690" i="10"/>
  <c r="D690" i="10"/>
  <c r="C690" i="10"/>
  <c r="A690" i="10"/>
  <c r="B690" i="10" s="1"/>
  <c r="E689" i="10"/>
  <c r="D689" i="10"/>
  <c r="C689" i="10"/>
  <c r="B689" i="10"/>
  <c r="A689" i="10"/>
  <c r="E688" i="10"/>
  <c r="D688" i="10"/>
  <c r="C688" i="10"/>
  <c r="B688" i="10"/>
  <c r="A688" i="10"/>
  <c r="E687" i="10"/>
  <c r="D687" i="10"/>
  <c r="C687" i="10"/>
  <c r="A687" i="10"/>
  <c r="B687" i="10" s="1"/>
  <c r="E686" i="10"/>
  <c r="D686" i="10"/>
  <c r="C686" i="10"/>
  <c r="A686" i="10"/>
  <c r="B686" i="10" s="1"/>
  <c r="E685" i="10"/>
  <c r="D685" i="10"/>
  <c r="C685" i="10"/>
  <c r="B685" i="10"/>
  <c r="A685" i="10"/>
  <c r="E684" i="10"/>
  <c r="D684" i="10"/>
  <c r="C684" i="10"/>
  <c r="B684" i="10"/>
  <c r="A684" i="10"/>
  <c r="E683" i="10"/>
  <c r="D683" i="10"/>
  <c r="C683" i="10"/>
  <c r="B683" i="10"/>
  <c r="A683" i="10"/>
  <c r="E682" i="10"/>
  <c r="D682" i="10"/>
  <c r="C682" i="10"/>
  <c r="A682" i="10"/>
  <c r="B682" i="10" s="1"/>
  <c r="E681" i="10"/>
  <c r="D681" i="10"/>
  <c r="C681" i="10"/>
  <c r="A681" i="10"/>
  <c r="B681" i="10" s="1"/>
  <c r="E680" i="10"/>
  <c r="D680" i="10"/>
  <c r="C680" i="10"/>
  <c r="A680" i="10"/>
  <c r="B680" i="10" s="1"/>
  <c r="E679" i="10"/>
  <c r="D679" i="10"/>
  <c r="C679" i="10"/>
  <c r="A679" i="10"/>
  <c r="B679" i="10" s="1"/>
  <c r="E678" i="10"/>
  <c r="D678" i="10"/>
  <c r="C678" i="10"/>
  <c r="A678" i="10"/>
  <c r="B678" i="10" s="1"/>
  <c r="E677" i="10"/>
  <c r="D677" i="10"/>
  <c r="C677" i="10"/>
  <c r="A677" i="10"/>
  <c r="B677" i="10" s="1"/>
  <c r="E676" i="10"/>
  <c r="D676" i="10"/>
  <c r="C676" i="10"/>
  <c r="B676" i="10"/>
  <c r="A676" i="10"/>
  <c r="E675" i="10"/>
  <c r="D675" i="10"/>
  <c r="C675" i="10"/>
  <c r="B675" i="10"/>
  <c r="A675" i="10"/>
  <c r="E674" i="10"/>
  <c r="D674" i="10"/>
  <c r="C674" i="10"/>
  <c r="A674" i="10"/>
  <c r="B674" i="10" s="1"/>
  <c r="E673" i="10"/>
  <c r="D673" i="10"/>
  <c r="C673" i="10"/>
  <c r="B673" i="10"/>
  <c r="A673" i="10"/>
  <c r="E672" i="10"/>
  <c r="D672" i="10"/>
  <c r="C672" i="10"/>
  <c r="A672" i="10"/>
  <c r="B672" i="10" s="1"/>
  <c r="E671" i="10"/>
  <c r="D671" i="10"/>
  <c r="C671" i="10"/>
  <c r="A671" i="10"/>
  <c r="B671" i="10" s="1"/>
  <c r="E670" i="10"/>
  <c r="D670" i="10"/>
  <c r="C670" i="10"/>
  <c r="A670" i="10"/>
  <c r="B670" i="10" s="1"/>
  <c r="E669" i="10"/>
  <c r="D669" i="10"/>
  <c r="C669" i="10"/>
  <c r="A669" i="10"/>
  <c r="B669" i="10" s="1"/>
  <c r="E668" i="10"/>
  <c r="D668" i="10"/>
  <c r="C668" i="10"/>
  <c r="B668" i="10"/>
  <c r="A668" i="10"/>
  <c r="E667" i="10"/>
  <c r="D667" i="10"/>
  <c r="C667" i="10"/>
  <c r="B667" i="10"/>
  <c r="A667" i="10"/>
  <c r="E666" i="10"/>
  <c r="D666" i="10"/>
  <c r="C666" i="10"/>
  <c r="B666" i="10"/>
  <c r="A666" i="10"/>
  <c r="E665" i="10"/>
  <c r="D665" i="10"/>
  <c r="C665" i="10"/>
  <c r="B665" i="10"/>
  <c r="A665" i="10"/>
  <c r="E664" i="10"/>
  <c r="D664" i="10"/>
  <c r="C664" i="10"/>
  <c r="A664" i="10"/>
  <c r="B664" i="10" s="1"/>
  <c r="E663" i="10"/>
  <c r="D663" i="10"/>
  <c r="C663" i="10"/>
  <c r="A663" i="10"/>
  <c r="B663" i="10" s="1"/>
  <c r="E662" i="10"/>
  <c r="D662" i="10"/>
  <c r="C662" i="10"/>
  <c r="A662" i="10"/>
  <c r="B662" i="10" s="1"/>
  <c r="E661" i="10"/>
  <c r="D661" i="10"/>
  <c r="C661" i="10"/>
  <c r="B661" i="10"/>
  <c r="A661" i="10"/>
  <c r="E660" i="10"/>
  <c r="D660" i="10"/>
  <c r="C660" i="10"/>
  <c r="B660" i="10"/>
  <c r="A660" i="10"/>
  <c r="E659" i="10"/>
  <c r="D659" i="10"/>
  <c r="C659" i="10"/>
  <c r="B659" i="10"/>
  <c r="A659" i="10"/>
  <c r="E658" i="10"/>
  <c r="D658" i="10"/>
  <c r="C658" i="10"/>
  <c r="A658" i="10"/>
  <c r="B658" i="10" s="1"/>
  <c r="E657" i="10"/>
  <c r="D657" i="10"/>
  <c r="C657" i="10"/>
  <c r="B657" i="10"/>
  <c r="A657" i="10"/>
  <c r="E656" i="10"/>
  <c r="D656" i="10"/>
  <c r="C656" i="10"/>
  <c r="B656" i="10"/>
  <c r="A656" i="10"/>
  <c r="E655" i="10"/>
  <c r="D655" i="10"/>
  <c r="C655" i="10"/>
  <c r="A655" i="10"/>
  <c r="B655" i="10" s="1"/>
  <c r="E654" i="10"/>
  <c r="D654" i="10"/>
  <c r="C654" i="10"/>
  <c r="A654" i="10"/>
  <c r="B654" i="10" s="1"/>
  <c r="E653" i="10"/>
  <c r="D653" i="10"/>
  <c r="C653" i="10"/>
  <c r="B653" i="10"/>
  <c r="A653" i="10"/>
  <c r="E652" i="10"/>
  <c r="D652" i="10"/>
  <c r="C652" i="10"/>
  <c r="B652" i="10"/>
  <c r="A652" i="10"/>
  <c r="E651" i="10"/>
  <c r="D651" i="10"/>
  <c r="C651" i="10"/>
  <c r="B651" i="10"/>
  <c r="A651" i="10"/>
  <c r="E650" i="10"/>
  <c r="D650" i="10"/>
  <c r="C650" i="10"/>
  <c r="A650" i="10"/>
  <c r="B650" i="10" s="1"/>
  <c r="E649" i="10"/>
  <c r="D649" i="10"/>
  <c r="C649" i="10"/>
  <c r="A649" i="10"/>
  <c r="B649" i="10" s="1"/>
  <c r="E648" i="10"/>
  <c r="D648" i="10"/>
  <c r="C648" i="10"/>
  <c r="A648" i="10"/>
  <c r="B648" i="10" s="1"/>
  <c r="E647" i="10"/>
  <c r="D647" i="10"/>
  <c r="C647" i="10"/>
  <c r="A647" i="10"/>
  <c r="B647" i="10" s="1"/>
  <c r="E646" i="10"/>
  <c r="D646" i="10"/>
  <c r="C646" i="10"/>
  <c r="A646" i="10"/>
  <c r="B646" i="10" s="1"/>
  <c r="E645" i="10"/>
  <c r="D645" i="10"/>
  <c r="C645" i="10"/>
  <c r="B645" i="10"/>
  <c r="A645" i="10"/>
  <c r="E644" i="10"/>
  <c r="D644" i="10"/>
  <c r="C644" i="10"/>
  <c r="B644" i="10"/>
  <c r="A644" i="10"/>
  <c r="E643" i="10"/>
  <c r="D643" i="10"/>
  <c r="C643" i="10"/>
  <c r="B643" i="10"/>
  <c r="A643" i="10"/>
  <c r="E642" i="10"/>
  <c r="D642" i="10"/>
  <c r="C642" i="10"/>
  <c r="A642" i="10"/>
  <c r="B642" i="10" s="1"/>
  <c r="E641" i="10"/>
  <c r="D641" i="10"/>
  <c r="C641" i="10"/>
  <c r="B641" i="10"/>
  <c r="A641" i="10"/>
  <c r="E640" i="10"/>
  <c r="D640" i="10"/>
  <c r="C640" i="10"/>
  <c r="B640" i="10"/>
  <c r="A640" i="10"/>
  <c r="E639" i="10"/>
  <c r="D639" i="10"/>
  <c r="C639" i="10"/>
  <c r="A639" i="10"/>
  <c r="B639" i="10" s="1"/>
  <c r="E638" i="10"/>
  <c r="D638" i="10"/>
  <c r="C638" i="10"/>
  <c r="A638" i="10"/>
  <c r="B638" i="10" s="1"/>
  <c r="E637" i="10"/>
  <c r="D637" i="10"/>
  <c r="C637" i="10"/>
  <c r="A637" i="10"/>
  <c r="B637" i="10" s="1"/>
  <c r="E636" i="10"/>
  <c r="D636" i="10"/>
  <c r="C636" i="10"/>
  <c r="B636" i="10"/>
  <c r="A636" i="10"/>
  <c r="E635" i="10"/>
  <c r="D635" i="10"/>
  <c r="C635" i="10"/>
  <c r="B635" i="10"/>
  <c r="A635" i="10"/>
  <c r="E634" i="10"/>
  <c r="D634" i="10"/>
  <c r="C634" i="10"/>
  <c r="B634" i="10"/>
  <c r="A634" i="10"/>
  <c r="E633" i="10"/>
  <c r="D633" i="10"/>
  <c r="C633" i="10"/>
  <c r="B633" i="10"/>
  <c r="A633" i="10"/>
  <c r="E632" i="10"/>
  <c r="D632" i="10"/>
  <c r="C632" i="10"/>
  <c r="A632" i="10"/>
  <c r="B632" i="10" s="1"/>
  <c r="E631" i="10"/>
  <c r="D631" i="10"/>
  <c r="C631" i="10"/>
  <c r="A631" i="10"/>
  <c r="B631" i="10" s="1"/>
  <c r="E630" i="10"/>
  <c r="D630" i="10"/>
  <c r="C630" i="10"/>
  <c r="A630" i="10"/>
  <c r="B630" i="10" s="1"/>
  <c r="E629" i="10"/>
  <c r="D629" i="10"/>
  <c r="C629" i="10"/>
  <c r="B629" i="10"/>
  <c r="A629" i="10"/>
  <c r="E628" i="10"/>
  <c r="D628" i="10"/>
  <c r="C628" i="10"/>
  <c r="B628" i="10"/>
  <c r="A628" i="10"/>
  <c r="E627" i="10"/>
  <c r="D627" i="10"/>
  <c r="C627" i="10"/>
  <c r="B627" i="10"/>
  <c r="A627" i="10"/>
  <c r="E626" i="10"/>
  <c r="D626" i="10"/>
  <c r="C626" i="10"/>
  <c r="A626" i="10"/>
  <c r="B626" i="10" s="1"/>
  <c r="E625" i="10"/>
  <c r="D625" i="10"/>
  <c r="C625" i="10"/>
  <c r="B625" i="10"/>
  <c r="A625" i="10"/>
  <c r="E624" i="10"/>
  <c r="D624" i="10"/>
  <c r="C624" i="10"/>
  <c r="B624" i="10"/>
  <c r="A624" i="10"/>
  <c r="E623" i="10"/>
  <c r="D623" i="10"/>
  <c r="C623" i="10"/>
  <c r="A623" i="10"/>
  <c r="B623" i="10" s="1"/>
  <c r="E622" i="10"/>
  <c r="D622" i="10"/>
  <c r="C622" i="10"/>
  <c r="A622" i="10"/>
  <c r="B622" i="10" s="1"/>
  <c r="E621" i="10"/>
  <c r="D621" i="10"/>
  <c r="C621" i="10"/>
  <c r="B621" i="10"/>
  <c r="A621" i="10"/>
  <c r="E620" i="10"/>
  <c r="D620" i="10"/>
  <c r="C620" i="10"/>
  <c r="B620" i="10"/>
  <c r="A620" i="10"/>
  <c r="E619" i="10"/>
  <c r="D619" i="10"/>
  <c r="C619" i="10"/>
  <c r="B619" i="10"/>
  <c r="A619" i="10"/>
  <c r="E618" i="10"/>
  <c r="D618" i="10"/>
  <c r="C618" i="10"/>
  <c r="A618" i="10"/>
  <c r="B618" i="10" s="1"/>
  <c r="E617" i="10"/>
  <c r="D617" i="10"/>
  <c r="C617" i="10"/>
  <c r="A617" i="10"/>
  <c r="B617" i="10" s="1"/>
  <c r="E616" i="10"/>
  <c r="D616" i="10"/>
  <c r="C616" i="10"/>
  <c r="A616" i="10"/>
  <c r="B616" i="10" s="1"/>
  <c r="E615" i="10"/>
  <c r="D615" i="10"/>
  <c r="C615" i="10"/>
  <c r="A615" i="10"/>
  <c r="B615" i="10" s="1"/>
  <c r="E614" i="10"/>
  <c r="D614" i="10"/>
  <c r="C614" i="10"/>
  <c r="A614" i="10"/>
  <c r="B614" i="10" s="1"/>
  <c r="E613" i="10"/>
  <c r="D613" i="10"/>
  <c r="C613" i="10"/>
  <c r="B613" i="10"/>
  <c r="A613" i="10"/>
  <c r="E612" i="10"/>
  <c r="D612" i="10"/>
  <c r="C612" i="10"/>
  <c r="B612" i="10"/>
  <c r="A612" i="10"/>
  <c r="E611" i="10"/>
  <c r="D611" i="10"/>
  <c r="C611" i="10"/>
  <c r="B611" i="10"/>
  <c r="A611" i="10"/>
  <c r="E610" i="10"/>
  <c r="D610" i="10"/>
  <c r="C610" i="10"/>
  <c r="A610" i="10"/>
  <c r="B610" i="10" s="1"/>
  <c r="E609" i="10"/>
  <c r="D609" i="10"/>
  <c r="C609" i="10"/>
  <c r="B609" i="10"/>
  <c r="A609" i="10"/>
  <c r="E608" i="10"/>
  <c r="D608" i="10"/>
  <c r="C608" i="10"/>
  <c r="B608" i="10"/>
  <c r="A608" i="10"/>
  <c r="E607" i="10"/>
  <c r="D607" i="10"/>
  <c r="C607" i="10"/>
  <c r="A607" i="10"/>
  <c r="B607" i="10" s="1"/>
  <c r="E606" i="10"/>
  <c r="D606" i="10"/>
  <c r="C606" i="10"/>
  <c r="A606" i="10"/>
  <c r="B606" i="10" s="1"/>
  <c r="E605" i="10"/>
  <c r="D605" i="10"/>
  <c r="C605" i="10"/>
  <c r="A605" i="10"/>
  <c r="B605" i="10" s="1"/>
  <c r="E604" i="10"/>
  <c r="D604" i="10"/>
  <c r="C604" i="10"/>
  <c r="B604" i="10"/>
  <c r="A604" i="10"/>
  <c r="E603" i="10"/>
  <c r="D603" i="10"/>
  <c r="C603" i="10"/>
  <c r="B603" i="10"/>
  <c r="A603" i="10"/>
  <c r="E602" i="10"/>
  <c r="D602" i="10"/>
  <c r="C602" i="10"/>
  <c r="B602" i="10"/>
  <c r="A602" i="10"/>
  <c r="E601" i="10"/>
  <c r="D601" i="10"/>
  <c r="C601" i="10"/>
  <c r="B601" i="10"/>
  <c r="A601" i="10"/>
  <c r="E600" i="10"/>
  <c r="D600" i="10"/>
  <c r="C600" i="10"/>
  <c r="A600" i="10"/>
  <c r="B600" i="10" s="1"/>
  <c r="E599" i="10"/>
  <c r="D599" i="10"/>
  <c r="C599" i="10"/>
  <c r="A599" i="10"/>
  <c r="B599" i="10" s="1"/>
  <c r="E598" i="10"/>
  <c r="D598" i="10"/>
  <c r="C598" i="10"/>
  <c r="A598" i="10"/>
  <c r="B598" i="10" s="1"/>
  <c r="E597" i="10"/>
  <c r="D597" i="10"/>
  <c r="C597" i="10"/>
  <c r="B597" i="10"/>
  <c r="A597" i="10"/>
  <c r="E596" i="10"/>
  <c r="D596" i="10"/>
  <c r="C596" i="10"/>
  <c r="B596" i="10"/>
  <c r="A596" i="10"/>
  <c r="E595" i="10"/>
  <c r="D595" i="10"/>
  <c r="C595" i="10"/>
  <c r="B595" i="10"/>
  <c r="A595" i="10"/>
  <c r="E594" i="10"/>
  <c r="D594" i="10"/>
  <c r="C594" i="10"/>
  <c r="A594" i="10"/>
  <c r="B594" i="10" s="1"/>
  <c r="E593" i="10"/>
  <c r="D593" i="10"/>
  <c r="C593" i="10"/>
  <c r="A593" i="10"/>
  <c r="B593" i="10" s="1"/>
  <c r="E592" i="10"/>
  <c r="D592" i="10"/>
  <c r="C592" i="10"/>
  <c r="B592" i="10"/>
  <c r="A592" i="10"/>
  <c r="E591" i="10"/>
  <c r="D591" i="10"/>
  <c r="C591" i="10"/>
  <c r="A591" i="10"/>
  <c r="B591" i="10" s="1"/>
  <c r="E590" i="10"/>
  <c r="D590" i="10"/>
  <c r="C590" i="10"/>
  <c r="A590" i="10"/>
  <c r="B590" i="10" s="1"/>
  <c r="E589" i="10"/>
  <c r="D589" i="10"/>
  <c r="C589" i="10"/>
  <c r="B589" i="10"/>
  <c r="A589" i="10"/>
  <c r="E588" i="10"/>
  <c r="D588" i="10"/>
  <c r="C588" i="10"/>
  <c r="B588" i="10"/>
  <c r="A588" i="10"/>
  <c r="E587" i="10"/>
  <c r="D587" i="10"/>
  <c r="C587" i="10"/>
  <c r="B587" i="10"/>
  <c r="A587" i="10"/>
  <c r="E586" i="10"/>
  <c r="D586" i="10"/>
  <c r="C586" i="10"/>
  <c r="A586" i="10"/>
  <c r="B586" i="10" s="1"/>
  <c r="E585" i="10"/>
  <c r="D585" i="10"/>
  <c r="C585" i="10"/>
  <c r="A585" i="10"/>
  <c r="B585" i="10" s="1"/>
  <c r="E584" i="10"/>
  <c r="D584" i="10"/>
  <c r="C584" i="10"/>
  <c r="A584" i="10"/>
  <c r="B584" i="10" s="1"/>
  <c r="E583" i="10"/>
  <c r="D583" i="10"/>
  <c r="C583" i="10"/>
  <c r="A583" i="10"/>
  <c r="B583" i="10" s="1"/>
  <c r="E582" i="10"/>
  <c r="D582" i="10"/>
  <c r="C582" i="10"/>
  <c r="A582" i="10"/>
  <c r="B582" i="10" s="1"/>
  <c r="E581" i="10"/>
  <c r="D581" i="10"/>
  <c r="C581" i="10"/>
  <c r="B581" i="10"/>
  <c r="A581" i="10"/>
  <c r="E580" i="10"/>
  <c r="D580" i="10"/>
  <c r="C580" i="10"/>
  <c r="B580" i="10"/>
  <c r="A580" i="10"/>
  <c r="E579" i="10"/>
  <c r="D579" i="10"/>
  <c r="C579" i="10"/>
  <c r="B579" i="10"/>
  <c r="A579" i="10"/>
  <c r="E578" i="10"/>
  <c r="D578" i="10"/>
  <c r="C578" i="10"/>
  <c r="A578" i="10"/>
  <c r="B578" i="10" s="1"/>
  <c r="E577" i="10"/>
  <c r="D577" i="10"/>
  <c r="C577" i="10"/>
  <c r="A577" i="10"/>
  <c r="B577" i="10" s="1"/>
  <c r="E576" i="10"/>
  <c r="D576" i="10"/>
  <c r="C576" i="10"/>
  <c r="B576" i="10"/>
  <c r="A576" i="10"/>
  <c r="E575" i="10"/>
  <c r="D575" i="10"/>
  <c r="C575" i="10"/>
  <c r="A575" i="10"/>
  <c r="B575" i="10" s="1"/>
  <c r="E574" i="10"/>
  <c r="D574" i="10"/>
  <c r="C574" i="10"/>
  <c r="A574" i="10"/>
  <c r="B574" i="10" s="1"/>
  <c r="E573" i="10"/>
  <c r="D573" i="10"/>
  <c r="C573" i="10"/>
  <c r="A573" i="10"/>
  <c r="B573" i="10" s="1"/>
  <c r="E572" i="10"/>
  <c r="D572" i="10"/>
  <c r="C572" i="10"/>
  <c r="B572" i="10"/>
  <c r="A572" i="10"/>
  <c r="E571" i="10"/>
  <c r="D571" i="10"/>
  <c r="C571" i="10"/>
  <c r="B571" i="10"/>
  <c r="A571" i="10"/>
  <c r="E570" i="10"/>
  <c r="D570" i="10"/>
  <c r="C570" i="10"/>
  <c r="B570" i="10"/>
  <c r="A570" i="10"/>
  <c r="E569" i="10"/>
  <c r="D569" i="10"/>
  <c r="C569" i="10"/>
  <c r="B569" i="10"/>
  <c r="A569" i="10"/>
  <c r="E568" i="10"/>
  <c r="D568" i="10"/>
  <c r="C568" i="10"/>
  <c r="A568" i="10"/>
  <c r="B568" i="10" s="1"/>
  <c r="E567" i="10"/>
  <c r="D567" i="10"/>
  <c r="C567" i="10"/>
  <c r="A567" i="10"/>
  <c r="B567" i="10" s="1"/>
  <c r="E566" i="10"/>
  <c r="D566" i="10"/>
  <c r="C566" i="10"/>
  <c r="A566" i="10"/>
  <c r="B566" i="10" s="1"/>
  <c r="E565" i="10"/>
  <c r="D565" i="10"/>
  <c r="C565" i="10"/>
  <c r="A565" i="10"/>
  <c r="B565" i="10" s="1"/>
  <c r="E564" i="10"/>
  <c r="D564" i="10"/>
  <c r="C564" i="10"/>
  <c r="B564" i="10"/>
  <c r="A564" i="10"/>
  <c r="E563" i="10"/>
  <c r="D563" i="10"/>
  <c r="C563" i="10"/>
  <c r="B563" i="10"/>
  <c r="A563" i="10"/>
  <c r="E562" i="10"/>
  <c r="D562" i="10"/>
  <c r="C562" i="10"/>
  <c r="A562" i="10"/>
  <c r="B562" i="10" s="1"/>
  <c r="E561" i="10"/>
  <c r="D561" i="10"/>
  <c r="C561" i="10"/>
  <c r="B561" i="10"/>
  <c r="A561" i="10"/>
  <c r="E560" i="10"/>
  <c r="D560" i="10"/>
  <c r="C560" i="10"/>
  <c r="B560" i="10"/>
  <c r="A560" i="10"/>
  <c r="E559" i="10"/>
  <c r="D559" i="10"/>
  <c r="C559" i="10"/>
  <c r="A559" i="10"/>
  <c r="B559" i="10" s="1"/>
  <c r="E558" i="10"/>
  <c r="D558" i="10"/>
  <c r="C558" i="10"/>
  <c r="A558" i="10"/>
  <c r="B558" i="10" s="1"/>
  <c r="E557" i="10"/>
  <c r="D557" i="10"/>
  <c r="C557" i="10"/>
  <c r="B557" i="10"/>
  <c r="A557" i="10"/>
  <c r="E556" i="10"/>
  <c r="D556" i="10"/>
  <c r="C556" i="10"/>
  <c r="B556" i="10"/>
  <c r="A556" i="10"/>
  <c r="E555" i="10"/>
  <c r="D555" i="10"/>
  <c r="C555" i="10"/>
  <c r="B555" i="10"/>
  <c r="A555" i="10"/>
  <c r="E554" i="10"/>
  <c r="D554" i="10"/>
  <c r="C554" i="10"/>
  <c r="A554" i="10"/>
  <c r="B554" i="10" s="1"/>
  <c r="E553" i="10"/>
  <c r="D553" i="10"/>
  <c r="C553" i="10"/>
  <c r="A553" i="10"/>
  <c r="B553" i="10" s="1"/>
  <c r="E552" i="10"/>
  <c r="D552" i="10"/>
  <c r="C552" i="10"/>
  <c r="A552" i="10"/>
  <c r="B552" i="10" s="1"/>
  <c r="E551" i="10"/>
  <c r="D551" i="10"/>
  <c r="C551" i="10"/>
  <c r="A551" i="10"/>
  <c r="B551" i="10" s="1"/>
  <c r="E550" i="10"/>
  <c r="D550" i="10"/>
  <c r="C550" i="10"/>
  <c r="A550" i="10"/>
  <c r="B550" i="10" s="1"/>
  <c r="E549" i="10"/>
  <c r="D549" i="10"/>
  <c r="C549" i="10"/>
  <c r="A549" i="10"/>
  <c r="B549" i="10" s="1"/>
  <c r="E548" i="10"/>
  <c r="D548" i="10"/>
  <c r="C548" i="10"/>
  <c r="B548" i="10"/>
  <c r="A548" i="10"/>
  <c r="E547" i="10"/>
  <c r="D547" i="10"/>
  <c r="C547" i="10"/>
  <c r="B547" i="10"/>
  <c r="A547" i="10"/>
  <c r="E546" i="10"/>
  <c r="D546" i="10"/>
  <c r="C546" i="10"/>
  <c r="A546" i="10"/>
  <c r="B546" i="10" s="1"/>
  <c r="E545" i="10"/>
  <c r="D545" i="10"/>
  <c r="C545" i="10"/>
  <c r="A545" i="10"/>
  <c r="B545" i="10" s="1"/>
  <c r="E544" i="10"/>
  <c r="D544" i="10"/>
  <c r="C544" i="10"/>
  <c r="B544" i="10"/>
  <c r="A544" i="10"/>
  <c r="E543" i="10"/>
  <c r="D543" i="10"/>
  <c r="C543" i="10"/>
  <c r="A543" i="10"/>
  <c r="B543" i="10" s="1"/>
  <c r="E542" i="10"/>
  <c r="D542" i="10"/>
  <c r="C542" i="10"/>
  <c r="A542" i="10"/>
  <c r="B542" i="10" s="1"/>
  <c r="E541" i="10"/>
  <c r="D541" i="10"/>
  <c r="C541" i="10"/>
  <c r="A541" i="10"/>
  <c r="B541" i="10" s="1"/>
  <c r="E540" i="10"/>
  <c r="D540" i="10"/>
  <c r="C540" i="10"/>
  <c r="B540" i="10"/>
  <c r="A540" i="10"/>
  <c r="E539" i="10"/>
  <c r="D539" i="10"/>
  <c r="C539" i="10"/>
  <c r="B539" i="10"/>
  <c r="A539" i="10"/>
  <c r="E538" i="10"/>
  <c r="D538" i="10"/>
  <c r="C538" i="10"/>
  <c r="B538" i="10"/>
  <c r="A538" i="10"/>
  <c r="E537" i="10"/>
  <c r="D537" i="10"/>
  <c r="C537" i="10"/>
  <c r="B537" i="10"/>
  <c r="A537" i="10"/>
  <c r="E536" i="10"/>
  <c r="D536" i="10"/>
  <c r="C536" i="10"/>
  <c r="A536" i="10"/>
  <c r="B536" i="10" s="1"/>
  <c r="E535" i="10"/>
  <c r="D535" i="10"/>
  <c r="C535" i="10"/>
  <c r="A535" i="10"/>
  <c r="B535" i="10" s="1"/>
  <c r="E534" i="10"/>
  <c r="D534" i="10"/>
  <c r="C534" i="10"/>
  <c r="A534" i="10"/>
  <c r="B534" i="10" s="1"/>
  <c r="E533" i="10"/>
  <c r="D533" i="10"/>
  <c r="C533" i="10"/>
  <c r="B533" i="10"/>
  <c r="A533" i="10"/>
  <c r="E532" i="10"/>
  <c r="D532" i="10"/>
  <c r="C532" i="10"/>
  <c r="B532" i="10"/>
  <c r="A532" i="10"/>
  <c r="E531" i="10"/>
  <c r="D531" i="10"/>
  <c r="C531" i="10"/>
  <c r="B531" i="10"/>
  <c r="A531" i="10"/>
  <c r="E530" i="10"/>
  <c r="D530" i="10"/>
  <c r="C530" i="10"/>
  <c r="A530" i="10"/>
  <c r="B530" i="10" s="1"/>
  <c r="E529" i="10"/>
  <c r="D529" i="10"/>
  <c r="C529" i="10"/>
  <c r="B529" i="10"/>
  <c r="A529" i="10"/>
  <c r="E528" i="10"/>
  <c r="D528" i="10"/>
  <c r="C528" i="10"/>
  <c r="B528" i="10"/>
  <c r="A528" i="10"/>
  <c r="E527" i="10"/>
  <c r="D527" i="10"/>
  <c r="C527" i="10"/>
  <c r="A527" i="10"/>
  <c r="B527" i="10" s="1"/>
  <c r="E526" i="10"/>
  <c r="D526" i="10"/>
  <c r="C526" i="10"/>
  <c r="A526" i="10"/>
  <c r="B526" i="10" s="1"/>
  <c r="E525" i="10"/>
  <c r="D525" i="10"/>
  <c r="C525" i="10"/>
  <c r="B525" i="10"/>
  <c r="A525" i="10"/>
  <c r="E524" i="10"/>
  <c r="D524" i="10"/>
  <c r="C524" i="10"/>
  <c r="B524" i="10"/>
  <c r="A524" i="10"/>
  <c r="E523" i="10"/>
  <c r="D523" i="10"/>
  <c r="C523" i="10"/>
  <c r="B523" i="10"/>
  <c r="A523" i="10"/>
  <c r="E522" i="10"/>
  <c r="D522" i="10"/>
  <c r="C522" i="10"/>
  <c r="A522" i="10"/>
  <c r="B522" i="10" s="1"/>
  <c r="E521" i="10"/>
  <c r="D521" i="10"/>
  <c r="C521" i="10"/>
  <c r="A521" i="10"/>
  <c r="B521" i="10" s="1"/>
  <c r="E520" i="10"/>
  <c r="D520" i="10"/>
  <c r="C520" i="10"/>
  <c r="A520" i="10"/>
  <c r="B520" i="10" s="1"/>
  <c r="E519" i="10"/>
  <c r="D519" i="10"/>
  <c r="C519" i="10"/>
  <c r="A519" i="10"/>
  <c r="B519" i="10" s="1"/>
  <c r="E518" i="10"/>
  <c r="D518" i="10"/>
  <c r="C518" i="10"/>
  <c r="A518" i="10"/>
  <c r="B518" i="10" s="1"/>
  <c r="E517" i="10"/>
  <c r="D517" i="10"/>
  <c r="C517" i="10"/>
  <c r="B517" i="10"/>
  <c r="A517" i="10"/>
  <c r="E516" i="10"/>
  <c r="D516" i="10"/>
  <c r="C516" i="10"/>
  <c r="B516" i="10"/>
  <c r="A516" i="10"/>
  <c r="E515" i="10"/>
  <c r="D515" i="10"/>
  <c r="C515" i="10"/>
  <c r="B515" i="10"/>
  <c r="A515" i="10"/>
  <c r="E514" i="10"/>
  <c r="D514" i="10"/>
  <c r="C514" i="10"/>
  <c r="A514" i="10"/>
  <c r="B514" i="10" s="1"/>
  <c r="E513" i="10"/>
  <c r="D513" i="10"/>
  <c r="C513" i="10"/>
  <c r="A513" i="10"/>
  <c r="B513" i="10" s="1"/>
  <c r="E512" i="10"/>
  <c r="D512" i="10"/>
  <c r="C512" i="10"/>
  <c r="B512" i="10"/>
  <c r="A512" i="10"/>
  <c r="E511" i="10"/>
  <c r="D511" i="10"/>
  <c r="C511" i="10"/>
  <c r="A511" i="10"/>
  <c r="B511" i="10" s="1"/>
  <c r="E510" i="10"/>
  <c r="D510" i="10"/>
  <c r="C510" i="10"/>
  <c r="A510" i="10"/>
  <c r="B510" i="10" s="1"/>
  <c r="E509" i="10"/>
  <c r="D509" i="10"/>
  <c r="C509" i="10"/>
  <c r="A509" i="10"/>
  <c r="B509" i="10" s="1"/>
  <c r="E508" i="10"/>
  <c r="D508" i="10"/>
  <c r="C508" i="10"/>
  <c r="B508" i="10"/>
  <c r="A508" i="10"/>
  <c r="E507" i="10"/>
  <c r="D507" i="10"/>
  <c r="C507" i="10"/>
  <c r="B507" i="10"/>
  <c r="A507" i="10"/>
  <c r="E506" i="10"/>
  <c r="D506" i="10"/>
  <c r="C506" i="10"/>
  <c r="B506" i="10"/>
  <c r="A506" i="10"/>
  <c r="E505" i="10"/>
  <c r="D505" i="10"/>
  <c r="C505" i="10"/>
  <c r="B505" i="10"/>
  <c r="A505" i="10"/>
  <c r="E504" i="10"/>
  <c r="D504" i="10"/>
  <c r="C504" i="10"/>
  <c r="A504" i="10"/>
  <c r="B504" i="10" s="1"/>
  <c r="E503" i="10"/>
  <c r="D503" i="10"/>
  <c r="C503" i="10"/>
  <c r="A503" i="10"/>
  <c r="B503" i="10" s="1"/>
  <c r="E502" i="10"/>
  <c r="D502" i="10"/>
  <c r="C502" i="10"/>
  <c r="A502" i="10"/>
  <c r="B502" i="10" s="1"/>
  <c r="E501" i="10"/>
  <c r="D501" i="10"/>
  <c r="C501" i="10"/>
  <c r="A501" i="10"/>
  <c r="B501" i="10" s="1"/>
  <c r="E500" i="10"/>
  <c r="D500" i="10"/>
  <c r="C500" i="10"/>
  <c r="B500" i="10"/>
  <c r="A500" i="10"/>
  <c r="E499" i="10"/>
  <c r="D499" i="10"/>
  <c r="C499" i="10"/>
  <c r="B499" i="10"/>
  <c r="A499" i="10"/>
  <c r="E498" i="10"/>
  <c r="D498" i="10"/>
  <c r="C498" i="10"/>
  <c r="A498" i="10"/>
  <c r="B498" i="10" s="1"/>
  <c r="E497" i="10"/>
  <c r="D497" i="10"/>
  <c r="C497" i="10"/>
  <c r="B497" i="10"/>
  <c r="A497" i="10"/>
  <c r="E496" i="10"/>
  <c r="D496" i="10"/>
  <c r="C496" i="10"/>
  <c r="B496" i="10"/>
  <c r="A496" i="10"/>
  <c r="E495" i="10"/>
  <c r="D495" i="10"/>
  <c r="C495" i="10"/>
  <c r="A495" i="10"/>
  <c r="B495" i="10" s="1"/>
  <c r="E494" i="10"/>
  <c r="D494" i="10"/>
  <c r="C494" i="10"/>
  <c r="A494" i="10"/>
  <c r="B494" i="10" s="1"/>
  <c r="E493" i="10"/>
  <c r="D493" i="10"/>
  <c r="C493" i="10"/>
  <c r="B493" i="10"/>
  <c r="A493" i="10"/>
  <c r="E492" i="10"/>
  <c r="D492" i="10"/>
  <c r="C492" i="10"/>
  <c r="B492" i="10"/>
  <c r="A492" i="10"/>
  <c r="E491" i="10"/>
  <c r="D491" i="10"/>
  <c r="C491" i="10"/>
  <c r="B491" i="10"/>
  <c r="A491" i="10"/>
  <c r="E490" i="10"/>
  <c r="D490" i="10"/>
  <c r="C490" i="10"/>
  <c r="A490" i="10"/>
  <c r="B490" i="10" s="1"/>
  <c r="E489" i="10"/>
  <c r="D489" i="10"/>
  <c r="C489" i="10"/>
  <c r="A489" i="10"/>
  <c r="B489" i="10" s="1"/>
  <c r="E488" i="10"/>
  <c r="D488" i="10"/>
  <c r="C488" i="10"/>
  <c r="A488" i="10"/>
  <c r="B488" i="10" s="1"/>
  <c r="E487" i="10"/>
  <c r="D487" i="10"/>
  <c r="C487" i="10"/>
  <c r="A487" i="10"/>
  <c r="B487" i="10" s="1"/>
  <c r="E486" i="10"/>
  <c r="D486" i="10"/>
  <c r="C486" i="10"/>
  <c r="A486" i="10"/>
  <c r="B486" i="10" s="1"/>
  <c r="E485" i="10"/>
  <c r="D485" i="10"/>
  <c r="C485" i="10"/>
  <c r="B485" i="10"/>
  <c r="A485" i="10"/>
  <c r="E484" i="10"/>
  <c r="D484" i="10"/>
  <c r="C484" i="10"/>
  <c r="B484" i="10"/>
  <c r="A484" i="10"/>
  <c r="E483" i="10"/>
  <c r="D483" i="10"/>
  <c r="C483" i="10"/>
  <c r="B483" i="10"/>
  <c r="A483" i="10"/>
  <c r="E482" i="10"/>
  <c r="D482" i="10"/>
  <c r="C482" i="10"/>
  <c r="A482" i="10"/>
  <c r="B482" i="10" s="1"/>
  <c r="E481" i="10"/>
  <c r="D481" i="10"/>
  <c r="C481" i="10"/>
  <c r="A481" i="10"/>
  <c r="B481" i="10" s="1"/>
  <c r="E480" i="10"/>
  <c r="D480" i="10"/>
  <c r="C480" i="10"/>
  <c r="B480" i="10"/>
  <c r="A480" i="10"/>
  <c r="E479" i="10"/>
  <c r="D479" i="10"/>
  <c r="C479" i="10"/>
  <c r="A479" i="10"/>
  <c r="B479" i="10" s="1"/>
  <c r="E478" i="10"/>
  <c r="D478" i="10"/>
  <c r="C478" i="10"/>
  <c r="A478" i="10"/>
  <c r="B478" i="10" s="1"/>
  <c r="E477" i="10"/>
  <c r="D477" i="10"/>
  <c r="C477" i="10"/>
  <c r="A477" i="10"/>
  <c r="B477" i="10" s="1"/>
  <c r="E476" i="10"/>
  <c r="D476" i="10"/>
  <c r="C476" i="10"/>
  <c r="B476" i="10"/>
  <c r="A476" i="10"/>
  <c r="E475" i="10"/>
  <c r="D475" i="10"/>
  <c r="C475" i="10"/>
  <c r="B475" i="10"/>
  <c r="A475" i="10"/>
  <c r="E474" i="10"/>
  <c r="D474" i="10"/>
  <c r="C474" i="10"/>
  <c r="B474" i="10"/>
  <c r="A474" i="10"/>
  <c r="E473" i="10"/>
  <c r="D473" i="10"/>
  <c r="C473" i="10"/>
  <c r="B473" i="10"/>
  <c r="A473" i="10"/>
  <c r="E472" i="10"/>
  <c r="D472" i="10"/>
  <c r="C472" i="10"/>
  <c r="A472" i="10"/>
  <c r="B472" i="10" s="1"/>
  <c r="E471" i="10"/>
  <c r="D471" i="10"/>
  <c r="C471" i="10"/>
  <c r="A471" i="10"/>
  <c r="B471" i="10" s="1"/>
  <c r="E470" i="10"/>
  <c r="D470" i="10"/>
  <c r="C470" i="10"/>
  <c r="A470" i="10"/>
  <c r="B470" i="10" s="1"/>
  <c r="E469" i="10"/>
  <c r="D469" i="10"/>
  <c r="C469" i="10"/>
  <c r="A469" i="10"/>
  <c r="B469" i="10" s="1"/>
  <c r="E468" i="10"/>
  <c r="D468" i="10"/>
  <c r="C468" i="10"/>
  <c r="B468" i="10"/>
  <c r="A468" i="10"/>
  <c r="E467" i="10"/>
  <c r="D467" i="10"/>
  <c r="C467" i="10"/>
  <c r="B467" i="10"/>
  <c r="A467" i="10"/>
  <c r="E466" i="10"/>
  <c r="D466" i="10"/>
  <c r="C466" i="10"/>
  <c r="A466" i="10"/>
  <c r="B466" i="10" s="1"/>
  <c r="E465" i="10"/>
  <c r="D465" i="10"/>
  <c r="C465" i="10"/>
  <c r="A465" i="10"/>
  <c r="B465" i="10" s="1"/>
  <c r="E464" i="10"/>
  <c r="D464" i="10"/>
  <c r="C464" i="10"/>
  <c r="B464" i="10"/>
  <c r="A464" i="10"/>
  <c r="E463" i="10"/>
  <c r="D463" i="10"/>
  <c r="C463" i="10"/>
  <c r="A463" i="10"/>
  <c r="B463" i="10" s="1"/>
  <c r="E462" i="10"/>
  <c r="D462" i="10"/>
  <c r="C462" i="10"/>
  <c r="A462" i="10"/>
  <c r="B462" i="10" s="1"/>
  <c r="E461" i="10"/>
  <c r="D461" i="10"/>
  <c r="C461" i="10"/>
  <c r="B461" i="10"/>
  <c r="A461" i="10"/>
  <c r="E460" i="10"/>
  <c r="D460" i="10"/>
  <c r="C460" i="10"/>
  <c r="B460" i="10"/>
  <c r="A460" i="10"/>
  <c r="E459" i="10"/>
  <c r="D459" i="10"/>
  <c r="C459" i="10"/>
  <c r="B459" i="10"/>
  <c r="A459" i="10"/>
  <c r="E458" i="10"/>
  <c r="D458" i="10"/>
  <c r="C458" i="10"/>
  <c r="A458" i="10"/>
  <c r="B458" i="10" s="1"/>
  <c r="E457" i="10"/>
  <c r="D457" i="10"/>
  <c r="C457" i="10"/>
  <c r="A457" i="10"/>
  <c r="B457" i="10" s="1"/>
  <c r="E456" i="10"/>
  <c r="D456" i="10"/>
  <c r="C456" i="10"/>
  <c r="A456" i="10"/>
  <c r="B456" i="10" s="1"/>
  <c r="E455" i="10"/>
  <c r="D455" i="10"/>
  <c r="C455" i="10"/>
  <c r="A455" i="10"/>
  <c r="B455" i="10" s="1"/>
  <c r="E454" i="10"/>
  <c r="D454" i="10"/>
  <c r="C454" i="10"/>
  <c r="A454" i="10"/>
  <c r="B454" i="10" s="1"/>
  <c r="E453" i="10"/>
  <c r="D453" i="10"/>
  <c r="C453" i="10"/>
  <c r="B453" i="10"/>
  <c r="A453" i="10"/>
  <c r="E452" i="10"/>
  <c r="D452" i="10"/>
  <c r="C452" i="10"/>
  <c r="B452" i="10"/>
  <c r="A452" i="10"/>
  <c r="E451" i="10"/>
  <c r="D451" i="10"/>
  <c r="C451" i="10"/>
  <c r="B451" i="10"/>
  <c r="A451" i="10"/>
  <c r="E450" i="10"/>
  <c r="D450" i="10"/>
  <c r="C450" i="10"/>
  <c r="A450" i="10"/>
  <c r="B450" i="10" s="1"/>
  <c r="E449" i="10"/>
  <c r="D449" i="10"/>
  <c r="C449" i="10"/>
  <c r="A449" i="10"/>
  <c r="B449" i="10" s="1"/>
  <c r="E448" i="10"/>
  <c r="D448" i="10"/>
  <c r="C448" i="10"/>
  <c r="B448" i="10"/>
  <c r="A448" i="10"/>
  <c r="E447" i="10"/>
  <c r="D447" i="10"/>
  <c r="C447" i="10"/>
  <c r="A447" i="10"/>
  <c r="B447" i="10" s="1"/>
  <c r="E446" i="10"/>
  <c r="D446" i="10"/>
  <c r="C446" i="10"/>
  <c r="A446" i="10"/>
  <c r="B446" i="10" s="1"/>
  <c r="E445" i="10"/>
  <c r="D445" i="10"/>
  <c r="C445" i="10"/>
  <c r="A445" i="10"/>
  <c r="B445" i="10" s="1"/>
  <c r="E444" i="10"/>
  <c r="D444" i="10"/>
  <c r="C444" i="10"/>
  <c r="B444" i="10"/>
  <c r="A444" i="10"/>
  <c r="E443" i="10"/>
  <c r="D443" i="10"/>
  <c r="C443" i="10"/>
  <c r="B443" i="10"/>
  <c r="A443" i="10"/>
  <c r="E442" i="10"/>
  <c r="D442" i="10"/>
  <c r="C442" i="10"/>
  <c r="B442" i="10"/>
  <c r="A442" i="10"/>
  <c r="E441" i="10"/>
  <c r="D441" i="10"/>
  <c r="C441" i="10"/>
  <c r="B441" i="10"/>
  <c r="A441" i="10"/>
  <c r="E440" i="10"/>
  <c r="D440" i="10"/>
  <c r="C440" i="10"/>
  <c r="A440" i="10"/>
  <c r="B440" i="10" s="1"/>
  <c r="E439" i="10"/>
  <c r="D439" i="10"/>
  <c r="C439" i="10"/>
  <c r="A439" i="10"/>
  <c r="B439" i="10" s="1"/>
  <c r="E438" i="10"/>
  <c r="D438" i="10"/>
  <c r="C438" i="10"/>
  <c r="A438" i="10"/>
  <c r="B438" i="10" s="1"/>
  <c r="E437" i="10"/>
  <c r="D437" i="10"/>
  <c r="C437" i="10"/>
  <c r="A437" i="10"/>
  <c r="B437" i="10" s="1"/>
  <c r="E436" i="10"/>
  <c r="D436" i="10"/>
  <c r="C436" i="10"/>
  <c r="B436" i="10"/>
  <c r="A436" i="10"/>
  <c r="E435" i="10"/>
  <c r="D435" i="10"/>
  <c r="C435" i="10"/>
  <c r="B435" i="10"/>
  <c r="A435" i="10"/>
  <c r="E434" i="10"/>
  <c r="D434" i="10"/>
  <c r="C434" i="10"/>
  <c r="A434" i="10"/>
  <c r="B434" i="10" s="1"/>
  <c r="E433" i="10"/>
  <c r="D433" i="10"/>
  <c r="C433" i="10"/>
  <c r="B433" i="10"/>
  <c r="A433" i="10"/>
  <c r="E432" i="10"/>
  <c r="D432" i="10"/>
  <c r="C432" i="10"/>
  <c r="B432" i="10"/>
  <c r="A432" i="10"/>
  <c r="E431" i="10"/>
  <c r="D431" i="10"/>
  <c r="C431" i="10"/>
  <c r="A431" i="10"/>
  <c r="B431" i="10" s="1"/>
  <c r="E430" i="10"/>
  <c r="D430" i="10"/>
  <c r="C430" i="10"/>
  <c r="A430" i="10"/>
  <c r="B430" i="10" s="1"/>
  <c r="E429" i="10"/>
  <c r="D429" i="10"/>
  <c r="C429" i="10"/>
  <c r="B429" i="10"/>
  <c r="A429" i="10"/>
  <c r="E428" i="10"/>
  <c r="D428" i="10"/>
  <c r="C428" i="10"/>
  <c r="B428" i="10"/>
  <c r="A428" i="10"/>
  <c r="E427" i="10"/>
  <c r="D427" i="10"/>
  <c r="C427" i="10"/>
  <c r="B427" i="10"/>
  <c r="A427" i="10"/>
  <c r="E426" i="10"/>
  <c r="D426" i="10"/>
  <c r="C426" i="10"/>
  <c r="A426" i="10"/>
  <c r="B426" i="10" s="1"/>
  <c r="E425" i="10"/>
  <c r="D425" i="10"/>
  <c r="C425" i="10"/>
  <c r="A425" i="10"/>
  <c r="B425" i="10" s="1"/>
  <c r="E424" i="10"/>
  <c r="D424" i="10"/>
  <c r="C424" i="10"/>
  <c r="A424" i="10"/>
  <c r="B424" i="10" s="1"/>
  <c r="E423" i="10"/>
  <c r="D423" i="10"/>
  <c r="C423" i="10"/>
  <c r="A423" i="10"/>
  <c r="B423" i="10" s="1"/>
  <c r="E422" i="10"/>
  <c r="D422" i="10"/>
  <c r="C422" i="10"/>
  <c r="A422" i="10"/>
  <c r="B422" i="10" s="1"/>
  <c r="E421" i="10"/>
  <c r="D421" i="10"/>
  <c r="C421" i="10"/>
  <c r="B421" i="10"/>
  <c r="A421" i="10"/>
  <c r="E420" i="10"/>
  <c r="D420" i="10"/>
  <c r="C420" i="10"/>
  <c r="B420" i="10"/>
  <c r="A420" i="10"/>
  <c r="E419" i="10"/>
  <c r="D419" i="10"/>
  <c r="C419" i="10"/>
  <c r="B419" i="10"/>
  <c r="A419" i="10"/>
  <c r="E418" i="10"/>
  <c r="D418" i="10"/>
  <c r="C418" i="10"/>
  <c r="A418" i="10"/>
  <c r="B418" i="10" s="1"/>
  <c r="E417" i="10"/>
  <c r="D417" i="10"/>
  <c r="C417" i="10"/>
  <c r="A417" i="10"/>
  <c r="B417" i="10" s="1"/>
  <c r="E416" i="10"/>
  <c r="D416" i="10"/>
  <c r="C416" i="10"/>
  <c r="B416" i="10"/>
  <c r="A416" i="10"/>
  <c r="E415" i="10"/>
  <c r="D415" i="10"/>
  <c r="C415" i="10"/>
  <c r="A415" i="10"/>
  <c r="B415" i="10" s="1"/>
  <c r="E414" i="10"/>
  <c r="D414" i="10"/>
  <c r="C414" i="10"/>
  <c r="A414" i="10"/>
  <c r="B414" i="10" s="1"/>
  <c r="E413" i="10"/>
  <c r="D413" i="10"/>
  <c r="C413" i="10"/>
  <c r="A413" i="10"/>
  <c r="B413" i="10" s="1"/>
  <c r="E412" i="10"/>
  <c r="D412" i="10"/>
  <c r="C412" i="10"/>
  <c r="B412" i="10"/>
  <c r="A412" i="10"/>
  <c r="E411" i="10"/>
  <c r="D411" i="10"/>
  <c r="C411" i="10"/>
  <c r="B411" i="10"/>
  <c r="A411" i="10"/>
  <c r="E410" i="10"/>
  <c r="D410" i="10"/>
  <c r="C410" i="10"/>
  <c r="B410" i="10"/>
  <c r="A410" i="10"/>
  <c r="E409" i="10"/>
  <c r="D409" i="10"/>
  <c r="C409" i="10"/>
  <c r="B409" i="10"/>
  <c r="A409" i="10"/>
  <c r="E408" i="10"/>
  <c r="D408" i="10"/>
  <c r="C408" i="10"/>
  <c r="A408" i="10"/>
  <c r="B408" i="10" s="1"/>
  <c r="E407" i="10"/>
  <c r="D407" i="10"/>
  <c r="C407" i="10"/>
  <c r="A407" i="10"/>
  <c r="B407" i="10" s="1"/>
  <c r="E406" i="10"/>
  <c r="D406" i="10"/>
  <c r="C406" i="10"/>
  <c r="A406" i="10"/>
  <c r="B406" i="10" s="1"/>
  <c r="E405" i="10"/>
  <c r="D405" i="10"/>
  <c r="C405" i="10"/>
  <c r="B405" i="10"/>
  <c r="A405" i="10"/>
  <c r="E404" i="10"/>
  <c r="D404" i="10"/>
  <c r="C404" i="10"/>
  <c r="B404" i="10"/>
  <c r="A404" i="10"/>
  <c r="E403" i="10"/>
  <c r="D403" i="10"/>
  <c r="C403" i="10"/>
  <c r="B403" i="10"/>
  <c r="A403" i="10"/>
  <c r="E402" i="10"/>
  <c r="D402" i="10"/>
  <c r="C402" i="10"/>
  <c r="A402" i="10"/>
  <c r="B402" i="10" s="1"/>
  <c r="E401" i="10"/>
  <c r="D401" i="10"/>
  <c r="C401" i="10"/>
  <c r="B401" i="10"/>
  <c r="A401" i="10"/>
  <c r="E400" i="10"/>
  <c r="D400" i="10"/>
  <c r="C400" i="10"/>
  <c r="B400" i="10"/>
  <c r="A400" i="10"/>
  <c r="E399" i="10"/>
  <c r="D399" i="10"/>
  <c r="C399" i="10"/>
  <c r="A399" i="10"/>
  <c r="B399" i="10" s="1"/>
  <c r="E398" i="10"/>
  <c r="D398" i="10"/>
  <c r="C398" i="10"/>
  <c r="A398" i="10"/>
  <c r="B398" i="10" s="1"/>
  <c r="E397" i="10"/>
  <c r="D397" i="10"/>
  <c r="C397" i="10"/>
  <c r="B397" i="10"/>
  <c r="A397" i="10"/>
  <c r="E396" i="10"/>
  <c r="D396" i="10"/>
  <c r="C396" i="10"/>
  <c r="B396" i="10"/>
  <c r="A396" i="10"/>
  <c r="E395" i="10"/>
  <c r="D395" i="10"/>
  <c r="C395" i="10"/>
  <c r="B395" i="10"/>
  <c r="A395" i="10"/>
  <c r="E394" i="10"/>
  <c r="D394" i="10"/>
  <c r="C394" i="10"/>
  <c r="A394" i="10"/>
  <c r="B394" i="10" s="1"/>
  <c r="E393" i="10"/>
  <c r="D393" i="10"/>
  <c r="C393" i="10"/>
  <c r="A393" i="10"/>
  <c r="B393" i="10" s="1"/>
  <c r="E392" i="10"/>
  <c r="D392" i="10"/>
  <c r="C392" i="10"/>
  <c r="A392" i="10"/>
  <c r="B392" i="10" s="1"/>
  <c r="E391" i="10"/>
  <c r="D391" i="10"/>
  <c r="C391" i="10"/>
  <c r="A391" i="10"/>
  <c r="B391" i="10" s="1"/>
  <c r="E390" i="10"/>
  <c r="D390" i="10"/>
  <c r="C390" i="10"/>
  <c r="A390" i="10"/>
  <c r="B390" i="10" s="1"/>
  <c r="E389" i="10"/>
  <c r="D389" i="10"/>
  <c r="C389" i="10"/>
  <c r="B389" i="10"/>
  <c r="A389" i="10"/>
  <c r="E388" i="10"/>
  <c r="D388" i="10"/>
  <c r="C388" i="10"/>
  <c r="B388" i="10"/>
  <c r="A388" i="10"/>
  <c r="E387" i="10"/>
  <c r="D387" i="10"/>
  <c r="C387" i="10"/>
  <c r="B387" i="10"/>
  <c r="A387" i="10"/>
  <c r="E386" i="10"/>
  <c r="D386" i="10"/>
  <c r="C386" i="10"/>
  <c r="A386" i="10"/>
  <c r="B386" i="10" s="1"/>
  <c r="E385" i="10"/>
  <c r="D385" i="10"/>
  <c r="C385" i="10"/>
  <c r="A385" i="10"/>
  <c r="B385" i="10" s="1"/>
  <c r="E384" i="10"/>
  <c r="D384" i="10"/>
  <c r="C384" i="10"/>
  <c r="B384" i="10"/>
  <c r="A384" i="10"/>
  <c r="E383" i="10"/>
  <c r="D383" i="10"/>
  <c r="C383" i="10"/>
  <c r="A383" i="10"/>
  <c r="B383" i="10" s="1"/>
  <c r="E382" i="10"/>
  <c r="D382" i="10"/>
  <c r="C382" i="10"/>
  <c r="A382" i="10"/>
  <c r="B382" i="10" s="1"/>
  <c r="E381" i="10"/>
  <c r="D381" i="10"/>
  <c r="C381" i="10"/>
  <c r="A381" i="10"/>
  <c r="B381" i="10" s="1"/>
  <c r="E380" i="10"/>
  <c r="D380" i="10"/>
  <c r="C380" i="10"/>
  <c r="B380" i="10"/>
  <c r="A380" i="10"/>
  <c r="E379" i="10"/>
  <c r="D379" i="10"/>
  <c r="C379" i="10"/>
  <c r="B379" i="10"/>
  <c r="A379" i="10"/>
  <c r="E378" i="10"/>
  <c r="D378" i="10"/>
  <c r="C378" i="10"/>
  <c r="B378" i="10"/>
  <c r="A378" i="10"/>
  <c r="E377" i="10"/>
  <c r="D377" i="10"/>
  <c r="C377" i="10"/>
  <c r="B377" i="10"/>
  <c r="A377" i="10"/>
  <c r="E376" i="10"/>
  <c r="D376" i="10"/>
  <c r="C376" i="10"/>
  <c r="A376" i="10"/>
  <c r="B376" i="10" s="1"/>
  <c r="E375" i="10"/>
  <c r="D375" i="10"/>
  <c r="C375" i="10"/>
  <c r="A375" i="10"/>
  <c r="B375" i="10" s="1"/>
  <c r="E374" i="10"/>
  <c r="D374" i="10"/>
  <c r="C374" i="10"/>
  <c r="A374" i="10"/>
  <c r="B374" i="10" s="1"/>
  <c r="E373" i="10"/>
  <c r="D373" i="10"/>
  <c r="C373" i="10"/>
  <c r="A373" i="10"/>
  <c r="B373" i="10" s="1"/>
  <c r="E372" i="10"/>
  <c r="D372" i="10"/>
  <c r="C372" i="10"/>
  <c r="B372" i="10"/>
  <c r="A372" i="10"/>
  <c r="E371" i="10"/>
  <c r="D371" i="10"/>
  <c r="C371" i="10"/>
  <c r="B371" i="10"/>
  <c r="A371" i="10"/>
  <c r="E370" i="10"/>
  <c r="D370" i="10"/>
  <c r="C370" i="10"/>
  <c r="A370" i="10"/>
  <c r="B370" i="10" s="1"/>
  <c r="E369" i="10"/>
  <c r="D369" i="10"/>
  <c r="C369" i="10"/>
  <c r="B369" i="10"/>
  <c r="A369" i="10"/>
  <c r="E368" i="10"/>
  <c r="D368" i="10"/>
  <c r="C368" i="10"/>
  <c r="B368" i="10"/>
  <c r="A368" i="10"/>
  <c r="E367" i="10"/>
  <c r="D367" i="10"/>
  <c r="C367" i="10"/>
  <c r="A367" i="10"/>
  <c r="B367" i="10" s="1"/>
  <c r="E366" i="10"/>
  <c r="D366" i="10"/>
  <c r="C366" i="10"/>
  <c r="A366" i="10"/>
  <c r="B366" i="10" s="1"/>
  <c r="E365" i="10"/>
  <c r="D365" i="10"/>
  <c r="C365" i="10"/>
  <c r="B365" i="10"/>
  <c r="A365" i="10"/>
  <c r="E364" i="10"/>
  <c r="D364" i="10"/>
  <c r="C364" i="10"/>
  <c r="B364" i="10"/>
  <c r="A364" i="10"/>
  <c r="E363" i="10"/>
  <c r="D363" i="10"/>
  <c r="C363" i="10"/>
  <c r="B363" i="10"/>
  <c r="A363" i="10"/>
  <c r="E362" i="10"/>
  <c r="D362" i="10"/>
  <c r="C362" i="10"/>
  <c r="A362" i="10"/>
  <c r="B362" i="10" s="1"/>
  <c r="E361" i="10"/>
  <c r="D361" i="10"/>
  <c r="C361" i="10"/>
  <c r="A361" i="10"/>
  <c r="B361" i="10" s="1"/>
  <c r="E360" i="10"/>
  <c r="D360" i="10"/>
  <c r="C360" i="10"/>
  <c r="A360" i="10"/>
  <c r="B360" i="10" s="1"/>
  <c r="E359" i="10"/>
  <c r="D359" i="10"/>
  <c r="C359" i="10"/>
  <c r="A359" i="10"/>
  <c r="B359" i="10" s="1"/>
  <c r="E358" i="10"/>
  <c r="D358" i="10"/>
  <c r="C358" i="10"/>
  <c r="A358" i="10"/>
  <c r="B358" i="10" s="1"/>
  <c r="E357" i="10"/>
  <c r="D357" i="10"/>
  <c r="C357" i="10"/>
  <c r="B357" i="10"/>
  <c r="A357" i="10"/>
  <c r="E356" i="10"/>
  <c r="D356" i="10"/>
  <c r="C356" i="10"/>
  <c r="B356" i="10"/>
  <c r="A356" i="10"/>
  <c r="E355" i="10"/>
  <c r="D355" i="10"/>
  <c r="C355" i="10"/>
  <c r="B355" i="10"/>
  <c r="A355" i="10"/>
  <c r="E354" i="10"/>
  <c r="D354" i="10"/>
  <c r="C354" i="10"/>
  <c r="A354" i="10"/>
  <c r="B354" i="10" s="1"/>
  <c r="E353" i="10"/>
  <c r="D353" i="10"/>
  <c r="C353" i="10"/>
  <c r="A353" i="10"/>
  <c r="B353" i="10" s="1"/>
  <c r="E352" i="10"/>
  <c r="D352" i="10"/>
  <c r="C352" i="10"/>
  <c r="B352" i="10"/>
  <c r="A352" i="10"/>
  <c r="E351" i="10"/>
  <c r="D351" i="10"/>
  <c r="C351" i="10"/>
  <c r="A351" i="10"/>
  <c r="B351" i="10" s="1"/>
  <c r="E350" i="10"/>
  <c r="D350" i="10"/>
  <c r="C350" i="10"/>
  <c r="A350" i="10"/>
  <c r="B350" i="10" s="1"/>
  <c r="E349" i="10"/>
  <c r="D349" i="10"/>
  <c r="C349" i="10"/>
  <c r="A349" i="10"/>
  <c r="B349" i="10" s="1"/>
  <c r="E348" i="10"/>
  <c r="D348" i="10"/>
  <c r="C348" i="10"/>
  <c r="B348" i="10"/>
  <c r="A348" i="10"/>
  <c r="E347" i="10"/>
  <c r="D347" i="10"/>
  <c r="C347" i="10"/>
  <c r="B347" i="10"/>
  <c r="A347" i="10"/>
  <c r="E346" i="10"/>
  <c r="D346" i="10"/>
  <c r="C346" i="10"/>
  <c r="B346" i="10"/>
  <c r="A346" i="10"/>
  <c r="E345" i="10"/>
  <c r="D345" i="10"/>
  <c r="C345" i="10"/>
  <c r="B345" i="10"/>
  <c r="A345" i="10"/>
  <c r="E344" i="10"/>
  <c r="D344" i="10"/>
  <c r="C344" i="10"/>
  <c r="A344" i="10"/>
  <c r="B344" i="10" s="1"/>
  <c r="E343" i="10"/>
  <c r="D343" i="10"/>
  <c r="C343" i="10"/>
  <c r="A343" i="10"/>
  <c r="B343" i="10" s="1"/>
  <c r="E342" i="10"/>
  <c r="D342" i="10"/>
  <c r="C342" i="10"/>
  <c r="A342" i="10"/>
  <c r="B342" i="10" s="1"/>
  <c r="E341" i="10"/>
  <c r="D341" i="10"/>
  <c r="C341" i="10"/>
  <c r="A341" i="10"/>
  <c r="B341" i="10" s="1"/>
  <c r="E340" i="10"/>
  <c r="D340" i="10"/>
  <c r="C340" i="10"/>
  <c r="B340" i="10"/>
  <c r="A340" i="10"/>
  <c r="E339" i="10"/>
  <c r="D339" i="10"/>
  <c r="C339" i="10"/>
  <c r="B339" i="10"/>
  <c r="A339" i="10"/>
  <c r="E338" i="10"/>
  <c r="D338" i="10"/>
  <c r="C338" i="10"/>
  <c r="A338" i="10"/>
  <c r="B338" i="10" s="1"/>
  <c r="E337" i="10"/>
  <c r="D337" i="10"/>
  <c r="C337" i="10"/>
  <c r="B337" i="10"/>
  <c r="A337" i="10"/>
  <c r="E336" i="10"/>
  <c r="D336" i="10"/>
  <c r="C336" i="10"/>
  <c r="B336" i="10"/>
  <c r="A336" i="10"/>
  <c r="E335" i="10"/>
  <c r="D335" i="10"/>
  <c r="C335" i="10"/>
  <c r="A335" i="10"/>
  <c r="B335" i="10" s="1"/>
  <c r="E334" i="10"/>
  <c r="D334" i="10"/>
  <c r="C334" i="10"/>
  <c r="A334" i="10"/>
  <c r="B334" i="10" s="1"/>
  <c r="E333" i="10"/>
  <c r="D333" i="10"/>
  <c r="C333" i="10"/>
  <c r="B333" i="10"/>
  <c r="A333" i="10"/>
  <c r="E332" i="10"/>
  <c r="D332" i="10"/>
  <c r="C332" i="10"/>
  <c r="B332" i="10"/>
  <c r="A332" i="10"/>
  <c r="E331" i="10"/>
  <c r="D331" i="10"/>
  <c r="C331" i="10"/>
  <c r="B331" i="10"/>
  <c r="A331" i="10"/>
  <c r="E330" i="10"/>
  <c r="D330" i="10"/>
  <c r="C330" i="10"/>
  <c r="A330" i="10"/>
  <c r="B330" i="10" s="1"/>
  <c r="E329" i="10"/>
  <c r="D329" i="10"/>
  <c r="C329" i="10"/>
  <c r="A329" i="10"/>
  <c r="B329" i="10" s="1"/>
  <c r="E328" i="10"/>
  <c r="D328" i="10"/>
  <c r="C328" i="10"/>
  <c r="A328" i="10"/>
  <c r="B328" i="10" s="1"/>
  <c r="E327" i="10"/>
  <c r="D327" i="10"/>
  <c r="C327" i="10"/>
  <c r="A327" i="10"/>
  <c r="B327" i="10" s="1"/>
  <c r="E326" i="10"/>
  <c r="D326" i="10"/>
  <c r="C326" i="10"/>
  <c r="A326" i="10"/>
  <c r="B326" i="10" s="1"/>
  <c r="E325" i="10"/>
  <c r="D325" i="10"/>
  <c r="C325" i="10"/>
  <c r="B325" i="10"/>
  <c r="A325" i="10"/>
  <c r="E324" i="10"/>
  <c r="D324" i="10"/>
  <c r="C324" i="10"/>
  <c r="B324" i="10"/>
  <c r="A324" i="10"/>
  <c r="E323" i="10"/>
  <c r="D323" i="10"/>
  <c r="C323" i="10"/>
  <c r="B323" i="10"/>
  <c r="A323" i="10"/>
  <c r="E322" i="10"/>
  <c r="D322" i="10"/>
  <c r="C322" i="10"/>
  <c r="A322" i="10"/>
  <c r="B322" i="10" s="1"/>
  <c r="E321" i="10"/>
  <c r="D321" i="10"/>
  <c r="C321" i="10"/>
  <c r="A321" i="10"/>
  <c r="B321" i="10" s="1"/>
  <c r="E320" i="10"/>
  <c r="D320" i="10"/>
  <c r="C320" i="10"/>
  <c r="B320" i="10"/>
  <c r="A320" i="10"/>
  <c r="E319" i="10"/>
  <c r="D319" i="10"/>
  <c r="C319" i="10"/>
  <c r="A319" i="10"/>
  <c r="B319" i="10" s="1"/>
  <c r="E318" i="10"/>
  <c r="D318" i="10"/>
  <c r="C318" i="10"/>
  <c r="A318" i="10"/>
  <c r="B318" i="10" s="1"/>
  <c r="E317" i="10"/>
  <c r="D317" i="10"/>
  <c r="C317" i="10"/>
  <c r="A317" i="10"/>
  <c r="B317" i="10" s="1"/>
  <c r="E316" i="10"/>
  <c r="D316" i="10"/>
  <c r="C316" i="10"/>
  <c r="B316" i="10"/>
  <c r="A316" i="10"/>
  <c r="E315" i="10"/>
  <c r="D315" i="10"/>
  <c r="C315" i="10"/>
  <c r="B315" i="10"/>
  <c r="A315" i="10"/>
  <c r="E314" i="10"/>
  <c r="D314" i="10"/>
  <c r="C314" i="10"/>
  <c r="B314" i="10"/>
  <c r="A314" i="10"/>
  <c r="E313" i="10"/>
  <c r="D313" i="10"/>
  <c r="C313" i="10"/>
  <c r="B313" i="10"/>
  <c r="A313" i="10"/>
  <c r="E312" i="10"/>
  <c r="D312" i="10"/>
  <c r="C312" i="10"/>
  <c r="A312" i="10"/>
  <c r="B312" i="10" s="1"/>
  <c r="E311" i="10"/>
  <c r="D311" i="10"/>
  <c r="C311" i="10"/>
  <c r="A311" i="10"/>
  <c r="B311" i="10" s="1"/>
  <c r="E310" i="10"/>
  <c r="D310" i="10"/>
  <c r="C310" i="10"/>
  <c r="A310" i="10"/>
  <c r="B310" i="10" s="1"/>
  <c r="E309" i="10"/>
  <c r="D309" i="10"/>
  <c r="C309" i="10"/>
  <c r="A309" i="10"/>
  <c r="B309" i="10" s="1"/>
  <c r="E308" i="10"/>
  <c r="D308" i="10"/>
  <c r="C308" i="10"/>
  <c r="B308" i="10"/>
  <c r="A308" i="10"/>
  <c r="E307" i="10"/>
  <c r="D307" i="10"/>
  <c r="C307" i="10"/>
  <c r="B307" i="10"/>
  <c r="A307" i="10"/>
  <c r="E306" i="10"/>
  <c r="D306" i="10"/>
  <c r="C306" i="10"/>
  <c r="A306" i="10"/>
  <c r="B306" i="10" s="1"/>
  <c r="E305" i="10"/>
  <c r="D305" i="10"/>
  <c r="C305" i="10"/>
  <c r="B305" i="10"/>
  <c r="A305" i="10"/>
  <c r="E304" i="10"/>
  <c r="D304" i="10"/>
  <c r="C304" i="10"/>
  <c r="B304" i="10"/>
  <c r="A304" i="10"/>
  <c r="E303" i="10"/>
  <c r="D303" i="10"/>
  <c r="C303" i="10"/>
  <c r="A303" i="10"/>
  <c r="B303" i="10" s="1"/>
  <c r="E302" i="10"/>
  <c r="D302" i="10"/>
  <c r="C302" i="10"/>
  <c r="A302" i="10"/>
  <c r="B302" i="10" s="1"/>
  <c r="E301" i="10"/>
  <c r="D301" i="10"/>
  <c r="C301" i="10"/>
  <c r="B301" i="10"/>
  <c r="A301" i="10"/>
  <c r="E300" i="10"/>
  <c r="D300" i="10"/>
  <c r="C300" i="10"/>
  <c r="B300" i="10"/>
  <c r="A300" i="10"/>
  <c r="E299" i="10"/>
  <c r="D299" i="10"/>
  <c r="C299" i="10"/>
  <c r="B299" i="10"/>
  <c r="A299" i="10"/>
  <c r="E298" i="10"/>
  <c r="D298" i="10"/>
  <c r="C298" i="10"/>
  <c r="A298" i="10"/>
  <c r="B298" i="10" s="1"/>
  <c r="E297" i="10"/>
  <c r="D297" i="10"/>
  <c r="C297" i="10"/>
  <c r="A297" i="10"/>
  <c r="B297" i="10" s="1"/>
  <c r="E296" i="10"/>
  <c r="D296" i="10"/>
  <c r="C296" i="10"/>
  <c r="A296" i="10"/>
  <c r="B296" i="10" s="1"/>
  <c r="E295" i="10"/>
  <c r="D295" i="10"/>
  <c r="C295" i="10"/>
  <c r="A295" i="10"/>
  <c r="B295" i="10" s="1"/>
  <c r="E294" i="10"/>
  <c r="D294" i="10"/>
  <c r="C294" i="10"/>
  <c r="A294" i="10"/>
  <c r="B294" i="10" s="1"/>
  <c r="E293" i="10"/>
  <c r="D293" i="10"/>
  <c r="C293" i="10"/>
  <c r="B293" i="10"/>
  <c r="A293" i="10"/>
  <c r="E292" i="10"/>
  <c r="D292" i="10"/>
  <c r="C292" i="10"/>
  <c r="B292" i="10"/>
  <c r="A292" i="10"/>
  <c r="E291" i="10"/>
  <c r="D291" i="10"/>
  <c r="C291" i="10"/>
  <c r="B291" i="10"/>
  <c r="A291" i="10"/>
  <c r="E290" i="10"/>
  <c r="D290" i="10"/>
  <c r="C290" i="10"/>
  <c r="A290" i="10"/>
  <c r="B290" i="10" s="1"/>
  <c r="E289" i="10"/>
  <c r="D289" i="10"/>
  <c r="C289" i="10"/>
  <c r="A289" i="10"/>
  <c r="B289" i="10" s="1"/>
  <c r="E288" i="10"/>
  <c r="D288" i="10"/>
  <c r="C288" i="10"/>
  <c r="A288" i="10"/>
  <c r="B288" i="10" s="1"/>
  <c r="E287" i="10"/>
  <c r="D287" i="10"/>
  <c r="C287" i="10"/>
  <c r="A287" i="10"/>
  <c r="B287" i="10" s="1"/>
  <c r="E286" i="10"/>
  <c r="D286" i="10"/>
  <c r="C286" i="10"/>
  <c r="A286" i="10"/>
  <c r="B286" i="10" s="1"/>
  <c r="E285" i="10"/>
  <c r="D285" i="10"/>
  <c r="C285" i="10"/>
  <c r="A285" i="10"/>
  <c r="B285" i="10" s="1"/>
  <c r="E284" i="10"/>
  <c r="D284" i="10"/>
  <c r="C284" i="10"/>
  <c r="B284" i="10"/>
  <c r="A284" i="10"/>
  <c r="E283" i="10"/>
  <c r="D283" i="10"/>
  <c r="C283" i="10"/>
  <c r="B283" i="10"/>
  <c r="A283" i="10"/>
  <c r="E282" i="10"/>
  <c r="D282" i="10"/>
  <c r="C282" i="10"/>
  <c r="B282" i="10"/>
  <c r="A282" i="10"/>
  <c r="E281" i="10"/>
  <c r="D281" i="10"/>
  <c r="C281" i="10"/>
  <c r="B281" i="10"/>
  <c r="A281" i="10"/>
  <c r="E280" i="10"/>
  <c r="D280" i="10"/>
  <c r="C280" i="10"/>
  <c r="A280" i="10"/>
  <c r="B280" i="10" s="1"/>
  <c r="E279" i="10"/>
  <c r="D279" i="10"/>
  <c r="C279" i="10"/>
  <c r="A279" i="10"/>
  <c r="B279" i="10" s="1"/>
  <c r="E278" i="10"/>
  <c r="D278" i="10"/>
  <c r="C278" i="10"/>
  <c r="A278" i="10"/>
  <c r="B278" i="10" s="1"/>
  <c r="E277" i="10"/>
  <c r="D277" i="10"/>
  <c r="C277" i="10"/>
  <c r="B277" i="10"/>
  <c r="A277" i="10"/>
  <c r="E276" i="10"/>
  <c r="D276" i="10"/>
  <c r="C276" i="10"/>
  <c r="B276" i="10"/>
  <c r="A276" i="10"/>
  <c r="E275" i="10"/>
  <c r="D275" i="10"/>
  <c r="C275" i="10"/>
  <c r="B275" i="10"/>
  <c r="A275" i="10"/>
  <c r="E274" i="10"/>
  <c r="D274" i="10"/>
  <c r="C274" i="10"/>
  <c r="A274" i="10"/>
  <c r="B274" i="10" s="1"/>
  <c r="E273" i="10"/>
  <c r="D273" i="10"/>
  <c r="C273" i="10"/>
  <c r="B273" i="10"/>
  <c r="A273" i="10"/>
  <c r="E272" i="10"/>
  <c r="D272" i="10"/>
  <c r="C272" i="10"/>
  <c r="B272" i="10"/>
  <c r="A272" i="10"/>
  <c r="E271" i="10"/>
  <c r="D271" i="10"/>
  <c r="C271" i="10"/>
  <c r="A271" i="10"/>
  <c r="B271" i="10" s="1"/>
  <c r="E270" i="10"/>
  <c r="D270" i="10"/>
  <c r="C270" i="10"/>
  <c r="A270" i="10"/>
  <c r="B270" i="10" s="1"/>
  <c r="E269" i="10"/>
  <c r="D269" i="10"/>
  <c r="C269" i="10"/>
  <c r="B269" i="10"/>
  <c r="A269" i="10"/>
  <c r="E268" i="10"/>
  <c r="D268" i="10"/>
  <c r="C268" i="10"/>
  <c r="B268" i="10"/>
  <c r="A268" i="10"/>
  <c r="E267" i="10"/>
  <c r="D267" i="10"/>
  <c r="C267" i="10"/>
  <c r="B267" i="10"/>
  <c r="A267" i="10"/>
  <c r="E266" i="10"/>
  <c r="D266" i="10"/>
  <c r="C266" i="10"/>
  <c r="A266" i="10"/>
  <c r="B266" i="10" s="1"/>
  <c r="E265" i="10"/>
  <c r="D265" i="10"/>
  <c r="C265" i="10"/>
  <c r="A265" i="10"/>
  <c r="B265" i="10" s="1"/>
  <c r="E264" i="10"/>
  <c r="D264" i="10"/>
  <c r="C264" i="10"/>
  <c r="A264" i="10"/>
  <c r="B264" i="10" s="1"/>
  <c r="E263" i="10"/>
  <c r="D263" i="10"/>
  <c r="C263" i="10"/>
  <c r="A263" i="10"/>
  <c r="B263" i="10" s="1"/>
  <c r="E262" i="10"/>
  <c r="D262" i="10"/>
  <c r="C262" i="10"/>
  <c r="A262" i="10"/>
  <c r="B262" i="10" s="1"/>
  <c r="E261" i="10"/>
  <c r="D261" i="10"/>
  <c r="C261" i="10"/>
  <c r="B261" i="10"/>
  <c r="A261" i="10"/>
  <c r="E260" i="10"/>
  <c r="D260" i="10"/>
  <c r="C260" i="10"/>
  <c r="B260" i="10"/>
  <c r="A260" i="10"/>
  <c r="E259" i="10"/>
  <c r="D259" i="10"/>
  <c r="C259" i="10"/>
  <c r="B259" i="10"/>
  <c r="A259" i="10"/>
  <c r="E258" i="10"/>
  <c r="D258" i="10"/>
  <c r="C258" i="10"/>
  <c r="A258" i="10"/>
  <c r="B258" i="10" s="1"/>
  <c r="E257" i="10"/>
  <c r="D257" i="10"/>
  <c r="C257" i="10"/>
  <c r="A257" i="10"/>
  <c r="B257" i="10" s="1"/>
  <c r="E256" i="10"/>
  <c r="D256" i="10"/>
  <c r="C256" i="10"/>
  <c r="B256" i="10"/>
  <c r="A256" i="10"/>
  <c r="E255" i="10"/>
  <c r="D255" i="10"/>
  <c r="C255" i="10"/>
  <c r="A255" i="10"/>
  <c r="B255" i="10" s="1"/>
  <c r="E254" i="10"/>
  <c r="D254" i="10"/>
  <c r="C254" i="10"/>
  <c r="A254" i="10"/>
  <c r="B254" i="10" s="1"/>
  <c r="E253" i="10"/>
  <c r="D253" i="10"/>
  <c r="C253" i="10"/>
  <c r="A253" i="10"/>
  <c r="B253" i="10" s="1"/>
  <c r="E252" i="10"/>
  <c r="D252" i="10"/>
  <c r="C252" i="10"/>
  <c r="B252" i="10"/>
  <c r="A252" i="10"/>
  <c r="E251" i="10"/>
  <c r="D251" i="10"/>
  <c r="C251" i="10"/>
  <c r="B251" i="10"/>
  <c r="A251" i="10"/>
  <c r="E250" i="10"/>
  <c r="D250" i="10"/>
  <c r="C250" i="10"/>
  <c r="B250" i="10"/>
  <c r="A250" i="10"/>
  <c r="E249" i="10"/>
  <c r="D249" i="10"/>
  <c r="C249" i="10"/>
  <c r="B249" i="10"/>
  <c r="A249" i="10"/>
  <c r="E248" i="10"/>
  <c r="D248" i="10"/>
  <c r="C248" i="10"/>
  <c r="A248" i="10"/>
  <c r="B248" i="10" s="1"/>
  <c r="E247" i="10"/>
  <c r="D247" i="10"/>
  <c r="C247" i="10"/>
  <c r="A247" i="10"/>
  <c r="B247" i="10" s="1"/>
  <c r="E246" i="10"/>
  <c r="D246" i="10"/>
  <c r="C246" i="10"/>
  <c r="A246" i="10"/>
  <c r="B246" i="10" s="1"/>
  <c r="E245" i="10"/>
  <c r="D245" i="10"/>
  <c r="C245" i="10"/>
  <c r="A245" i="10"/>
  <c r="B245" i="10" s="1"/>
  <c r="E244" i="10"/>
  <c r="D244" i="10"/>
  <c r="C244" i="10"/>
  <c r="B244" i="10"/>
  <c r="A244" i="10"/>
  <c r="E243" i="10"/>
  <c r="D243" i="10"/>
  <c r="C243" i="10"/>
  <c r="B243" i="10"/>
  <c r="A243" i="10"/>
  <c r="E242" i="10"/>
  <c r="D242" i="10"/>
  <c r="C242" i="10"/>
  <c r="A242" i="10"/>
  <c r="B242" i="10" s="1"/>
  <c r="E241" i="10"/>
  <c r="D241" i="10"/>
  <c r="C241" i="10"/>
  <c r="B241" i="10"/>
  <c r="A241" i="10"/>
  <c r="E240" i="10"/>
  <c r="D240" i="10"/>
  <c r="C240" i="10"/>
  <c r="B240" i="10"/>
  <c r="A240" i="10"/>
  <c r="E239" i="10"/>
  <c r="D239" i="10"/>
  <c r="C239" i="10"/>
  <c r="A239" i="10"/>
  <c r="B239" i="10" s="1"/>
  <c r="E238" i="10"/>
  <c r="D238" i="10"/>
  <c r="C238" i="10"/>
  <c r="A238" i="10"/>
  <c r="B238" i="10" s="1"/>
  <c r="E237" i="10"/>
  <c r="D237" i="10"/>
  <c r="C237" i="10"/>
  <c r="B237" i="10"/>
  <c r="A237" i="10"/>
  <c r="E236" i="10"/>
  <c r="D236" i="10"/>
  <c r="C236" i="10"/>
  <c r="B236" i="10"/>
  <c r="A236" i="10"/>
  <c r="E235" i="10"/>
  <c r="D235" i="10"/>
  <c r="C235" i="10"/>
  <c r="B235" i="10"/>
  <c r="A235" i="10"/>
  <c r="E234" i="10"/>
  <c r="D234" i="10"/>
  <c r="C234" i="10"/>
  <c r="A234" i="10"/>
  <c r="B234" i="10" s="1"/>
  <c r="E233" i="10"/>
  <c r="D233" i="10"/>
  <c r="C233" i="10"/>
  <c r="A233" i="10"/>
  <c r="B233" i="10" s="1"/>
  <c r="E232" i="10"/>
  <c r="D232" i="10"/>
  <c r="C232" i="10"/>
  <c r="A232" i="10"/>
  <c r="B232" i="10" s="1"/>
  <c r="E231" i="10"/>
  <c r="D231" i="10"/>
  <c r="C231" i="10"/>
  <c r="A231" i="10"/>
  <c r="B231" i="10" s="1"/>
  <c r="E230" i="10"/>
  <c r="D230" i="10"/>
  <c r="C230" i="10"/>
  <c r="A230" i="10"/>
  <c r="B230" i="10" s="1"/>
  <c r="E229" i="10"/>
  <c r="D229" i="10"/>
  <c r="C229" i="10"/>
  <c r="B229" i="10"/>
  <c r="A229" i="10"/>
  <c r="E228" i="10"/>
  <c r="D228" i="10"/>
  <c r="C228" i="10"/>
  <c r="B228" i="10"/>
  <c r="A228" i="10"/>
  <c r="E227" i="10"/>
  <c r="D227" i="10"/>
  <c r="C227" i="10"/>
  <c r="B227" i="10"/>
  <c r="A227" i="10"/>
  <c r="E226" i="10"/>
  <c r="D226" i="10"/>
  <c r="C226" i="10"/>
  <c r="A226" i="10"/>
  <c r="B226" i="10" s="1"/>
  <c r="E225" i="10"/>
  <c r="D225" i="10"/>
  <c r="C225" i="10"/>
  <c r="A225" i="10"/>
  <c r="B225" i="10" s="1"/>
  <c r="E224" i="10"/>
  <c r="D224" i="10"/>
  <c r="C224" i="10"/>
  <c r="B224" i="10"/>
  <c r="A224" i="10"/>
  <c r="E223" i="10"/>
  <c r="D223" i="10"/>
  <c r="C223" i="10"/>
  <c r="A223" i="10"/>
  <c r="B223" i="10" s="1"/>
  <c r="E222" i="10"/>
  <c r="D222" i="10"/>
  <c r="C222" i="10"/>
  <c r="A222" i="10"/>
  <c r="B222" i="10" s="1"/>
  <c r="E221" i="10"/>
  <c r="D221" i="10"/>
  <c r="C221" i="10"/>
  <c r="A221" i="10"/>
  <c r="B221" i="10" s="1"/>
  <c r="E220" i="10"/>
  <c r="D220" i="10"/>
  <c r="C220" i="10"/>
  <c r="B220" i="10"/>
  <c r="A220" i="10"/>
  <c r="E219" i="10"/>
  <c r="D219" i="10"/>
  <c r="C219" i="10"/>
  <c r="B219" i="10"/>
  <c r="A219" i="10"/>
  <c r="E218" i="10"/>
  <c r="D218" i="10"/>
  <c r="C218" i="10"/>
  <c r="B218" i="10"/>
  <c r="A218" i="10"/>
  <c r="E217" i="10"/>
  <c r="D217" i="10"/>
  <c r="C217" i="10"/>
  <c r="B217" i="10"/>
  <c r="A217" i="10"/>
  <c r="E216" i="10"/>
  <c r="D216" i="10"/>
  <c r="C216" i="10"/>
  <c r="A216" i="10"/>
  <c r="B216" i="10" s="1"/>
  <c r="E215" i="10"/>
  <c r="D215" i="10"/>
  <c r="C215" i="10"/>
  <c r="A215" i="10"/>
  <c r="B215" i="10" s="1"/>
  <c r="E214" i="10"/>
  <c r="D214" i="10"/>
  <c r="C214" i="10"/>
  <c r="A214" i="10"/>
  <c r="B214" i="10" s="1"/>
  <c r="E213" i="10"/>
  <c r="D213" i="10"/>
  <c r="C213" i="10"/>
  <c r="B213" i="10"/>
  <c r="A213" i="10"/>
  <c r="E212" i="10"/>
  <c r="D212" i="10"/>
  <c r="C212" i="10"/>
  <c r="B212" i="10"/>
  <c r="A212" i="10"/>
  <c r="E211" i="10"/>
  <c r="D211" i="10"/>
  <c r="C211" i="10"/>
  <c r="B211" i="10"/>
  <c r="A211" i="10"/>
  <c r="E210" i="10"/>
  <c r="D210" i="10"/>
  <c r="C210" i="10"/>
  <c r="A210" i="10"/>
  <c r="B210" i="10" s="1"/>
  <c r="E209" i="10"/>
  <c r="D209" i="10"/>
  <c r="C209" i="10"/>
  <c r="A209" i="10"/>
  <c r="B209" i="10" s="1"/>
  <c r="E208" i="10"/>
  <c r="D208" i="10"/>
  <c r="C208" i="10"/>
  <c r="B208" i="10"/>
  <c r="A208" i="10"/>
  <c r="E207" i="10"/>
  <c r="D207" i="10"/>
  <c r="C207" i="10"/>
  <c r="A207" i="10"/>
  <c r="B207" i="10" s="1"/>
  <c r="E206" i="10"/>
  <c r="D206" i="10"/>
  <c r="C206" i="10"/>
  <c r="A206" i="10"/>
  <c r="B206" i="10" s="1"/>
  <c r="E205" i="10"/>
  <c r="D205" i="10"/>
  <c r="C205" i="10"/>
  <c r="B205" i="10"/>
  <c r="A205" i="10"/>
  <c r="E204" i="10"/>
  <c r="D204" i="10"/>
  <c r="C204" i="10"/>
  <c r="B204" i="10"/>
  <c r="A204" i="10"/>
  <c r="E203" i="10"/>
  <c r="D203" i="10"/>
  <c r="C203" i="10"/>
  <c r="B203" i="10"/>
  <c r="A203" i="10"/>
  <c r="E202" i="10"/>
  <c r="D202" i="10"/>
  <c r="C202" i="10"/>
  <c r="A202" i="10"/>
  <c r="B202" i="10" s="1"/>
  <c r="E201" i="10"/>
  <c r="D201" i="10"/>
  <c r="C201" i="10"/>
  <c r="A201" i="10"/>
  <c r="B201" i="10" s="1"/>
  <c r="E200" i="10"/>
  <c r="D200" i="10"/>
  <c r="C200" i="10"/>
  <c r="A200" i="10"/>
  <c r="B200" i="10" s="1"/>
  <c r="E199" i="10"/>
  <c r="D199" i="10"/>
  <c r="C199" i="10"/>
  <c r="A199" i="10"/>
  <c r="B199" i="10" s="1"/>
  <c r="E198" i="10"/>
  <c r="D198" i="10"/>
  <c r="C198" i="10"/>
  <c r="A198" i="10"/>
  <c r="B198" i="10" s="1"/>
  <c r="E197" i="10"/>
  <c r="D197" i="10"/>
  <c r="C197" i="10"/>
  <c r="B197" i="10"/>
  <c r="A197" i="10"/>
  <c r="E196" i="10"/>
  <c r="D196" i="10"/>
  <c r="C196" i="10"/>
  <c r="B196" i="10"/>
  <c r="A196" i="10"/>
  <c r="E195" i="10"/>
  <c r="D195" i="10"/>
  <c r="C195" i="10"/>
  <c r="B195" i="10"/>
  <c r="A195" i="10"/>
  <c r="E194" i="10"/>
  <c r="D194" i="10"/>
  <c r="C194" i="10"/>
  <c r="A194" i="10"/>
  <c r="B194" i="10" s="1"/>
  <c r="E193" i="10"/>
  <c r="D193" i="10"/>
  <c r="C193" i="10"/>
  <c r="A193" i="10"/>
  <c r="B193" i="10" s="1"/>
  <c r="E192" i="10"/>
  <c r="D192" i="10"/>
  <c r="C192" i="10"/>
  <c r="B192" i="10"/>
  <c r="A192" i="10"/>
  <c r="E191" i="10"/>
  <c r="D191" i="10"/>
  <c r="C191" i="10"/>
  <c r="A191" i="10"/>
  <c r="B191" i="10" s="1"/>
  <c r="E190" i="10"/>
  <c r="D190" i="10"/>
  <c r="C190" i="10"/>
  <c r="A190" i="10"/>
  <c r="B190" i="10" s="1"/>
  <c r="E189" i="10"/>
  <c r="D189" i="10"/>
  <c r="C189" i="10"/>
  <c r="A189" i="10"/>
  <c r="B189" i="10" s="1"/>
  <c r="E188" i="10"/>
  <c r="D188" i="10"/>
  <c r="C188" i="10"/>
  <c r="B188" i="10"/>
  <c r="A188" i="10"/>
  <c r="E187" i="10"/>
  <c r="D187" i="10"/>
  <c r="C187" i="10"/>
  <c r="B187" i="10"/>
  <c r="A187" i="10"/>
  <c r="E186" i="10"/>
  <c r="D186" i="10"/>
  <c r="C186" i="10"/>
  <c r="B186" i="10"/>
  <c r="A186" i="10"/>
  <c r="E185" i="10"/>
  <c r="D185" i="10"/>
  <c r="C185" i="10"/>
  <c r="B185" i="10"/>
  <c r="A185" i="10"/>
  <c r="E184" i="10"/>
  <c r="D184" i="10"/>
  <c r="C184" i="10"/>
  <c r="A184" i="10"/>
  <c r="B184" i="10" s="1"/>
  <c r="E183" i="10"/>
  <c r="D183" i="10"/>
  <c r="C183" i="10"/>
  <c r="A183" i="10"/>
  <c r="B183" i="10" s="1"/>
  <c r="E182" i="10"/>
  <c r="D182" i="10"/>
  <c r="C182" i="10"/>
  <c r="A182" i="10"/>
  <c r="B182" i="10" s="1"/>
  <c r="E181" i="10"/>
  <c r="D181" i="10"/>
  <c r="C181" i="10"/>
  <c r="A181" i="10"/>
  <c r="B181" i="10" s="1"/>
  <c r="E180" i="10"/>
  <c r="D180" i="10"/>
  <c r="C180" i="10"/>
  <c r="B180" i="10"/>
  <c r="A180" i="10"/>
  <c r="E179" i="10"/>
  <c r="D179" i="10"/>
  <c r="C179" i="10"/>
  <c r="B179" i="10"/>
  <c r="A179" i="10"/>
  <c r="E178" i="10"/>
  <c r="D178" i="10"/>
  <c r="C178" i="10"/>
  <c r="A178" i="10"/>
  <c r="B178" i="10" s="1"/>
  <c r="E177" i="10"/>
  <c r="D177" i="10"/>
  <c r="C177" i="10"/>
  <c r="B177" i="10"/>
  <c r="A177" i="10"/>
  <c r="E176" i="10"/>
  <c r="D176" i="10"/>
  <c r="C176" i="10"/>
  <c r="B176" i="10"/>
  <c r="A176" i="10"/>
  <c r="E175" i="10"/>
  <c r="D175" i="10"/>
  <c r="C175" i="10"/>
  <c r="A175" i="10"/>
  <c r="B175" i="10" s="1"/>
  <c r="E174" i="10"/>
  <c r="D174" i="10"/>
  <c r="C174" i="10"/>
  <c r="A174" i="10"/>
  <c r="B174" i="10" s="1"/>
  <c r="E173" i="10"/>
  <c r="D173" i="10"/>
  <c r="C173" i="10"/>
  <c r="B173" i="10"/>
  <c r="A173" i="10"/>
  <c r="E172" i="10"/>
  <c r="D172" i="10"/>
  <c r="C172" i="10"/>
  <c r="B172" i="10"/>
  <c r="A172" i="10"/>
  <c r="E171" i="10"/>
  <c r="D171" i="10"/>
  <c r="C171" i="10"/>
  <c r="B171" i="10"/>
  <c r="A171" i="10"/>
  <c r="E170" i="10"/>
  <c r="D170" i="10"/>
  <c r="C170" i="10"/>
  <c r="A170" i="10"/>
  <c r="B170" i="10" s="1"/>
  <c r="E169" i="10"/>
  <c r="D169" i="10"/>
  <c r="C169" i="10"/>
  <c r="A169" i="10"/>
  <c r="B169" i="10" s="1"/>
  <c r="E168" i="10"/>
  <c r="D168" i="10"/>
  <c r="C168" i="10"/>
  <c r="A168" i="10"/>
  <c r="B168" i="10" s="1"/>
  <c r="E167" i="10"/>
  <c r="D167" i="10"/>
  <c r="C167" i="10"/>
  <c r="A167" i="10"/>
  <c r="B167" i="10" s="1"/>
  <c r="E166" i="10"/>
  <c r="D166" i="10"/>
  <c r="C166" i="10"/>
  <c r="A166" i="10"/>
  <c r="B166" i="10" s="1"/>
  <c r="E165" i="10"/>
  <c r="D165" i="10"/>
  <c r="C165" i="10"/>
  <c r="B165" i="10"/>
  <c r="A165" i="10"/>
  <c r="E164" i="10"/>
  <c r="D164" i="10"/>
  <c r="C164" i="10"/>
  <c r="B164" i="10"/>
  <c r="A164" i="10"/>
  <c r="E163" i="10"/>
  <c r="D163" i="10"/>
  <c r="C163" i="10"/>
  <c r="B163" i="10"/>
  <c r="A163" i="10"/>
  <c r="E162" i="10"/>
  <c r="D162" i="10"/>
  <c r="C162" i="10"/>
  <c r="A162" i="10"/>
  <c r="B162" i="10" s="1"/>
  <c r="E161" i="10"/>
  <c r="D161" i="10"/>
  <c r="C161" i="10"/>
  <c r="A161" i="10"/>
  <c r="B161" i="10" s="1"/>
  <c r="E160" i="10"/>
  <c r="D160" i="10"/>
  <c r="C160" i="10"/>
  <c r="A160" i="10"/>
  <c r="B160" i="10" s="1"/>
  <c r="E159" i="10"/>
  <c r="D159" i="10"/>
  <c r="C159" i="10"/>
  <c r="A159" i="10"/>
  <c r="B159" i="10" s="1"/>
  <c r="E158" i="10"/>
  <c r="D158" i="10"/>
  <c r="C158" i="10"/>
  <c r="A158" i="10"/>
  <c r="B158" i="10" s="1"/>
  <c r="E157" i="10"/>
  <c r="D157" i="10"/>
  <c r="C157" i="10"/>
  <c r="A157" i="10"/>
  <c r="B157" i="10" s="1"/>
  <c r="E156" i="10"/>
  <c r="D156" i="10"/>
  <c r="C156" i="10"/>
  <c r="B156" i="10"/>
  <c r="A156" i="10"/>
  <c r="E155" i="10"/>
  <c r="D155" i="10"/>
  <c r="C155" i="10"/>
  <c r="B155" i="10"/>
  <c r="A155" i="10"/>
  <c r="E154" i="10"/>
  <c r="D154" i="10"/>
  <c r="C154" i="10"/>
  <c r="B154" i="10"/>
  <c r="A154" i="10"/>
  <c r="E153" i="10"/>
  <c r="D153" i="10"/>
  <c r="C153" i="10"/>
  <c r="B153" i="10"/>
  <c r="A153" i="10"/>
  <c r="E152" i="10"/>
  <c r="D152" i="10"/>
  <c r="C152" i="10"/>
  <c r="A152" i="10"/>
  <c r="B152" i="10" s="1"/>
  <c r="E151" i="10"/>
  <c r="D151" i="10"/>
  <c r="C151" i="10"/>
  <c r="A151" i="10"/>
  <c r="B151" i="10" s="1"/>
  <c r="E150" i="10"/>
  <c r="D150" i="10"/>
  <c r="C150" i="10"/>
  <c r="A150" i="10"/>
  <c r="B150" i="10" s="1"/>
  <c r="E149" i="10"/>
  <c r="D149" i="10"/>
  <c r="C149" i="10"/>
  <c r="B149" i="10"/>
  <c r="A149" i="10"/>
  <c r="E148" i="10"/>
  <c r="D148" i="10"/>
  <c r="C148" i="10"/>
  <c r="B148" i="10"/>
  <c r="A148" i="10"/>
  <c r="E147" i="10"/>
  <c r="D147" i="10"/>
  <c r="C147" i="10"/>
  <c r="B147" i="10"/>
  <c r="A147" i="10"/>
  <c r="E146" i="10"/>
  <c r="D146" i="10"/>
  <c r="C146" i="10"/>
  <c r="A146" i="10"/>
  <c r="B146" i="10" s="1"/>
  <c r="E145" i="10"/>
  <c r="D145" i="10"/>
  <c r="C145" i="10"/>
  <c r="A145" i="10"/>
  <c r="B145" i="10" s="1"/>
  <c r="E144" i="10"/>
  <c r="D144" i="10"/>
  <c r="C144" i="10"/>
  <c r="B144" i="10"/>
  <c r="A144" i="10"/>
  <c r="E143" i="10"/>
  <c r="D143" i="10"/>
  <c r="C143" i="10"/>
  <c r="A143" i="10"/>
  <c r="B143" i="10" s="1"/>
  <c r="E142" i="10"/>
  <c r="D142" i="10"/>
  <c r="C142" i="10"/>
  <c r="A142" i="10"/>
  <c r="B142" i="10" s="1"/>
  <c r="E141" i="10"/>
  <c r="D141" i="10"/>
  <c r="C141" i="10"/>
  <c r="B141" i="10"/>
  <c r="A141" i="10"/>
  <c r="E140" i="10"/>
  <c r="D140" i="10"/>
  <c r="C140" i="10"/>
  <c r="B140" i="10"/>
  <c r="A140" i="10"/>
  <c r="E139" i="10"/>
  <c r="D139" i="10"/>
  <c r="C139" i="10"/>
  <c r="B139" i="10"/>
  <c r="A139" i="10"/>
  <c r="E138" i="10"/>
  <c r="D138" i="10"/>
  <c r="C138" i="10"/>
  <c r="B138" i="10"/>
  <c r="A138" i="10"/>
  <c r="E137" i="10"/>
  <c r="D137" i="10"/>
  <c r="C137" i="10"/>
  <c r="A137" i="10"/>
  <c r="B137" i="10" s="1"/>
  <c r="E136" i="10"/>
  <c r="D136" i="10"/>
  <c r="C136" i="10"/>
  <c r="A136" i="10"/>
  <c r="B136" i="10" s="1"/>
  <c r="E135" i="10"/>
  <c r="D135" i="10"/>
  <c r="C135" i="10"/>
  <c r="A135" i="10"/>
  <c r="B135" i="10" s="1"/>
  <c r="E134" i="10"/>
  <c r="D134" i="10"/>
  <c r="C134" i="10"/>
  <c r="A134" i="10"/>
  <c r="B134" i="10" s="1"/>
  <c r="E133" i="10"/>
  <c r="D133" i="10"/>
  <c r="C133" i="10"/>
  <c r="B133" i="10"/>
  <c r="A133" i="10"/>
  <c r="E132" i="10"/>
  <c r="D132" i="10"/>
  <c r="C132" i="10"/>
  <c r="B132" i="10"/>
  <c r="A132" i="10"/>
  <c r="E131" i="10"/>
  <c r="D131" i="10"/>
  <c r="C131" i="10"/>
  <c r="B131" i="10"/>
  <c r="A131" i="10"/>
  <c r="E130" i="10"/>
  <c r="D130" i="10"/>
  <c r="C130" i="10"/>
  <c r="A130" i="10"/>
  <c r="B130" i="10" s="1"/>
  <c r="E129" i="10"/>
  <c r="D129" i="10"/>
  <c r="C129" i="10"/>
  <c r="B129" i="10"/>
  <c r="A129" i="10"/>
  <c r="E128" i="10"/>
  <c r="D128" i="10"/>
  <c r="C128" i="10"/>
  <c r="B128" i="10"/>
  <c r="A128" i="10"/>
  <c r="E127" i="10"/>
  <c r="D127" i="10"/>
  <c r="C127" i="10"/>
  <c r="A127" i="10"/>
  <c r="B127" i="10" s="1"/>
  <c r="E126" i="10"/>
  <c r="D126" i="10"/>
  <c r="C126" i="10"/>
  <c r="A126" i="10"/>
  <c r="B126" i="10" s="1"/>
  <c r="E125" i="10"/>
  <c r="D125" i="10"/>
  <c r="C125" i="10"/>
  <c r="A125" i="10"/>
  <c r="B125" i="10" s="1"/>
  <c r="E124" i="10"/>
  <c r="D124" i="10"/>
  <c r="C124" i="10"/>
  <c r="B124" i="10"/>
  <c r="A124" i="10"/>
  <c r="E123" i="10"/>
  <c r="D123" i="10"/>
  <c r="C123" i="10"/>
  <c r="B123" i="10"/>
  <c r="A123" i="10"/>
  <c r="E122" i="10"/>
  <c r="D122" i="10"/>
  <c r="C122" i="10"/>
  <c r="B122" i="10"/>
  <c r="A122" i="10"/>
  <c r="E121" i="10"/>
  <c r="D121" i="10"/>
  <c r="C121" i="10"/>
  <c r="B121" i="10"/>
  <c r="A121" i="10"/>
  <c r="E120" i="10"/>
  <c r="D120" i="10"/>
  <c r="C120" i="10"/>
  <c r="A120" i="10"/>
  <c r="B120" i="10" s="1"/>
  <c r="E119" i="10"/>
  <c r="D119" i="10"/>
  <c r="C119" i="10"/>
  <c r="A119" i="10"/>
  <c r="B119" i="10" s="1"/>
  <c r="E118" i="10"/>
  <c r="D118" i="10"/>
  <c r="C118" i="10"/>
  <c r="A118" i="10"/>
  <c r="B118" i="10" s="1"/>
  <c r="E117" i="10"/>
  <c r="D117" i="10"/>
  <c r="C117" i="10"/>
  <c r="A117" i="10"/>
  <c r="B117" i="10" s="1"/>
  <c r="E116" i="10"/>
  <c r="D116" i="10"/>
  <c r="C116" i="10"/>
  <c r="B116" i="10"/>
  <c r="A116" i="10"/>
  <c r="E115" i="10"/>
  <c r="D115" i="10"/>
  <c r="C115" i="10"/>
  <c r="B115" i="10"/>
  <c r="A115" i="10"/>
  <c r="E114" i="10"/>
  <c r="D114" i="10"/>
  <c r="C114" i="10"/>
  <c r="A114" i="10"/>
  <c r="B114" i="10" s="1"/>
  <c r="E113" i="10"/>
  <c r="D113" i="10"/>
  <c r="C113" i="10"/>
  <c r="B113" i="10"/>
  <c r="A113" i="10"/>
  <c r="E112" i="10"/>
  <c r="D112" i="10"/>
  <c r="C112" i="10"/>
  <c r="B112" i="10"/>
  <c r="A112" i="10"/>
  <c r="E111" i="10"/>
  <c r="D111" i="10"/>
  <c r="C111" i="10"/>
  <c r="A111" i="10"/>
  <c r="B111" i="10" s="1"/>
  <c r="E110" i="10"/>
  <c r="D110" i="10"/>
  <c r="C110" i="10"/>
  <c r="A110" i="10"/>
  <c r="B110" i="10" s="1"/>
  <c r="E109" i="10"/>
  <c r="D109" i="10"/>
  <c r="C109" i="10"/>
  <c r="B109" i="10"/>
  <c r="A109" i="10"/>
  <c r="E108" i="10"/>
  <c r="D108" i="10"/>
  <c r="C108" i="10"/>
  <c r="B108" i="10"/>
  <c r="A108" i="10"/>
  <c r="E107" i="10"/>
  <c r="D107" i="10"/>
  <c r="C107" i="10"/>
  <c r="B107" i="10"/>
  <c r="A107" i="10"/>
  <c r="E106" i="10"/>
  <c r="D106" i="10"/>
  <c r="C106" i="10"/>
  <c r="A106" i="10"/>
  <c r="B106" i="10" s="1"/>
  <c r="E105" i="10"/>
  <c r="D105" i="10"/>
  <c r="C105" i="10"/>
  <c r="A105" i="10"/>
  <c r="B105" i="10" s="1"/>
  <c r="E104" i="10"/>
  <c r="D104" i="10"/>
  <c r="C104" i="10"/>
  <c r="A104" i="10"/>
  <c r="B104" i="10" s="1"/>
  <c r="E103" i="10"/>
  <c r="D103" i="10"/>
  <c r="C103" i="10"/>
  <c r="A103" i="10"/>
  <c r="B103" i="10" s="1"/>
  <c r="E102" i="10"/>
  <c r="D102" i="10"/>
  <c r="C102" i="10"/>
  <c r="A102" i="10"/>
  <c r="B102" i="10" s="1"/>
  <c r="E101" i="10"/>
  <c r="D101" i="10"/>
  <c r="C101" i="10"/>
  <c r="B101" i="10"/>
  <c r="A101" i="10"/>
  <c r="E100" i="10"/>
  <c r="D100" i="10"/>
  <c r="C100" i="10"/>
  <c r="B100" i="10"/>
  <c r="A100" i="10"/>
  <c r="E99" i="10"/>
  <c r="D99" i="10"/>
  <c r="C99" i="10"/>
  <c r="B99" i="10"/>
  <c r="A99" i="10"/>
  <c r="E98" i="10"/>
  <c r="D98" i="10"/>
  <c r="C98" i="10"/>
  <c r="A98" i="10"/>
  <c r="B98" i="10" s="1"/>
  <c r="E97" i="10"/>
  <c r="D97" i="10"/>
  <c r="C97" i="10"/>
  <c r="A97" i="10"/>
  <c r="B97" i="10" s="1"/>
  <c r="E96" i="10"/>
  <c r="D96" i="10"/>
  <c r="C96" i="10"/>
  <c r="B96" i="10"/>
  <c r="A96" i="10"/>
  <c r="E95" i="10"/>
  <c r="D95" i="10"/>
  <c r="C95" i="10"/>
  <c r="A95" i="10"/>
  <c r="B95" i="10" s="1"/>
  <c r="E94" i="10"/>
  <c r="D94" i="10"/>
  <c r="C94" i="10"/>
  <c r="A94" i="10"/>
  <c r="B94" i="10" s="1"/>
  <c r="E93" i="10"/>
  <c r="D93" i="10"/>
  <c r="C93" i="10"/>
  <c r="A93" i="10"/>
  <c r="B93" i="10" s="1"/>
  <c r="E92" i="10"/>
  <c r="D92" i="10"/>
  <c r="C92" i="10"/>
  <c r="B92" i="10"/>
  <c r="A92" i="10"/>
  <c r="E91" i="10"/>
  <c r="D91" i="10"/>
  <c r="C91" i="10"/>
  <c r="B91" i="10"/>
  <c r="A91" i="10"/>
  <c r="E90" i="10"/>
  <c r="D90" i="10"/>
  <c r="C90" i="10"/>
  <c r="B90" i="10"/>
  <c r="A90" i="10"/>
  <c r="E89" i="10"/>
  <c r="D89" i="10"/>
  <c r="C89" i="10"/>
  <c r="B89" i="10"/>
  <c r="A89" i="10"/>
  <c r="E88" i="10"/>
  <c r="D88" i="10"/>
  <c r="C88" i="10"/>
  <c r="A88" i="10"/>
  <c r="B88" i="10" s="1"/>
  <c r="E87" i="10"/>
  <c r="D87" i="10"/>
  <c r="C87" i="10"/>
  <c r="A87" i="10"/>
  <c r="B87" i="10" s="1"/>
  <c r="E86" i="10"/>
  <c r="D86" i="10"/>
  <c r="C86" i="10"/>
  <c r="A86" i="10"/>
  <c r="B86" i="10" s="1"/>
  <c r="E85" i="10"/>
  <c r="D85" i="10"/>
  <c r="C85" i="10"/>
  <c r="B85" i="10"/>
  <c r="A85" i="10"/>
  <c r="E84" i="10"/>
  <c r="D84" i="10"/>
  <c r="C84" i="10"/>
  <c r="B84" i="10"/>
  <c r="A84" i="10"/>
  <c r="E83" i="10"/>
  <c r="D83" i="10"/>
  <c r="C83" i="10"/>
  <c r="B83" i="10"/>
  <c r="A83" i="10"/>
  <c r="E82" i="10"/>
  <c r="D82" i="10"/>
  <c r="C82" i="10"/>
  <c r="A82" i="10"/>
  <c r="B82" i="10" s="1"/>
  <c r="E81" i="10"/>
  <c r="D81" i="10"/>
  <c r="C81" i="10"/>
  <c r="A81" i="10"/>
  <c r="B81" i="10" s="1"/>
  <c r="E80" i="10"/>
  <c r="D80" i="10"/>
  <c r="C80" i="10"/>
  <c r="B80" i="10"/>
  <c r="A80" i="10"/>
  <c r="E79" i="10"/>
  <c r="D79" i="10"/>
  <c r="C79" i="10"/>
  <c r="A79" i="10"/>
  <c r="B79" i="10" s="1"/>
  <c r="E78" i="10"/>
  <c r="D78" i="10"/>
  <c r="C78" i="10"/>
  <c r="A78" i="10"/>
  <c r="B78" i="10" s="1"/>
  <c r="E77" i="10"/>
  <c r="D77" i="10"/>
  <c r="C77" i="10"/>
  <c r="B77" i="10"/>
  <c r="A77" i="10"/>
  <c r="E76" i="10"/>
  <c r="D76" i="10"/>
  <c r="C76" i="10"/>
  <c r="B76" i="10"/>
  <c r="A76" i="10"/>
  <c r="E75" i="10"/>
  <c r="D75" i="10"/>
  <c r="C75" i="10"/>
  <c r="B75" i="10"/>
  <c r="A75" i="10"/>
  <c r="E74" i="10"/>
  <c r="D74" i="10"/>
  <c r="C74" i="10"/>
  <c r="A74" i="10"/>
  <c r="B74" i="10" s="1"/>
  <c r="E73" i="10"/>
  <c r="D73" i="10"/>
  <c r="C73" i="10"/>
  <c r="A73" i="10"/>
  <c r="B73" i="10" s="1"/>
  <c r="E72" i="10"/>
  <c r="D72" i="10"/>
  <c r="C72" i="10"/>
  <c r="A72" i="10"/>
  <c r="B72" i="10" s="1"/>
  <c r="E71" i="10"/>
  <c r="D71" i="10"/>
  <c r="C71" i="10"/>
  <c r="A71" i="10"/>
  <c r="B71" i="10" s="1"/>
  <c r="E70" i="10"/>
  <c r="D70" i="10"/>
  <c r="C70" i="10"/>
  <c r="A70" i="10"/>
  <c r="B70" i="10" s="1"/>
  <c r="E69" i="10"/>
  <c r="D69" i="10"/>
  <c r="C69" i="10"/>
  <c r="B69" i="10"/>
  <c r="A69" i="10"/>
  <c r="E68" i="10"/>
  <c r="D68" i="10"/>
  <c r="C68" i="10"/>
  <c r="B68" i="10"/>
  <c r="A68" i="10"/>
  <c r="E67" i="10"/>
  <c r="D67" i="10"/>
  <c r="C67" i="10"/>
  <c r="B67" i="10"/>
  <c r="A67" i="10"/>
  <c r="E66" i="10"/>
  <c r="D66" i="10"/>
  <c r="C66" i="10"/>
  <c r="A66" i="10"/>
  <c r="B66" i="10" s="1"/>
  <c r="E65" i="10"/>
  <c r="D65" i="10"/>
  <c r="C65" i="10"/>
  <c r="A65" i="10"/>
  <c r="B65" i="10" s="1"/>
  <c r="E64" i="10"/>
  <c r="D64" i="10"/>
  <c r="C64" i="10"/>
  <c r="B64" i="10"/>
  <c r="A64" i="10"/>
  <c r="E63" i="10"/>
  <c r="D63" i="10"/>
  <c r="C63" i="10"/>
  <c r="A63" i="10"/>
  <c r="B63" i="10" s="1"/>
  <c r="E62" i="10"/>
  <c r="D62" i="10"/>
  <c r="C62" i="10"/>
  <c r="A62" i="10"/>
  <c r="B62" i="10" s="1"/>
  <c r="E61" i="10"/>
  <c r="D61" i="10"/>
  <c r="C61" i="10"/>
  <c r="A61" i="10"/>
  <c r="B61" i="10" s="1"/>
  <c r="E60" i="10"/>
  <c r="D60" i="10"/>
  <c r="C60" i="10"/>
  <c r="B60" i="10"/>
  <c r="A60" i="10"/>
  <c r="E59" i="10"/>
  <c r="D59" i="10"/>
  <c r="C59" i="10"/>
  <c r="B59" i="10"/>
  <c r="A59" i="10"/>
  <c r="E58" i="10"/>
  <c r="D58" i="10"/>
  <c r="C58" i="10"/>
  <c r="B58" i="10"/>
  <c r="A58" i="10"/>
  <c r="E57" i="10"/>
  <c r="D57" i="10"/>
  <c r="C57" i="10"/>
  <c r="B57" i="10"/>
  <c r="A57" i="10"/>
  <c r="E56" i="10"/>
  <c r="D56" i="10"/>
  <c r="C56" i="10"/>
  <c r="A56" i="10"/>
  <c r="B56" i="10" s="1"/>
  <c r="E55" i="10"/>
  <c r="D55" i="10"/>
  <c r="C55" i="10"/>
  <c r="A55" i="10"/>
  <c r="B55" i="10" s="1"/>
  <c r="E54" i="10"/>
  <c r="D54" i="10"/>
  <c r="C54" i="10"/>
  <c r="A54" i="10"/>
  <c r="B54" i="10" s="1"/>
  <c r="E53" i="10"/>
  <c r="D53" i="10"/>
  <c r="C53" i="10"/>
  <c r="A53" i="10"/>
  <c r="B53" i="10" s="1"/>
  <c r="E52" i="10"/>
  <c r="D52" i="10"/>
  <c r="C52" i="10"/>
  <c r="B52" i="10"/>
  <c r="A52" i="10"/>
  <c r="E51" i="10"/>
  <c r="D51" i="10"/>
  <c r="C51" i="10"/>
  <c r="B51" i="10"/>
  <c r="A51" i="10"/>
  <c r="E50" i="10"/>
  <c r="D50" i="10"/>
  <c r="C50" i="10"/>
  <c r="A50" i="10"/>
  <c r="B50" i="10" s="1"/>
  <c r="E49" i="10"/>
  <c r="D49" i="10"/>
  <c r="C49" i="10"/>
  <c r="B49" i="10"/>
  <c r="A49" i="10"/>
  <c r="E48" i="10"/>
  <c r="D48" i="10"/>
  <c r="C48" i="10"/>
  <c r="B48" i="10"/>
  <c r="A48" i="10"/>
  <c r="E47" i="10"/>
  <c r="D47" i="10"/>
  <c r="C47" i="10"/>
  <c r="A47" i="10"/>
  <c r="B47" i="10" s="1"/>
  <c r="E46" i="10"/>
  <c r="D46" i="10"/>
  <c r="C46" i="10"/>
  <c r="A46" i="10"/>
  <c r="B46" i="10" s="1"/>
  <c r="E45" i="10"/>
  <c r="D45" i="10"/>
  <c r="C45" i="10"/>
  <c r="B45" i="10"/>
  <c r="A45" i="10"/>
  <c r="E44" i="10"/>
  <c r="D44" i="10"/>
  <c r="C44" i="10"/>
  <c r="B44" i="10"/>
  <c r="A44" i="10"/>
  <c r="E43" i="10"/>
  <c r="D43" i="10"/>
  <c r="C43" i="10"/>
  <c r="B43" i="10"/>
  <c r="A43" i="10"/>
  <c r="E42" i="10"/>
  <c r="D42" i="10"/>
  <c r="C42" i="10"/>
  <c r="A42" i="10"/>
  <c r="B42" i="10" s="1"/>
  <c r="E41" i="10"/>
  <c r="D41" i="10"/>
  <c r="C41" i="10"/>
  <c r="A41" i="10"/>
  <c r="B41" i="10" s="1"/>
  <c r="E40" i="10"/>
  <c r="D40" i="10"/>
  <c r="C40" i="10"/>
  <c r="A40" i="10"/>
  <c r="B40" i="10" s="1"/>
  <c r="E39" i="10"/>
  <c r="D39" i="10"/>
  <c r="C39" i="10"/>
  <c r="A39" i="10"/>
  <c r="B39" i="10" s="1"/>
  <c r="E38" i="10"/>
  <c r="D38" i="10"/>
  <c r="C38" i="10"/>
  <c r="A38" i="10"/>
  <c r="B38" i="10" s="1"/>
  <c r="E37" i="10"/>
  <c r="D37" i="10"/>
  <c r="C37" i="10"/>
  <c r="A37" i="10"/>
  <c r="B37" i="10" s="1"/>
  <c r="E36" i="10"/>
  <c r="D36" i="10"/>
  <c r="C36" i="10"/>
  <c r="B36" i="10"/>
  <c r="A36" i="10"/>
  <c r="E35" i="10"/>
  <c r="D35" i="10"/>
  <c r="C35" i="10"/>
  <c r="B35" i="10"/>
  <c r="A35" i="10"/>
  <c r="E34" i="10"/>
  <c r="D34" i="10"/>
  <c r="C34" i="10"/>
  <c r="A34" i="10"/>
  <c r="B34" i="10" s="1"/>
  <c r="E33" i="10"/>
  <c r="D33" i="10"/>
  <c r="C33" i="10"/>
  <c r="A33" i="10"/>
  <c r="B33" i="10" s="1"/>
  <c r="E32" i="10"/>
  <c r="D32" i="10"/>
  <c r="C32" i="10"/>
  <c r="A32" i="10"/>
  <c r="B32" i="10" s="1"/>
  <c r="E31" i="10"/>
  <c r="D31" i="10"/>
  <c r="C31" i="10"/>
  <c r="A31" i="10"/>
  <c r="B31" i="10" s="1"/>
  <c r="E30" i="10"/>
  <c r="D30" i="10"/>
  <c r="C30" i="10"/>
  <c r="A30" i="10"/>
  <c r="B30" i="10" s="1"/>
  <c r="E29" i="10"/>
  <c r="D29" i="10"/>
  <c r="C29" i="10"/>
  <c r="A29" i="10"/>
  <c r="B29" i="10" s="1"/>
  <c r="E28" i="10"/>
  <c r="D28" i="10"/>
  <c r="C28" i="10"/>
  <c r="B28" i="10"/>
  <c r="A28" i="10"/>
  <c r="E27" i="10"/>
  <c r="D27" i="10"/>
  <c r="C27" i="10"/>
  <c r="B27" i="10"/>
  <c r="A27" i="10"/>
  <c r="E26" i="10"/>
  <c r="D26" i="10"/>
  <c r="C26" i="10"/>
  <c r="B26" i="10"/>
  <c r="A26" i="10"/>
  <c r="E25" i="10"/>
  <c r="D25" i="10"/>
  <c r="C25" i="10"/>
  <c r="B25" i="10"/>
  <c r="A25" i="10"/>
  <c r="E24" i="10"/>
  <c r="D24" i="10"/>
  <c r="C24" i="10"/>
  <c r="B24" i="10"/>
  <c r="A24" i="10"/>
  <c r="E23" i="10"/>
  <c r="D23" i="10"/>
  <c r="C23" i="10"/>
  <c r="A23" i="10"/>
  <c r="B23" i="10" s="1"/>
  <c r="E22" i="10"/>
  <c r="D22" i="10"/>
  <c r="C22" i="10"/>
  <c r="A22" i="10"/>
  <c r="B22" i="10" s="1"/>
  <c r="E21" i="10"/>
  <c r="D21" i="10"/>
  <c r="C21" i="10"/>
  <c r="A21" i="10"/>
  <c r="B21" i="10" s="1"/>
  <c r="E20" i="10"/>
  <c r="D20" i="10"/>
  <c r="C20" i="10"/>
  <c r="B20" i="10"/>
  <c r="A20" i="10"/>
  <c r="E19" i="10"/>
  <c r="D19" i="10"/>
  <c r="C19" i="10"/>
  <c r="B19" i="10"/>
  <c r="A19" i="10"/>
  <c r="E18" i="10"/>
  <c r="D18" i="10"/>
  <c r="C18" i="10"/>
  <c r="A18" i="10"/>
  <c r="B18" i="10" s="1"/>
  <c r="E17" i="10"/>
  <c r="D17" i="10"/>
  <c r="C17" i="10"/>
  <c r="B17" i="10"/>
  <c r="A17" i="10"/>
  <c r="E16" i="10"/>
  <c r="D16" i="10"/>
  <c r="C16" i="10"/>
  <c r="B16" i="10"/>
  <c r="A16" i="10"/>
  <c r="E15" i="10"/>
  <c r="D15" i="10"/>
  <c r="C15" i="10"/>
  <c r="A15" i="10"/>
  <c r="B15" i="10" s="1"/>
  <c r="E14" i="10"/>
  <c r="D14" i="10"/>
  <c r="C14" i="10"/>
  <c r="A14" i="10"/>
  <c r="B14" i="10" s="1"/>
  <c r="E13" i="10"/>
  <c r="D13" i="10"/>
  <c r="C13" i="10"/>
  <c r="B13" i="10"/>
  <c r="A13" i="10"/>
  <c r="E12" i="10"/>
  <c r="D12" i="10"/>
  <c r="C12" i="10"/>
  <c r="B12" i="10"/>
  <c r="A12" i="10"/>
  <c r="E11" i="10"/>
  <c r="D11" i="10"/>
  <c r="C11" i="10"/>
  <c r="B11" i="10"/>
  <c r="A11" i="10"/>
  <c r="N10" i="10"/>
  <c r="E10" i="10"/>
  <c r="D10" i="10"/>
  <c r="C10" i="10"/>
  <c r="B10" i="10"/>
  <c r="A10" i="10"/>
  <c r="N9" i="10"/>
  <c r="E9" i="10"/>
  <c r="D9" i="10"/>
  <c r="C9" i="10"/>
  <c r="A9" i="10"/>
  <c r="B9" i="10" s="1"/>
  <c r="N8" i="10"/>
  <c r="E8" i="10"/>
  <c r="D8" i="10"/>
  <c r="C8" i="10"/>
  <c r="A8" i="10"/>
  <c r="B8" i="10" s="1"/>
  <c r="N7" i="10"/>
  <c r="E7" i="10"/>
  <c r="D7" i="10"/>
  <c r="C7" i="10"/>
  <c r="B7" i="10"/>
  <c r="A7" i="10"/>
  <c r="N6" i="10"/>
  <c r="E6" i="10"/>
  <c r="D6" i="10"/>
  <c r="C6" i="10"/>
  <c r="B6" i="10"/>
  <c r="A6" i="10"/>
  <c r="E718" i="9"/>
  <c r="D718" i="9"/>
  <c r="C718" i="9"/>
  <c r="B718" i="9"/>
  <c r="A718" i="9"/>
  <c r="E717" i="9"/>
  <c r="D717" i="9"/>
  <c r="C717" i="9"/>
  <c r="A717" i="9"/>
  <c r="B717" i="9" s="1"/>
  <c r="E716" i="9"/>
  <c r="D716" i="9"/>
  <c r="C716" i="9"/>
  <c r="A716" i="9"/>
  <c r="B716" i="9" s="1"/>
  <c r="E715" i="9"/>
  <c r="D715" i="9"/>
  <c r="C715" i="9"/>
  <c r="B715" i="9"/>
  <c r="A715" i="9"/>
  <c r="E714" i="9"/>
  <c r="D714" i="9"/>
  <c r="C714" i="9"/>
  <c r="B714" i="9"/>
  <c r="A714" i="9"/>
  <c r="E713" i="9"/>
  <c r="D713" i="9"/>
  <c r="C713" i="9"/>
  <c r="B713" i="9"/>
  <c r="A713" i="9"/>
  <c r="E712" i="9"/>
  <c r="D712" i="9"/>
  <c r="C712" i="9"/>
  <c r="A712" i="9"/>
  <c r="B712" i="9" s="1"/>
  <c r="E711" i="9"/>
  <c r="D711" i="9"/>
  <c r="C711" i="9"/>
  <c r="A711" i="9"/>
  <c r="B711" i="9" s="1"/>
  <c r="E710" i="9"/>
  <c r="D710" i="9"/>
  <c r="C710" i="9"/>
  <c r="B710" i="9"/>
  <c r="A710" i="9"/>
  <c r="E709" i="9"/>
  <c r="D709" i="9"/>
  <c r="C709" i="9"/>
  <c r="A709" i="9"/>
  <c r="B709" i="9" s="1"/>
  <c r="E708" i="9"/>
  <c r="D708" i="9"/>
  <c r="C708" i="9"/>
  <c r="B708" i="9"/>
  <c r="A708" i="9"/>
  <c r="E707" i="9"/>
  <c r="D707" i="9"/>
  <c r="C707" i="9"/>
  <c r="A707" i="9"/>
  <c r="B707" i="9" s="1"/>
  <c r="E706" i="9"/>
  <c r="D706" i="9"/>
  <c r="C706" i="9"/>
  <c r="B706" i="9"/>
  <c r="A706" i="9"/>
  <c r="E705" i="9"/>
  <c r="D705" i="9"/>
  <c r="C705" i="9"/>
  <c r="B705" i="9"/>
  <c r="A705" i="9"/>
  <c r="E704" i="9"/>
  <c r="D704" i="9"/>
  <c r="C704" i="9"/>
  <c r="A704" i="9"/>
  <c r="B704" i="9" s="1"/>
  <c r="E703" i="9"/>
  <c r="D703" i="9"/>
  <c r="C703" i="9"/>
  <c r="A703" i="9"/>
  <c r="B703" i="9" s="1"/>
  <c r="E702" i="9"/>
  <c r="D702" i="9"/>
  <c r="C702" i="9"/>
  <c r="B702" i="9"/>
  <c r="A702" i="9"/>
  <c r="E701" i="9"/>
  <c r="D701" i="9"/>
  <c r="C701" i="9"/>
  <c r="A701" i="9"/>
  <c r="B701" i="9" s="1"/>
  <c r="E700" i="9"/>
  <c r="D700" i="9"/>
  <c r="C700" i="9"/>
  <c r="A700" i="9"/>
  <c r="B700" i="9" s="1"/>
  <c r="E699" i="9"/>
  <c r="D699" i="9"/>
  <c r="C699" i="9"/>
  <c r="A699" i="9"/>
  <c r="B699" i="9" s="1"/>
  <c r="E698" i="9"/>
  <c r="D698" i="9"/>
  <c r="C698" i="9"/>
  <c r="B698" i="9"/>
  <c r="A698" i="9"/>
  <c r="E697" i="9"/>
  <c r="D697" i="9"/>
  <c r="C697" i="9"/>
  <c r="A697" i="9"/>
  <c r="B697" i="9" s="1"/>
  <c r="E696" i="9"/>
  <c r="D696" i="9"/>
  <c r="C696" i="9"/>
  <c r="B696" i="9"/>
  <c r="A696" i="9"/>
  <c r="E695" i="9"/>
  <c r="D695" i="9"/>
  <c r="C695" i="9"/>
  <c r="B695" i="9"/>
  <c r="A695" i="9"/>
  <c r="E694" i="9"/>
  <c r="D694" i="9"/>
  <c r="C694" i="9"/>
  <c r="A694" i="9"/>
  <c r="B694" i="9" s="1"/>
  <c r="E693" i="9"/>
  <c r="D693" i="9"/>
  <c r="C693" i="9"/>
  <c r="A693" i="9"/>
  <c r="B693" i="9" s="1"/>
  <c r="E692" i="9"/>
  <c r="D692" i="9"/>
  <c r="C692" i="9"/>
  <c r="A692" i="9"/>
  <c r="B692" i="9" s="1"/>
  <c r="E691" i="9"/>
  <c r="D691" i="9"/>
  <c r="C691" i="9"/>
  <c r="B691" i="9"/>
  <c r="A691" i="9"/>
  <c r="E690" i="9"/>
  <c r="D690" i="9"/>
  <c r="C690" i="9"/>
  <c r="B690" i="9"/>
  <c r="A690" i="9"/>
  <c r="E689" i="9"/>
  <c r="D689" i="9"/>
  <c r="C689" i="9"/>
  <c r="A689" i="9"/>
  <c r="B689" i="9" s="1"/>
  <c r="E688" i="9"/>
  <c r="D688" i="9"/>
  <c r="C688" i="9"/>
  <c r="B688" i="9"/>
  <c r="A688" i="9"/>
  <c r="E687" i="9"/>
  <c r="D687" i="9"/>
  <c r="C687" i="9"/>
  <c r="B687" i="9"/>
  <c r="A687" i="9"/>
  <c r="E686" i="9"/>
  <c r="D686" i="9"/>
  <c r="C686" i="9"/>
  <c r="A686" i="9"/>
  <c r="B686" i="9" s="1"/>
  <c r="E685" i="9"/>
  <c r="D685" i="9"/>
  <c r="C685" i="9"/>
  <c r="A685" i="9"/>
  <c r="B685" i="9" s="1"/>
  <c r="E684" i="9"/>
  <c r="D684" i="9"/>
  <c r="C684" i="9"/>
  <c r="A684" i="9"/>
  <c r="B684" i="9" s="1"/>
  <c r="E683" i="9"/>
  <c r="D683" i="9"/>
  <c r="C683" i="9"/>
  <c r="B683" i="9"/>
  <c r="A683" i="9"/>
  <c r="E682" i="9"/>
  <c r="D682" i="9"/>
  <c r="C682" i="9"/>
  <c r="B682" i="9"/>
  <c r="A682" i="9"/>
  <c r="E681" i="9"/>
  <c r="D681" i="9"/>
  <c r="C681" i="9"/>
  <c r="A681" i="9"/>
  <c r="B681" i="9" s="1"/>
  <c r="E680" i="9"/>
  <c r="D680" i="9"/>
  <c r="C680" i="9"/>
  <c r="A680" i="9"/>
  <c r="B680" i="9" s="1"/>
  <c r="E679" i="9"/>
  <c r="D679" i="9"/>
  <c r="C679" i="9"/>
  <c r="B679" i="9"/>
  <c r="A679" i="9"/>
  <c r="E678" i="9"/>
  <c r="D678" i="9"/>
  <c r="C678" i="9"/>
  <c r="B678" i="9"/>
  <c r="A678" i="9"/>
  <c r="E677" i="9"/>
  <c r="D677" i="9"/>
  <c r="C677" i="9"/>
  <c r="A677" i="9"/>
  <c r="B677" i="9" s="1"/>
  <c r="E676" i="9"/>
  <c r="D676" i="9"/>
  <c r="C676" i="9"/>
  <c r="A676" i="9"/>
  <c r="B676" i="9" s="1"/>
  <c r="E675" i="9"/>
  <c r="D675" i="9"/>
  <c r="C675" i="9"/>
  <c r="A675" i="9"/>
  <c r="B675" i="9" s="1"/>
  <c r="E674" i="9"/>
  <c r="D674" i="9"/>
  <c r="C674" i="9"/>
  <c r="B674" i="9"/>
  <c r="A674" i="9"/>
  <c r="E673" i="9"/>
  <c r="D673" i="9"/>
  <c r="C673" i="9"/>
  <c r="B673" i="9"/>
  <c r="A673" i="9"/>
  <c r="E672" i="9"/>
  <c r="D672" i="9"/>
  <c r="C672" i="9"/>
  <c r="B672" i="9"/>
  <c r="A672" i="9"/>
  <c r="E671" i="9"/>
  <c r="D671" i="9"/>
  <c r="C671" i="9"/>
  <c r="A671" i="9"/>
  <c r="B671" i="9" s="1"/>
  <c r="E670" i="9"/>
  <c r="D670" i="9"/>
  <c r="C670" i="9"/>
  <c r="B670" i="9"/>
  <c r="A670" i="9"/>
  <c r="E669" i="9"/>
  <c r="D669" i="9"/>
  <c r="C669" i="9"/>
  <c r="A669" i="9"/>
  <c r="B669" i="9" s="1"/>
  <c r="E668" i="9"/>
  <c r="D668" i="9"/>
  <c r="C668" i="9"/>
  <c r="B668" i="9"/>
  <c r="A668" i="9"/>
  <c r="E667" i="9"/>
  <c r="D667" i="9"/>
  <c r="C667" i="9"/>
  <c r="B667" i="9"/>
  <c r="A667" i="9"/>
  <c r="E666" i="9"/>
  <c r="D666" i="9"/>
  <c r="C666" i="9"/>
  <c r="B666" i="9"/>
  <c r="A666" i="9"/>
  <c r="E665" i="9"/>
  <c r="D665" i="9"/>
  <c r="C665" i="9"/>
  <c r="B665" i="9"/>
  <c r="A665" i="9"/>
  <c r="E664" i="9"/>
  <c r="D664" i="9"/>
  <c r="C664" i="9"/>
  <c r="B664" i="9"/>
  <c r="A664" i="9"/>
  <c r="E663" i="9"/>
  <c r="D663" i="9"/>
  <c r="C663" i="9"/>
  <c r="A663" i="9"/>
  <c r="B663" i="9" s="1"/>
  <c r="E662" i="9"/>
  <c r="D662" i="9"/>
  <c r="C662" i="9"/>
  <c r="A662" i="9"/>
  <c r="B662" i="9" s="1"/>
  <c r="E661" i="9"/>
  <c r="D661" i="9"/>
  <c r="C661" i="9"/>
  <c r="A661" i="9"/>
  <c r="B661" i="9" s="1"/>
  <c r="E660" i="9"/>
  <c r="D660" i="9"/>
  <c r="C660" i="9"/>
  <c r="B660" i="9"/>
  <c r="A660" i="9"/>
  <c r="E659" i="9"/>
  <c r="D659" i="9"/>
  <c r="C659" i="9"/>
  <c r="A659" i="9"/>
  <c r="B659" i="9" s="1"/>
  <c r="E658" i="9"/>
  <c r="D658" i="9"/>
  <c r="C658" i="9"/>
  <c r="B658" i="9"/>
  <c r="A658" i="9"/>
  <c r="E657" i="9"/>
  <c r="D657" i="9"/>
  <c r="C657" i="9"/>
  <c r="A657" i="9"/>
  <c r="B657" i="9" s="1"/>
  <c r="E656" i="9"/>
  <c r="D656" i="9"/>
  <c r="C656" i="9"/>
  <c r="B656" i="9"/>
  <c r="A656" i="9"/>
  <c r="E655" i="9"/>
  <c r="D655" i="9"/>
  <c r="C655" i="9"/>
  <c r="B655" i="9"/>
  <c r="A655" i="9"/>
  <c r="E654" i="9"/>
  <c r="D654" i="9"/>
  <c r="C654" i="9"/>
  <c r="B654" i="9"/>
  <c r="A654" i="9"/>
  <c r="E653" i="9"/>
  <c r="D653" i="9"/>
  <c r="C653" i="9"/>
  <c r="A653" i="9"/>
  <c r="B653" i="9" s="1"/>
  <c r="E652" i="9"/>
  <c r="D652" i="9"/>
  <c r="C652" i="9"/>
  <c r="A652" i="9"/>
  <c r="B652" i="9" s="1"/>
  <c r="E651" i="9"/>
  <c r="D651" i="9"/>
  <c r="C651" i="9"/>
  <c r="B651" i="9"/>
  <c r="A651" i="9"/>
  <c r="E650" i="9"/>
  <c r="D650" i="9"/>
  <c r="C650" i="9"/>
  <c r="B650" i="9"/>
  <c r="A650" i="9"/>
  <c r="E649" i="9"/>
  <c r="D649" i="9"/>
  <c r="C649" i="9"/>
  <c r="B649" i="9"/>
  <c r="A649" i="9"/>
  <c r="E648" i="9"/>
  <c r="D648" i="9"/>
  <c r="C648" i="9"/>
  <c r="A648" i="9"/>
  <c r="B648" i="9" s="1"/>
  <c r="E647" i="9"/>
  <c r="D647" i="9"/>
  <c r="C647" i="9"/>
  <c r="A647" i="9"/>
  <c r="B647" i="9" s="1"/>
  <c r="E646" i="9"/>
  <c r="D646" i="9"/>
  <c r="C646" i="9"/>
  <c r="B646" i="9"/>
  <c r="A646" i="9"/>
  <c r="E645" i="9"/>
  <c r="D645" i="9"/>
  <c r="C645" i="9"/>
  <c r="A645" i="9"/>
  <c r="B645" i="9" s="1"/>
  <c r="E644" i="9"/>
  <c r="D644" i="9"/>
  <c r="C644" i="9"/>
  <c r="B644" i="9"/>
  <c r="A644" i="9"/>
  <c r="E643" i="9"/>
  <c r="D643" i="9"/>
  <c r="C643" i="9"/>
  <c r="A643" i="9"/>
  <c r="B643" i="9" s="1"/>
  <c r="E642" i="9"/>
  <c r="D642" i="9"/>
  <c r="C642" i="9"/>
  <c r="B642" i="9"/>
  <c r="A642" i="9"/>
  <c r="E641" i="9"/>
  <c r="D641" i="9"/>
  <c r="C641" i="9"/>
  <c r="B641" i="9"/>
  <c r="A641" i="9"/>
  <c r="E640" i="9"/>
  <c r="D640" i="9"/>
  <c r="C640" i="9"/>
  <c r="A640" i="9"/>
  <c r="B640" i="9" s="1"/>
  <c r="E639" i="9"/>
  <c r="D639" i="9"/>
  <c r="C639" i="9"/>
  <c r="A639" i="9"/>
  <c r="B639" i="9" s="1"/>
  <c r="E638" i="9"/>
  <c r="D638" i="9"/>
  <c r="C638" i="9"/>
  <c r="B638" i="9"/>
  <c r="A638" i="9"/>
  <c r="E637" i="9"/>
  <c r="D637" i="9"/>
  <c r="C637" i="9"/>
  <c r="A637" i="9"/>
  <c r="B637" i="9" s="1"/>
  <c r="E636" i="9"/>
  <c r="D636" i="9"/>
  <c r="C636" i="9"/>
  <c r="A636" i="9"/>
  <c r="B636" i="9" s="1"/>
  <c r="E635" i="9"/>
  <c r="D635" i="9"/>
  <c r="C635" i="9"/>
  <c r="A635" i="9"/>
  <c r="B635" i="9" s="1"/>
  <c r="E634" i="9"/>
  <c r="D634" i="9"/>
  <c r="C634" i="9"/>
  <c r="B634" i="9"/>
  <c r="A634" i="9"/>
  <c r="E633" i="9"/>
  <c r="D633" i="9"/>
  <c r="C633" i="9"/>
  <c r="A633" i="9"/>
  <c r="B633" i="9" s="1"/>
  <c r="E632" i="9"/>
  <c r="D632" i="9"/>
  <c r="C632" i="9"/>
  <c r="B632" i="9"/>
  <c r="A632" i="9"/>
  <c r="E631" i="9"/>
  <c r="D631" i="9"/>
  <c r="C631" i="9"/>
  <c r="B631" i="9"/>
  <c r="A631" i="9"/>
  <c r="E630" i="9"/>
  <c r="D630" i="9"/>
  <c r="C630" i="9"/>
  <c r="B630" i="9"/>
  <c r="A630" i="9"/>
  <c r="E629" i="9"/>
  <c r="D629" i="9"/>
  <c r="C629" i="9"/>
  <c r="A629" i="9"/>
  <c r="B629" i="9" s="1"/>
  <c r="E628" i="9"/>
  <c r="D628" i="9"/>
  <c r="C628" i="9"/>
  <c r="A628" i="9"/>
  <c r="B628" i="9" s="1"/>
  <c r="E627" i="9"/>
  <c r="D627" i="9"/>
  <c r="C627" i="9"/>
  <c r="B627" i="9"/>
  <c r="A627" i="9"/>
  <c r="E626" i="9"/>
  <c r="D626" i="9"/>
  <c r="C626" i="9"/>
  <c r="B626" i="9"/>
  <c r="A626" i="9"/>
  <c r="E625" i="9"/>
  <c r="D625" i="9"/>
  <c r="C625" i="9"/>
  <c r="B625" i="9"/>
  <c r="A625" i="9"/>
  <c r="E624" i="9"/>
  <c r="D624" i="9"/>
  <c r="C624" i="9"/>
  <c r="B624" i="9"/>
  <c r="A624" i="9"/>
  <c r="E623" i="9"/>
  <c r="D623" i="9"/>
  <c r="C623" i="9"/>
  <c r="B623" i="9"/>
  <c r="A623" i="9"/>
  <c r="E622" i="9"/>
  <c r="D622" i="9"/>
  <c r="C622" i="9"/>
  <c r="A622" i="9"/>
  <c r="B622" i="9" s="1"/>
  <c r="E621" i="9"/>
  <c r="D621" i="9"/>
  <c r="C621" i="9"/>
  <c r="A621" i="9"/>
  <c r="B621" i="9" s="1"/>
  <c r="E620" i="9"/>
  <c r="D620" i="9"/>
  <c r="C620" i="9"/>
  <c r="A620" i="9"/>
  <c r="B620" i="9" s="1"/>
  <c r="E619" i="9"/>
  <c r="D619" i="9"/>
  <c r="C619" i="9"/>
  <c r="A619" i="9"/>
  <c r="B619" i="9" s="1"/>
  <c r="E618" i="9"/>
  <c r="D618" i="9"/>
  <c r="C618" i="9"/>
  <c r="B618" i="9"/>
  <c r="A618" i="9"/>
  <c r="E617" i="9"/>
  <c r="D617" i="9"/>
  <c r="C617" i="9"/>
  <c r="A617" i="9"/>
  <c r="B617" i="9" s="1"/>
  <c r="E616" i="9"/>
  <c r="D616" i="9"/>
  <c r="C616" i="9"/>
  <c r="A616" i="9"/>
  <c r="B616" i="9" s="1"/>
  <c r="E615" i="9"/>
  <c r="D615" i="9"/>
  <c r="C615" i="9"/>
  <c r="B615" i="9"/>
  <c r="A615" i="9"/>
  <c r="E614" i="9"/>
  <c r="D614" i="9"/>
  <c r="C614" i="9"/>
  <c r="B614" i="9"/>
  <c r="A614" i="9"/>
  <c r="E613" i="9"/>
  <c r="D613" i="9"/>
  <c r="C613" i="9"/>
  <c r="A613" i="9"/>
  <c r="B613" i="9" s="1"/>
  <c r="E612" i="9"/>
  <c r="D612" i="9"/>
  <c r="C612" i="9"/>
  <c r="A612" i="9"/>
  <c r="B612" i="9" s="1"/>
  <c r="E611" i="9"/>
  <c r="D611" i="9"/>
  <c r="C611" i="9"/>
  <c r="A611" i="9"/>
  <c r="B611" i="9" s="1"/>
  <c r="E610" i="9"/>
  <c r="D610" i="9"/>
  <c r="C610" i="9"/>
  <c r="B610" i="9"/>
  <c r="A610" i="9"/>
  <c r="E609" i="9"/>
  <c r="D609" i="9"/>
  <c r="C609" i="9"/>
  <c r="B609" i="9"/>
  <c r="A609" i="9"/>
  <c r="E608" i="9"/>
  <c r="D608" i="9"/>
  <c r="C608" i="9"/>
  <c r="B608" i="9"/>
  <c r="A608" i="9"/>
  <c r="E607" i="9"/>
  <c r="D607" i="9"/>
  <c r="C607" i="9"/>
  <c r="A607" i="9"/>
  <c r="B607" i="9" s="1"/>
  <c r="E606" i="9"/>
  <c r="D606" i="9"/>
  <c r="C606" i="9"/>
  <c r="B606" i="9"/>
  <c r="A606" i="9"/>
  <c r="E605" i="9"/>
  <c r="D605" i="9"/>
  <c r="C605" i="9"/>
  <c r="A605" i="9"/>
  <c r="B605" i="9" s="1"/>
  <c r="E604" i="9"/>
  <c r="D604" i="9"/>
  <c r="C604" i="9"/>
  <c r="B604" i="9"/>
  <c r="A604" i="9"/>
  <c r="E603" i="9"/>
  <c r="D603" i="9"/>
  <c r="C603" i="9"/>
  <c r="B603" i="9"/>
  <c r="A603" i="9"/>
  <c r="E602" i="9"/>
  <c r="D602" i="9"/>
  <c r="C602" i="9"/>
  <c r="B602" i="9"/>
  <c r="A602" i="9"/>
  <c r="E601" i="9"/>
  <c r="D601" i="9"/>
  <c r="C601" i="9"/>
  <c r="B601" i="9"/>
  <c r="A601" i="9"/>
  <c r="E600" i="9"/>
  <c r="D600" i="9"/>
  <c r="C600" i="9"/>
  <c r="A600" i="9"/>
  <c r="B600" i="9" s="1"/>
  <c r="E599" i="9"/>
  <c r="D599" i="9"/>
  <c r="C599" i="9"/>
  <c r="A599" i="9"/>
  <c r="B599" i="9" s="1"/>
  <c r="E598" i="9"/>
  <c r="D598" i="9"/>
  <c r="C598" i="9"/>
  <c r="A598" i="9"/>
  <c r="B598" i="9" s="1"/>
  <c r="E597" i="9"/>
  <c r="D597" i="9"/>
  <c r="C597" i="9"/>
  <c r="A597" i="9"/>
  <c r="B597" i="9" s="1"/>
  <c r="E596" i="9"/>
  <c r="D596" i="9"/>
  <c r="C596" i="9"/>
  <c r="B596" i="9"/>
  <c r="A596" i="9"/>
  <c r="E595" i="9"/>
  <c r="D595" i="9"/>
  <c r="C595" i="9"/>
  <c r="A595" i="9"/>
  <c r="B595" i="9" s="1"/>
  <c r="E594" i="9"/>
  <c r="D594" i="9"/>
  <c r="C594" i="9"/>
  <c r="B594" i="9"/>
  <c r="A594" i="9"/>
  <c r="E593" i="9"/>
  <c r="D593" i="9"/>
  <c r="C593" i="9"/>
  <c r="A593" i="9"/>
  <c r="B593" i="9" s="1"/>
  <c r="E592" i="9"/>
  <c r="D592" i="9"/>
  <c r="C592" i="9"/>
  <c r="A592" i="9"/>
  <c r="B592" i="9" s="1"/>
  <c r="E591" i="9"/>
  <c r="D591" i="9"/>
  <c r="C591" i="9"/>
  <c r="B591" i="9"/>
  <c r="A591" i="9"/>
  <c r="E590" i="9"/>
  <c r="D590" i="9"/>
  <c r="C590" i="9"/>
  <c r="B590" i="9"/>
  <c r="A590" i="9"/>
  <c r="E589" i="9"/>
  <c r="D589" i="9"/>
  <c r="C589" i="9"/>
  <c r="A589" i="9"/>
  <c r="B589" i="9" s="1"/>
  <c r="E588" i="9"/>
  <c r="D588" i="9"/>
  <c r="C588" i="9"/>
  <c r="A588" i="9"/>
  <c r="B588" i="9" s="1"/>
  <c r="E587" i="9"/>
  <c r="D587" i="9"/>
  <c r="C587" i="9"/>
  <c r="B587" i="9"/>
  <c r="A587" i="9"/>
  <c r="E586" i="9"/>
  <c r="D586" i="9"/>
  <c r="C586" i="9"/>
  <c r="B586" i="9"/>
  <c r="A586" i="9"/>
  <c r="E585" i="9"/>
  <c r="D585" i="9"/>
  <c r="C585" i="9"/>
  <c r="B585" i="9"/>
  <c r="A585" i="9"/>
  <c r="E584" i="9"/>
  <c r="D584" i="9"/>
  <c r="C584" i="9"/>
  <c r="A584" i="9"/>
  <c r="B584" i="9" s="1"/>
  <c r="E583" i="9"/>
  <c r="D583" i="9"/>
  <c r="C583" i="9"/>
  <c r="B583" i="9"/>
  <c r="A583" i="9"/>
  <c r="E582" i="9"/>
  <c r="D582" i="9"/>
  <c r="C582" i="9"/>
  <c r="B582" i="9"/>
  <c r="A582" i="9"/>
  <c r="E581" i="9"/>
  <c r="D581" i="9"/>
  <c r="C581" i="9"/>
  <c r="A581" i="9"/>
  <c r="B581" i="9" s="1"/>
  <c r="E580" i="9"/>
  <c r="D580" i="9"/>
  <c r="C580" i="9"/>
  <c r="B580" i="9"/>
  <c r="A580" i="9"/>
  <c r="E579" i="9"/>
  <c r="D579" i="9"/>
  <c r="C579" i="9"/>
  <c r="A579" i="9"/>
  <c r="B579" i="9" s="1"/>
  <c r="E578" i="9"/>
  <c r="D578" i="9"/>
  <c r="C578" i="9"/>
  <c r="B578" i="9"/>
  <c r="A578" i="9"/>
  <c r="E577" i="9"/>
  <c r="D577" i="9"/>
  <c r="C577" i="9"/>
  <c r="A577" i="9"/>
  <c r="B577" i="9" s="1"/>
  <c r="E576" i="9"/>
  <c r="D576" i="9"/>
  <c r="C576" i="9"/>
  <c r="A576" i="9"/>
  <c r="B576" i="9" s="1"/>
  <c r="E575" i="9"/>
  <c r="D575" i="9"/>
  <c r="C575" i="9"/>
  <c r="A575" i="9"/>
  <c r="B575" i="9" s="1"/>
  <c r="E574" i="9"/>
  <c r="D574" i="9"/>
  <c r="C574" i="9"/>
  <c r="B574" i="9"/>
  <c r="A574" i="9"/>
  <c r="E573" i="9"/>
  <c r="D573" i="9"/>
  <c r="C573" i="9"/>
  <c r="A573" i="9"/>
  <c r="B573" i="9" s="1"/>
  <c r="E572" i="9"/>
  <c r="D572" i="9"/>
  <c r="C572" i="9"/>
  <c r="A572" i="9"/>
  <c r="B572" i="9" s="1"/>
  <c r="E571" i="9"/>
  <c r="D571" i="9"/>
  <c r="C571" i="9"/>
  <c r="A571" i="9"/>
  <c r="B571" i="9" s="1"/>
  <c r="E570" i="9"/>
  <c r="D570" i="9"/>
  <c r="C570" i="9"/>
  <c r="B570" i="9"/>
  <c r="A570" i="9"/>
  <c r="E569" i="9"/>
  <c r="D569" i="9"/>
  <c r="C569" i="9"/>
  <c r="B569" i="9"/>
  <c r="A569" i="9"/>
  <c r="E568" i="9"/>
  <c r="D568" i="9"/>
  <c r="C568" i="9"/>
  <c r="B568" i="9"/>
  <c r="A568" i="9"/>
  <c r="E567" i="9"/>
  <c r="D567" i="9"/>
  <c r="C567" i="9"/>
  <c r="B567" i="9"/>
  <c r="A567" i="9"/>
  <c r="E566" i="9"/>
  <c r="D566" i="9"/>
  <c r="C566" i="9"/>
  <c r="A566" i="9"/>
  <c r="B566" i="9" s="1"/>
  <c r="E565" i="9"/>
  <c r="D565" i="9"/>
  <c r="C565" i="9"/>
  <c r="A565" i="9"/>
  <c r="B565" i="9" s="1"/>
  <c r="E564" i="9"/>
  <c r="D564" i="9"/>
  <c r="C564" i="9"/>
  <c r="B564" i="9"/>
  <c r="A564" i="9"/>
  <c r="E563" i="9"/>
  <c r="D563" i="9"/>
  <c r="C563" i="9"/>
  <c r="B563" i="9"/>
  <c r="A563" i="9"/>
  <c r="E562" i="9"/>
  <c r="D562" i="9"/>
  <c r="C562" i="9"/>
  <c r="B562" i="9"/>
  <c r="A562" i="9"/>
  <c r="E561" i="9"/>
  <c r="D561" i="9"/>
  <c r="C561" i="9"/>
  <c r="A561" i="9"/>
  <c r="B561" i="9" s="1"/>
  <c r="E560" i="9"/>
  <c r="D560" i="9"/>
  <c r="C560" i="9"/>
  <c r="A560" i="9"/>
  <c r="B560" i="9" s="1"/>
  <c r="E559" i="9"/>
  <c r="D559" i="9"/>
  <c r="C559" i="9"/>
  <c r="B559" i="9"/>
  <c r="A559" i="9"/>
  <c r="E558" i="9"/>
  <c r="D558" i="9"/>
  <c r="C558" i="9"/>
  <c r="A558" i="9"/>
  <c r="B558" i="9" s="1"/>
  <c r="E557" i="9"/>
  <c r="D557" i="9"/>
  <c r="C557" i="9"/>
  <c r="A557" i="9"/>
  <c r="B557" i="9" s="1"/>
  <c r="E556" i="9"/>
  <c r="D556" i="9"/>
  <c r="C556" i="9"/>
  <c r="A556" i="9"/>
  <c r="B556" i="9" s="1"/>
  <c r="E555" i="9"/>
  <c r="D555" i="9"/>
  <c r="C555" i="9"/>
  <c r="A555" i="9"/>
  <c r="B555" i="9" s="1"/>
  <c r="E554" i="9"/>
  <c r="D554" i="9"/>
  <c r="C554" i="9"/>
  <c r="B554" i="9"/>
  <c r="A554" i="9"/>
  <c r="E553" i="9"/>
  <c r="D553" i="9"/>
  <c r="C553" i="9"/>
  <c r="A553" i="9"/>
  <c r="B553" i="9" s="1"/>
  <c r="E552" i="9"/>
  <c r="D552" i="9"/>
  <c r="C552" i="9"/>
  <c r="A552" i="9"/>
  <c r="B552" i="9" s="1"/>
  <c r="E551" i="9"/>
  <c r="D551" i="9"/>
  <c r="C551" i="9"/>
  <c r="B551" i="9"/>
  <c r="A551" i="9"/>
  <c r="E550" i="9"/>
  <c r="D550" i="9"/>
  <c r="C550" i="9"/>
  <c r="B550" i="9"/>
  <c r="A550" i="9"/>
  <c r="E549" i="9"/>
  <c r="D549" i="9"/>
  <c r="C549" i="9"/>
  <c r="A549" i="9"/>
  <c r="B549" i="9" s="1"/>
  <c r="E548" i="9"/>
  <c r="D548" i="9"/>
  <c r="C548" i="9"/>
  <c r="A548" i="9"/>
  <c r="B548" i="9" s="1"/>
  <c r="E547" i="9"/>
  <c r="D547" i="9"/>
  <c r="C547" i="9"/>
  <c r="A547" i="9"/>
  <c r="B547" i="9" s="1"/>
  <c r="E546" i="9"/>
  <c r="D546" i="9"/>
  <c r="C546" i="9"/>
  <c r="B546" i="9"/>
  <c r="A546" i="9"/>
  <c r="E545" i="9"/>
  <c r="D545" i="9"/>
  <c r="C545" i="9"/>
  <c r="B545" i="9"/>
  <c r="A545" i="9"/>
  <c r="E544" i="9"/>
  <c r="D544" i="9"/>
  <c r="C544" i="9"/>
  <c r="B544" i="9"/>
  <c r="A544" i="9"/>
  <c r="E543" i="9"/>
  <c r="D543" i="9"/>
  <c r="C543" i="9"/>
  <c r="A543" i="9"/>
  <c r="B543" i="9" s="1"/>
  <c r="E542" i="9"/>
  <c r="D542" i="9"/>
  <c r="C542" i="9"/>
  <c r="B542" i="9"/>
  <c r="A542" i="9"/>
  <c r="E541" i="9"/>
  <c r="D541" i="9"/>
  <c r="C541" i="9"/>
  <c r="A541" i="9"/>
  <c r="B541" i="9" s="1"/>
  <c r="E540" i="9"/>
  <c r="D540" i="9"/>
  <c r="C540" i="9"/>
  <c r="B540" i="9"/>
  <c r="A540" i="9"/>
  <c r="E539" i="9"/>
  <c r="D539" i="9"/>
  <c r="C539" i="9"/>
  <c r="B539" i="9"/>
  <c r="A539" i="9"/>
  <c r="E538" i="9"/>
  <c r="D538" i="9"/>
  <c r="C538" i="9"/>
  <c r="B538" i="9"/>
  <c r="A538" i="9"/>
  <c r="E537" i="9"/>
  <c r="D537" i="9"/>
  <c r="C537" i="9"/>
  <c r="B537" i="9"/>
  <c r="A537" i="9"/>
  <c r="E536" i="9"/>
  <c r="D536" i="9"/>
  <c r="C536" i="9"/>
  <c r="A536" i="9"/>
  <c r="B536" i="9" s="1"/>
  <c r="E535" i="9"/>
  <c r="D535" i="9"/>
  <c r="C535" i="9"/>
  <c r="A535" i="9"/>
  <c r="B535" i="9" s="1"/>
  <c r="E534" i="9"/>
  <c r="D534" i="9"/>
  <c r="C534" i="9"/>
  <c r="A534" i="9"/>
  <c r="B534" i="9" s="1"/>
  <c r="E533" i="9"/>
  <c r="D533" i="9"/>
  <c r="C533" i="9"/>
  <c r="A533" i="9"/>
  <c r="B533" i="9" s="1"/>
  <c r="E532" i="9"/>
  <c r="D532" i="9"/>
  <c r="C532" i="9"/>
  <c r="B532" i="9"/>
  <c r="A532" i="9"/>
  <c r="E531" i="9"/>
  <c r="D531" i="9"/>
  <c r="C531" i="9"/>
  <c r="A531" i="9"/>
  <c r="B531" i="9" s="1"/>
  <c r="E530" i="9"/>
  <c r="D530" i="9"/>
  <c r="C530" i="9"/>
  <c r="B530" i="9"/>
  <c r="A530" i="9"/>
  <c r="E529" i="9"/>
  <c r="D529" i="9"/>
  <c r="C529" i="9"/>
  <c r="A529" i="9"/>
  <c r="B529" i="9" s="1"/>
  <c r="E528" i="9"/>
  <c r="D528" i="9"/>
  <c r="C528" i="9"/>
  <c r="A528" i="9"/>
  <c r="B528" i="9" s="1"/>
  <c r="E527" i="9"/>
  <c r="D527" i="9"/>
  <c r="C527" i="9"/>
  <c r="B527" i="9"/>
  <c r="A527" i="9"/>
  <c r="E526" i="9"/>
  <c r="D526" i="9"/>
  <c r="C526" i="9"/>
  <c r="B526" i="9"/>
  <c r="A526" i="9"/>
  <c r="E525" i="9"/>
  <c r="D525" i="9"/>
  <c r="C525" i="9"/>
  <c r="A525" i="9"/>
  <c r="B525" i="9" s="1"/>
  <c r="E524" i="9"/>
  <c r="D524" i="9"/>
  <c r="C524" i="9"/>
  <c r="A524" i="9"/>
  <c r="B524" i="9" s="1"/>
  <c r="E523" i="9"/>
  <c r="D523" i="9"/>
  <c r="C523" i="9"/>
  <c r="A523" i="9"/>
  <c r="B523" i="9" s="1"/>
  <c r="E522" i="9"/>
  <c r="D522" i="9"/>
  <c r="C522" i="9"/>
  <c r="B522" i="9"/>
  <c r="A522" i="9"/>
  <c r="E521" i="9"/>
  <c r="D521" i="9"/>
  <c r="C521" i="9"/>
  <c r="B521" i="9"/>
  <c r="A521" i="9"/>
  <c r="E520" i="9"/>
  <c r="D520" i="9"/>
  <c r="C520" i="9"/>
  <c r="A520" i="9"/>
  <c r="B520" i="9" s="1"/>
  <c r="E519" i="9"/>
  <c r="D519" i="9"/>
  <c r="C519" i="9"/>
  <c r="B519" i="9"/>
  <c r="A519" i="9"/>
  <c r="E518" i="9"/>
  <c r="D518" i="9"/>
  <c r="C518" i="9"/>
  <c r="A518" i="9"/>
  <c r="B518" i="9" s="1"/>
  <c r="E517" i="9"/>
  <c r="D517" i="9"/>
  <c r="C517" i="9"/>
  <c r="A517" i="9"/>
  <c r="B517" i="9" s="1"/>
  <c r="E516" i="9"/>
  <c r="D516" i="9"/>
  <c r="C516" i="9"/>
  <c r="B516" i="9"/>
  <c r="A516" i="9"/>
  <c r="E515" i="9"/>
  <c r="D515" i="9"/>
  <c r="C515" i="9"/>
  <c r="A515" i="9"/>
  <c r="B515" i="9" s="1"/>
  <c r="E514" i="9"/>
  <c r="D514" i="9"/>
  <c r="C514" i="9"/>
  <c r="B514" i="9"/>
  <c r="A514" i="9"/>
  <c r="E513" i="9"/>
  <c r="D513" i="9"/>
  <c r="C513" i="9"/>
  <c r="B513" i="9"/>
  <c r="A513" i="9"/>
  <c r="E512" i="9"/>
  <c r="D512" i="9"/>
  <c r="C512" i="9"/>
  <c r="A512" i="9"/>
  <c r="B512" i="9" s="1"/>
  <c r="E511" i="9"/>
  <c r="D511" i="9"/>
  <c r="C511" i="9"/>
  <c r="A511" i="9"/>
  <c r="B511" i="9" s="1"/>
  <c r="E510" i="9"/>
  <c r="D510" i="9"/>
  <c r="C510" i="9"/>
  <c r="B510" i="9"/>
  <c r="A510" i="9"/>
  <c r="E509" i="9"/>
  <c r="D509" i="9"/>
  <c r="C509" i="9"/>
  <c r="A509" i="9"/>
  <c r="B509" i="9" s="1"/>
  <c r="E508" i="9"/>
  <c r="D508" i="9"/>
  <c r="C508" i="9"/>
  <c r="A508" i="9"/>
  <c r="B508" i="9" s="1"/>
  <c r="E507" i="9"/>
  <c r="D507" i="9"/>
  <c r="C507" i="9"/>
  <c r="A507" i="9"/>
  <c r="B507" i="9" s="1"/>
  <c r="E506" i="9"/>
  <c r="D506" i="9"/>
  <c r="C506" i="9"/>
  <c r="B506" i="9"/>
  <c r="A506" i="9"/>
  <c r="E505" i="9"/>
  <c r="D505" i="9"/>
  <c r="C505" i="9"/>
  <c r="B505" i="9"/>
  <c r="A505" i="9"/>
  <c r="E504" i="9"/>
  <c r="D504" i="9"/>
  <c r="C504" i="9"/>
  <c r="B504" i="9"/>
  <c r="A504" i="9"/>
  <c r="E503" i="9"/>
  <c r="D503" i="9"/>
  <c r="C503" i="9"/>
  <c r="B503" i="9"/>
  <c r="A503" i="9"/>
  <c r="E502" i="9"/>
  <c r="D502" i="9"/>
  <c r="C502" i="9"/>
  <c r="B502" i="9"/>
  <c r="A502" i="9"/>
  <c r="E501" i="9"/>
  <c r="D501" i="9"/>
  <c r="C501" i="9"/>
  <c r="A501" i="9"/>
  <c r="B501" i="9" s="1"/>
  <c r="E500" i="9"/>
  <c r="D500" i="9"/>
  <c r="C500" i="9"/>
  <c r="B500" i="9"/>
  <c r="A500" i="9"/>
  <c r="E499" i="9"/>
  <c r="D499" i="9"/>
  <c r="C499" i="9"/>
  <c r="B499" i="9"/>
  <c r="A499" i="9"/>
  <c r="E498" i="9"/>
  <c r="D498" i="9"/>
  <c r="C498" i="9"/>
  <c r="B498" i="9"/>
  <c r="A498" i="9"/>
  <c r="E497" i="9"/>
  <c r="D497" i="9"/>
  <c r="C497" i="9"/>
  <c r="B497" i="9"/>
  <c r="A497" i="9"/>
  <c r="E496" i="9"/>
  <c r="D496" i="9"/>
  <c r="C496" i="9"/>
  <c r="A496" i="9"/>
  <c r="B496" i="9" s="1"/>
  <c r="E495" i="9"/>
  <c r="D495" i="9"/>
  <c r="C495" i="9"/>
  <c r="B495" i="9"/>
  <c r="A495" i="9"/>
  <c r="E494" i="9"/>
  <c r="D494" i="9"/>
  <c r="C494" i="9"/>
  <c r="A494" i="9"/>
  <c r="B494" i="9" s="1"/>
  <c r="E493" i="9"/>
  <c r="D493" i="9"/>
  <c r="C493" i="9"/>
  <c r="A493" i="9"/>
  <c r="B493" i="9" s="1"/>
  <c r="E492" i="9"/>
  <c r="D492" i="9"/>
  <c r="C492" i="9"/>
  <c r="A492" i="9"/>
  <c r="B492" i="9" s="1"/>
  <c r="E491" i="9"/>
  <c r="D491" i="9"/>
  <c r="C491" i="9"/>
  <c r="B491" i="9"/>
  <c r="A491" i="9"/>
  <c r="E490" i="9"/>
  <c r="D490" i="9"/>
  <c r="C490" i="9"/>
  <c r="B490" i="9"/>
  <c r="A490" i="9"/>
  <c r="E489" i="9"/>
  <c r="D489" i="9"/>
  <c r="C489" i="9"/>
  <c r="B489" i="9"/>
  <c r="A489" i="9"/>
  <c r="E488" i="9"/>
  <c r="D488" i="9"/>
  <c r="C488" i="9"/>
  <c r="A488" i="9"/>
  <c r="B488" i="9" s="1"/>
  <c r="E487" i="9"/>
  <c r="D487" i="9"/>
  <c r="C487" i="9"/>
  <c r="B487" i="9"/>
  <c r="A487" i="9"/>
  <c r="E486" i="9"/>
  <c r="D486" i="9"/>
  <c r="C486" i="9"/>
  <c r="A486" i="9"/>
  <c r="B486" i="9" s="1"/>
  <c r="E485" i="9"/>
  <c r="D485" i="9"/>
  <c r="C485" i="9"/>
  <c r="A485" i="9"/>
  <c r="B485" i="9" s="1"/>
  <c r="E484" i="9"/>
  <c r="D484" i="9"/>
  <c r="C484" i="9"/>
  <c r="B484" i="9"/>
  <c r="A484" i="9"/>
  <c r="E483" i="9"/>
  <c r="D483" i="9"/>
  <c r="C483" i="9"/>
  <c r="B483" i="9"/>
  <c r="A483" i="9"/>
  <c r="E482" i="9"/>
  <c r="D482" i="9"/>
  <c r="C482" i="9"/>
  <c r="B482" i="9"/>
  <c r="A482" i="9"/>
  <c r="E481" i="9"/>
  <c r="D481" i="9"/>
  <c r="C481" i="9"/>
  <c r="B481" i="9"/>
  <c r="A481" i="9"/>
  <c r="E480" i="9"/>
  <c r="D480" i="9"/>
  <c r="C480" i="9"/>
  <c r="A480" i="9"/>
  <c r="B480" i="9" s="1"/>
  <c r="E479" i="9"/>
  <c r="D479" i="9"/>
  <c r="C479" i="9"/>
  <c r="B479" i="9"/>
  <c r="A479" i="9"/>
  <c r="E478" i="9"/>
  <c r="D478" i="9"/>
  <c r="C478" i="9"/>
  <c r="A478" i="9"/>
  <c r="B478" i="9" s="1"/>
  <c r="E477" i="9"/>
  <c r="D477" i="9"/>
  <c r="C477" i="9"/>
  <c r="A477" i="9"/>
  <c r="B477" i="9" s="1"/>
  <c r="E476" i="9"/>
  <c r="D476" i="9"/>
  <c r="C476" i="9"/>
  <c r="A476" i="9"/>
  <c r="B476" i="9" s="1"/>
  <c r="E475" i="9"/>
  <c r="D475" i="9"/>
  <c r="C475" i="9"/>
  <c r="B475" i="9"/>
  <c r="A475" i="9"/>
  <c r="E474" i="9"/>
  <c r="D474" i="9"/>
  <c r="C474" i="9"/>
  <c r="B474" i="9"/>
  <c r="A474" i="9"/>
  <c r="E473" i="9"/>
  <c r="D473" i="9"/>
  <c r="C473" i="9"/>
  <c r="B473" i="9"/>
  <c r="A473" i="9"/>
  <c r="E472" i="9"/>
  <c r="D472" i="9"/>
  <c r="C472" i="9"/>
  <c r="A472" i="9"/>
  <c r="B472" i="9" s="1"/>
  <c r="E471" i="9"/>
  <c r="D471" i="9"/>
  <c r="C471" i="9"/>
  <c r="B471" i="9"/>
  <c r="A471" i="9"/>
  <c r="E470" i="9"/>
  <c r="D470" i="9"/>
  <c r="C470" i="9"/>
  <c r="A470" i="9"/>
  <c r="B470" i="9" s="1"/>
  <c r="E469" i="9"/>
  <c r="D469" i="9"/>
  <c r="C469" i="9"/>
  <c r="A469" i="9"/>
  <c r="B469" i="9" s="1"/>
  <c r="E468" i="9"/>
  <c r="D468" i="9"/>
  <c r="C468" i="9"/>
  <c r="A468" i="9"/>
  <c r="B468" i="9" s="1"/>
  <c r="E467" i="9"/>
  <c r="D467" i="9"/>
  <c r="C467" i="9"/>
  <c r="B467" i="9"/>
  <c r="A467" i="9"/>
  <c r="E466" i="9"/>
  <c r="D466" i="9"/>
  <c r="C466" i="9"/>
  <c r="B466" i="9"/>
  <c r="A466" i="9"/>
  <c r="E465" i="9"/>
  <c r="D465" i="9"/>
  <c r="C465" i="9"/>
  <c r="B465" i="9"/>
  <c r="A465" i="9"/>
  <c r="E464" i="9"/>
  <c r="D464" i="9"/>
  <c r="C464" i="9"/>
  <c r="B464" i="9"/>
  <c r="A464" i="9"/>
  <c r="E463" i="9"/>
  <c r="D463" i="9"/>
  <c r="C463" i="9"/>
  <c r="B463" i="9"/>
  <c r="A463" i="9"/>
  <c r="E462" i="9"/>
  <c r="D462" i="9"/>
  <c r="C462" i="9"/>
  <c r="A462" i="9"/>
  <c r="B462" i="9" s="1"/>
  <c r="E461" i="9"/>
  <c r="D461" i="9"/>
  <c r="C461" i="9"/>
  <c r="A461" i="9"/>
  <c r="B461" i="9" s="1"/>
  <c r="E460" i="9"/>
  <c r="D460" i="9"/>
  <c r="C460" i="9"/>
  <c r="A460" i="9"/>
  <c r="B460" i="9" s="1"/>
  <c r="E459" i="9"/>
  <c r="D459" i="9"/>
  <c r="C459" i="9"/>
  <c r="A459" i="9"/>
  <c r="B459" i="9" s="1"/>
  <c r="E458" i="9"/>
  <c r="D458" i="9"/>
  <c r="C458" i="9"/>
  <c r="B458" i="9"/>
  <c r="A458" i="9"/>
  <c r="E457" i="9"/>
  <c r="D457" i="9"/>
  <c r="C457" i="9"/>
  <c r="B457" i="9"/>
  <c r="A457" i="9"/>
  <c r="E456" i="9"/>
  <c r="D456" i="9"/>
  <c r="C456" i="9"/>
  <c r="A456" i="9"/>
  <c r="B456" i="9" s="1"/>
  <c r="E455" i="9"/>
  <c r="D455" i="9"/>
  <c r="C455" i="9"/>
  <c r="B455" i="9"/>
  <c r="A455" i="9"/>
  <c r="E454" i="9"/>
  <c r="D454" i="9"/>
  <c r="C454" i="9"/>
  <c r="A454" i="9"/>
  <c r="B454" i="9" s="1"/>
  <c r="E453" i="9"/>
  <c r="D453" i="9"/>
  <c r="C453" i="9"/>
  <c r="A453" i="9"/>
  <c r="B453" i="9" s="1"/>
  <c r="E452" i="9"/>
  <c r="D452" i="9"/>
  <c r="C452" i="9"/>
  <c r="B452" i="9"/>
  <c r="A452" i="9"/>
  <c r="E451" i="9"/>
  <c r="D451" i="9"/>
  <c r="C451" i="9"/>
  <c r="A451" i="9"/>
  <c r="B451" i="9" s="1"/>
  <c r="E450" i="9"/>
  <c r="D450" i="9"/>
  <c r="C450" i="9"/>
  <c r="B450" i="9"/>
  <c r="A450" i="9"/>
  <c r="E449" i="9"/>
  <c r="D449" i="9"/>
  <c r="C449" i="9"/>
  <c r="B449" i="9"/>
  <c r="A449" i="9"/>
  <c r="E448" i="9"/>
  <c r="D448" i="9"/>
  <c r="C448" i="9"/>
  <c r="B448" i="9"/>
  <c r="A448" i="9"/>
  <c r="E447" i="9"/>
  <c r="D447" i="9"/>
  <c r="C447" i="9"/>
  <c r="A447" i="9"/>
  <c r="B447" i="9" s="1"/>
  <c r="E446" i="9"/>
  <c r="D446" i="9"/>
  <c r="C446" i="9"/>
  <c r="B446" i="9"/>
  <c r="A446" i="9"/>
  <c r="E445" i="9"/>
  <c r="D445" i="9"/>
  <c r="C445" i="9"/>
  <c r="A445" i="9"/>
  <c r="B445" i="9" s="1"/>
  <c r="E444" i="9"/>
  <c r="D444" i="9"/>
  <c r="C444" i="9"/>
  <c r="A444" i="9"/>
  <c r="B444" i="9" s="1"/>
  <c r="E443" i="9"/>
  <c r="D443" i="9"/>
  <c r="C443" i="9"/>
  <c r="B443" i="9"/>
  <c r="A443" i="9"/>
  <c r="E442" i="9"/>
  <c r="D442" i="9"/>
  <c r="C442" i="9"/>
  <c r="B442" i="9"/>
  <c r="A442" i="9"/>
  <c r="E441" i="9"/>
  <c r="D441" i="9"/>
  <c r="C441" i="9"/>
  <c r="B441" i="9"/>
  <c r="A441" i="9"/>
  <c r="E440" i="9"/>
  <c r="D440" i="9"/>
  <c r="C440" i="9"/>
  <c r="B440" i="9"/>
  <c r="A440" i="9"/>
  <c r="E439" i="9"/>
  <c r="D439" i="9"/>
  <c r="C439" i="9"/>
  <c r="B439" i="9"/>
  <c r="A439" i="9"/>
  <c r="E438" i="9"/>
  <c r="D438" i="9"/>
  <c r="C438" i="9"/>
  <c r="A438" i="9"/>
  <c r="B438" i="9" s="1"/>
  <c r="E437" i="9"/>
  <c r="D437" i="9"/>
  <c r="C437" i="9"/>
  <c r="A437" i="9"/>
  <c r="B437" i="9" s="1"/>
  <c r="E436" i="9"/>
  <c r="D436" i="9"/>
  <c r="C436" i="9"/>
  <c r="B436" i="9"/>
  <c r="A436" i="9"/>
  <c r="E435" i="9"/>
  <c r="D435" i="9"/>
  <c r="C435" i="9"/>
  <c r="A435" i="9"/>
  <c r="B435" i="9" s="1"/>
  <c r="E434" i="9"/>
  <c r="D434" i="9"/>
  <c r="C434" i="9"/>
  <c r="B434" i="9"/>
  <c r="A434" i="9"/>
  <c r="E433" i="9"/>
  <c r="D433" i="9"/>
  <c r="C433" i="9"/>
  <c r="A433" i="9"/>
  <c r="B433" i="9" s="1"/>
  <c r="E432" i="9"/>
  <c r="D432" i="9"/>
  <c r="C432" i="9"/>
  <c r="B432" i="9"/>
  <c r="A432" i="9"/>
  <c r="E431" i="9"/>
  <c r="D431" i="9"/>
  <c r="C431" i="9"/>
  <c r="B431" i="9"/>
  <c r="A431" i="9"/>
  <c r="E430" i="9"/>
  <c r="D430" i="9"/>
  <c r="C430" i="9"/>
  <c r="B430" i="9"/>
  <c r="A430" i="9"/>
  <c r="E429" i="9"/>
  <c r="D429" i="9"/>
  <c r="C429" i="9"/>
  <c r="A429" i="9"/>
  <c r="B429" i="9" s="1"/>
  <c r="E428" i="9"/>
  <c r="D428" i="9"/>
  <c r="C428" i="9"/>
  <c r="A428" i="9"/>
  <c r="B428" i="9" s="1"/>
  <c r="E427" i="9"/>
  <c r="D427" i="9"/>
  <c r="C427" i="9"/>
  <c r="A427" i="9"/>
  <c r="B427" i="9" s="1"/>
  <c r="E426" i="9"/>
  <c r="D426" i="9"/>
  <c r="C426" i="9"/>
  <c r="B426" i="9"/>
  <c r="A426" i="9"/>
  <c r="E425" i="9"/>
  <c r="D425" i="9"/>
  <c r="C425" i="9"/>
  <c r="B425" i="9"/>
  <c r="A425" i="9"/>
  <c r="E424" i="9"/>
  <c r="D424" i="9"/>
  <c r="C424" i="9"/>
  <c r="A424" i="9"/>
  <c r="B424" i="9" s="1"/>
  <c r="E423" i="9"/>
  <c r="D423" i="9"/>
  <c r="C423" i="9"/>
  <c r="B423" i="9"/>
  <c r="A423" i="9"/>
  <c r="E422" i="9"/>
  <c r="D422" i="9"/>
  <c r="C422" i="9"/>
  <c r="B422" i="9"/>
  <c r="A422" i="9"/>
  <c r="E421" i="9"/>
  <c r="D421" i="9"/>
  <c r="C421" i="9"/>
  <c r="A421" i="9"/>
  <c r="B421" i="9" s="1"/>
  <c r="E420" i="9"/>
  <c r="D420" i="9"/>
  <c r="C420" i="9"/>
  <c r="B420" i="9"/>
  <c r="A420" i="9"/>
  <c r="E419" i="9"/>
  <c r="D419" i="9"/>
  <c r="C419" i="9"/>
  <c r="A419" i="9"/>
  <c r="B419" i="9" s="1"/>
  <c r="E418" i="9"/>
  <c r="D418" i="9"/>
  <c r="C418" i="9"/>
  <c r="B418" i="9"/>
  <c r="A418" i="9"/>
  <c r="E417" i="9"/>
  <c r="D417" i="9"/>
  <c r="C417" i="9"/>
  <c r="A417" i="9"/>
  <c r="B417" i="9" s="1"/>
  <c r="E416" i="9"/>
  <c r="D416" i="9"/>
  <c r="C416" i="9"/>
  <c r="B416" i="9"/>
  <c r="A416" i="9"/>
  <c r="E415" i="9"/>
  <c r="D415" i="9"/>
  <c r="C415" i="9"/>
  <c r="A415" i="9"/>
  <c r="B415" i="9" s="1"/>
  <c r="E414" i="9"/>
  <c r="D414" i="9"/>
  <c r="C414" i="9"/>
  <c r="A414" i="9"/>
  <c r="B414" i="9" s="1"/>
  <c r="E413" i="9"/>
  <c r="D413" i="9"/>
  <c r="C413" i="9"/>
  <c r="A413" i="9"/>
  <c r="B413" i="9" s="1"/>
  <c r="E412" i="9"/>
  <c r="D412" i="9"/>
  <c r="C412" i="9"/>
  <c r="B412" i="9"/>
  <c r="A412" i="9"/>
  <c r="E411" i="9"/>
  <c r="D411" i="9"/>
  <c r="C411" i="9"/>
  <c r="B411" i="9"/>
  <c r="A411" i="9"/>
  <c r="E410" i="9"/>
  <c r="D410" i="9"/>
  <c r="C410" i="9"/>
  <c r="B410" i="9"/>
  <c r="A410" i="9"/>
  <c r="E409" i="9"/>
  <c r="D409" i="9"/>
  <c r="C409" i="9"/>
  <c r="A409" i="9"/>
  <c r="B409" i="9" s="1"/>
  <c r="E408" i="9"/>
  <c r="D408" i="9"/>
  <c r="C408" i="9"/>
  <c r="A408" i="9"/>
  <c r="B408" i="9" s="1"/>
  <c r="E407" i="9"/>
  <c r="D407" i="9"/>
  <c r="C407" i="9"/>
  <c r="B407" i="9"/>
  <c r="A407" i="9"/>
  <c r="E406" i="9"/>
  <c r="D406" i="9"/>
  <c r="C406" i="9"/>
  <c r="A406" i="9"/>
  <c r="B406" i="9" s="1"/>
  <c r="E405" i="9"/>
  <c r="D405" i="9"/>
  <c r="C405" i="9"/>
  <c r="A405" i="9"/>
  <c r="B405" i="9" s="1"/>
  <c r="E404" i="9"/>
  <c r="D404" i="9"/>
  <c r="C404" i="9"/>
  <c r="B404" i="9"/>
  <c r="A404" i="9"/>
  <c r="E403" i="9"/>
  <c r="D403" i="9"/>
  <c r="C403" i="9"/>
  <c r="B403" i="9"/>
  <c r="A403" i="9"/>
  <c r="E402" i="9"/>
  <c r="D402" i="9"/>
  <c r="C402" i="9"/>
  <c r="B402" i="9"/>
  <c r="A402" i="9"/>
  <c r="E401" i="9"/>
  <c r="D401" i="9"/>
  <c r="C401" i="9"/>
  <c r="A401" i="9"/>
  <c r="B401" i="9" s="1"/>
  <c r="E400" i="9"/>
  <c r="D400" i="9"/>
  <c r="C400" i="9"/>
  <c r="A400" i="9"/>
  <c r="B400" i="9" s="1"/>
  <c r="E399" i="9"/>
  <c r="D399" i="9"/>
  <c r="C399" i="9"/>
  <c r="A399" i="9"/>
  <c r="B399" i="9" s="1"/>
  <c r="E398" i="9"/>
  <c r="D398" i="9"/>
  <c r="C398" i="9"/>
  <c r="B398" i="9"/>
  <c r="A398" i="9"/>
  <c r="E397" i="9"/>
  <c r="D397" i="9"/>
  <c r="C397" i="9"/>
  <c r="A397" i="9"/>
  <c r="B397" i="9" s="1"/>
  <c r="E396" i="9"/>
  <c r="D396" i="9"/>
  <c r="C396" i="9"/>
  <c r="A396" i="9"/>
  <c r="B396" i="9" s="1"/>
  <c r="E395" i="9"/>
  <c r="D395" i="9"/>
  <c r="C395" i="9"/>
  <c r="B395" i="9"/>
  <c r="A395" i="9"/>
  <c r="E394" i="9"/>
  <c r="D394" i="9"/>
  <c r="C394" i="9"/>
  <c r="B394" i="9"/>
  <c r="A394" i="9"/>
  <c r="E393" i="9"/>
  <c r="D393" i="9"/>
  <c r="C393" i="9"/>
  <c r="B393" i="9"/>
  <c r="A393" i="9"/>
  <c r="E392" i="9"/>
  <c r="D392" i="9"/>
  <c r="C392" i="9"/>
  <c r="A392" i="9"/>
  <c r="B392" i="9" s="1"/>
  <c r="E391" i="9"/>
  <c r="D391" i="9"/>
  <c r="C391" i="9"/>
  <c r="B391" i="9"/>
  <c r="A391" i="9"/>
  <c r="E390" i="9"/>
  <c r="D390" i="9"/>
  <c r="C390" i="9"/>
  <c r="B390" i="9"/>
  <c r="A390" i="9"/>
  <c r="E389" i="9"/>
  <c r="D389" i="9"/>
  <c r="C389" i="9"/>
  <c r="A389" i="9"/>
  <c r="B389" i="9" s="1"/>
  <c r="E388" i="9"/>
  <c r="D388" i="9"/>
  <c r="C388" i="9"/>
  <c r="B388" i="9"/>
  <c r="A388" i="9"/>
  <c r="E387" i="9"/>
  <c r="D387" i="9"/>
  <c r="C387" i="9"/>
  <c r="A387" i="9"/>
  <c r="B387" i="9" s="1"/>
  <c r="E386" i="9"/>
  <c r="D386" i="9"/>
  <c r="C386" i="9"/>
  <c r="B386" i="9"/>
  <c r="A386" i="9"/>
  <c r="E385" i="9"/>
  <c r="D385" i="9"/>
  <c r="C385" i="9"/>
  <c r="B385" i="9"/>
  <c r="A385" i="9"/>
  <c r="E384" i="9"/>
  <c r="D384" i="9"/>
  <c r="C384" i="9"/>
  <c r="B384" i="9"/>
  <c r="A384" i="9"/>
  <c r="E383" i="9"/>
  <c r="D383" i="9"/>
  <c r="C383" i="9"/>
  <c r="A383" i="9"/>
  <c r="B383" i="9" s="1"/>
  <c r="E382" i="9"/>
  <c r="D382" i="9"/>
  <c r="C382" i="9"/>
  <c r="B382" i="9"/>
  <c r="A382" i="9"/>
  <c r="E381" i="9"/>
  <c r="D381" i="9"/>
  <c r="C381" i="9"/>
  <c r="A381" i="9"/>
  <c r="B381" i="9" s="1"/>
  <c r="E380" i="9"/>
  <c r="D380" i="9"/>
  <c r="C380" i="9"/>
  <c r="A380" i="9"/>
  <c r="B380" i="9" s="1"/>
  <c r="E379" i="9"/>
  <c r="D379" i="9"/>
  <c r="C379" i="9"/>
  <c r="B379" i="9"/>
  <c r="A379" i="9"/>
  <c r="E378" i="9"/>
  <c r="D378" i="9"/>
  <c r="C378" i="9"/>
  <c r="B378" i="9"/>
  <c r="A378" i="9"/>
  <c r="E377" i="9"/>
  <c r="D377" i="9"/>
  <c r="C377" i="9"/>
  <c r="B377" i="9"/>
  <c r="A377" i="9"/>
  <c r="E376" i="9"/>
  <c r="D376" i="9"/>
  <c r="C376" i="9"/>
  <c r="B376" i="9"/>
  <c r="A376" i="9"/>
  <c r="E375" i="9"/>
  <c r="D375" i="9"/>
  <c r="C375" i="9"/>
  <c r="B375" i="9"/>
  <c r="A375" i="9"/>
  <c r="E374" i="9"/>
  <c r="D374" i="9"/>
  <c r="C374" i="9"/>
  <c r="A374" i="9"/>
  <c r="B374" i="9" s="1"/>
  <c r="E373" i="9"/>
  <c r="D373" i="9"/>
  <c r="C373" i="9"/>
  <c r="A373" i="9"/>
  <c r="B373" i="9" s="1"/>
  <c r="E372" i="9"/>
  <c r="D372" i="9"/>
  <c r="C372" i="9"/>
  <c r="A372" i="9"/>
  <c r="B372" i="9" s="1"/>
  <c r="E371" i="9"/>
  <c r="D371" i="9"/>
  <c r="C371" i="9"/>
  <c r="A371" i="9"/>
  <c r="B371" i="9" s="1"/>
  <c r="E370" i="9"/>
  <c r="D370" i="9"/>
  <c r="C370" i="9"/>
  <c r="B370" i="9"/>
  <c r="A370" i="9"/>
  <c r="E369" i="9"/>
  <c r="D369" i="9"/>
  <c r="C369" i="9"/>
  <c r="A369" i="9"/>
  <c r="B369" i="9" s="1"/>
  <c r="E368" i="9"/>
  <c r="D368" i="9"/>
  <c r="C368" i="9"/>
  <c r="B368" i="9"/>
  <c r="A368" i="9"/>
  <c r="E367" i="9"/>
  <c r="D367" i="9"/>
  <c r="C367" i="9"/>
  <c r="A367" i="9"/>
  <c r="B367" i="9" s="1"/>
  <c r="E366" i="9"/>
  <c r="D366" i="9"/>
  <c r="C366" i="9"/>
  <c r="B366" i="9"/>
  <c r="A366" i="9"/>
  <c r="E365" i="9"/>
  <c r="D365" i="9"/>
  <c r="C365" i="9"/>
  <c r="A365" i="9"/>
  <c r="B365" i="9" s="1"/>
  <c r="E364" i="9"/>
  <c r="D364" i="9"/>
  <c r="C364" i="9"/>
  <c r="A364" i="9"/>
  <c r="B364" i="9" s="1"/>
  <c r="E363" i="9"/>
  <c r="D363" i="9"/>
  <c r="C363" i="9"/>
  <c r="A363" i="9"/>
  <c r="B363" i="9" s="1"/>
  <c r="E362" i="9"/>
  <c r="D362" i="9"/>
  <c r="C362" i="9"/>
  <c r="B362" i="9"/>
  <c r="A362" i="9"/>
  <c r="E361" i="9"/>
  <c r="D361" i="9"/>
  <c r="C361" i="9"/>
  <c r="B361" i="9"/>
  <c r="A361" i="9"/>
  <c r="E360" i="9"/>
  <c r="D360" i="9"/>
  <c r="C360" i="9"/>
  <c r="A360" i="9"/>
  <c r="B360" i="9" s="1"/>
  <c r="E359" i="9"/>
  <c r="D359" i="9"/>
  <c r="C359" i="9"/>
  <c r="A359" i="9"/>
  <c r="B359" i="9" s="1"/>
  <c r="E358" i="9"/>
  <c r="D358" i="9"/>
  <c r="C358" i="9"/>
  <c r="B358" i="9"/>
  <c r="A358" i="9"/>
  <c r="E357" i="9"/>
  <c r="D357" i="9"/>
  <c r="C357" i="9"/>
  <c r="A357" i="9"/>
  <c r="B357" i="9" s="1"/>
  <c r="E356" i="9"/>
  <c r="D356" i="9"/>
  <c r="C356" i="9"/>
  <c r="B356" i="9"/>
  <c r="A356" i="9"/>
  <c r="E355" i="9"/>
  <c r="D355" i="9"/>
  <c r="C355" i="9"/>
  <c r="A355" i="9"/>
  <c r="B355" i="9" s="1"/>
  <c r="E354" i="9"/>
  <c r="D354" i="9"/>
  <c r="C354" i="9"/>
  <c r="B354" i="9"/>
  <c r="A354" i="9"/>
  <c r="E353" i="9"/>
  <c r="D353" i="9"/>
  <c r="C353" i="9"/>
  <c r="A353" i="9"/>
  <c r="B353" i="9" s="1"/>
  <c r="E352" i="9"/>
  <c r="D352" i="9"/>
  <c r="C352" i="9"/>
  <c r="B352" i="9"/>
  <c r="A352" i="9"/>
  <c r="E351" i="9"/>
  <c r="D351" i="9"/>
  <c r="C351" i="9"/>
  <c r="A351" i="9"/>
  <c r="B351" i="9" s="1"/>
  <c r="E350" i="9"/>
  <c r="D350" i="9"/>
  <c r="C350" i="9"/>
  <c r="B350" i="9"/>
  <c r="A350" i="9"/>
  <c r="E349" i="9"/>
  <c r="D349" i="9"/>
  <c r="C349" i="9"/>
  <c r="A349" i="9"/>
  <c r="B349" i="9" s="1"/>
  <c r="E348" i="9"/>
  <c r="D348" i="9"/>
  <c r="C348" i="9"/>
  <c r="A348" i="9"/>
  <c r="B348" i="9" s="1"/>
  <c r="E347" i="9"/>
  <c r="D347" i="9"/>
  <c r="C347" i="9"/>
  <c r="B347" i="9"/>
  <c r="A347" i="9"/>
  <c r="E346" i="9"/>
  <c r="D346" i="9"/>
  <c r="C346" i="9"/>
  <c r="B346" i="9"/>
  <c r="A346" i="9"/>
  <c r="E345" i="9"/>
  <c r="D345" i="9"/>
  <c r="C345" i="9"/>
  <c r="B345" i="9"/>
  <c r="A345" i="9"/>
  <c r="E344" i="9"/>
  <c r="D344" i="9"/>
  <c r="C344" i="9"/>
  <c r="B344" i="9"/>
  <c r="A344" i="9"/>
  <c r="E343" i="9"/>
  <c r="D343" i="9"/>
  <c r="C343" i="9"/>
  <c r="B343" i="9"/>
  <c r="A343" i="9"/>
  <c r="E342" i="9"/>
  <c r="D342" i="9"/>
  <c r="C342" i="9"/>
  <c r="A342" i="9"/>
  <c r="B342" i="9" s="1"/>
  <c r="E341" i="9"/>
  <c r="D341" i="9"/>
  <c r="C341" i="9"/>
  <c r="A341" i="9"/>
  <c r="B341" i="9" s="1"/>
  <c r="E340" i="9"/>
  <c r="D340" i="9"/>
  <c r="C340" i="9"/>
  <c r="B340" i="9"/>
  <c r="A340" i="9"/>
  <c r="E339" i="9"/>
  <c r="D339" i="9"/>
  <c r="C339" i="9"/>
  <c r="B339" i="9"/>
  <c r="A339" i="9"/>
  <c r="E338" i="9"/>
  <c r="D338" i="9"/>
  <c r="C338" i="9"/>
  <c r="B338" i="9"/>
  <c r="A338" i="9"/>
  <c r="E337" i="9"/>
  <c r="D337" i="9"/>
  <c r="C337" i="9"/>
  <c r="A337" i="9"/>
  <c r="B337" i="9" s="1"/>
  <c r="E336" i="9"/>
  <c r="D336" i="9"/>
  <c r="C336" i="9"/>
  <c r="B336" i="9"/>
  <c r="A336" i="9"/>
  <c r="E335" i="9"/>
  <c r="D335" i="9"/>
  <c r="C335" i="9"/>
  <c r="B335" i="9"/>
  <c r="A335" i="9"/>
  <c r="E334" i="9"/>
  <c r="D334" i="9"/>
  <c r="C334" i="9"/>
  <c r="B334" i="9"/>
  <c r="A334" i="9"/>
  <c r="E333" i="9"/>
  <c r="D333" i="9"/>
  <c r="C333" i="9"/>
  <c r="A333" i="9"/>
  <c r="B333" i="9" s="1"/>
  <c r="E332" i="9"/>
  <c r="D332" i="9"/>
  <c r="C332" i="9"/>
  <c r="A332" i="9"/>
  <c r="B332" i="9" s="1"/>
  <c r="E331" i="9"/>
  <c r="D331" i="9"/>
  <c r="C331" i="9"/>
  <c r="A331" i="9"/>
  <c r="B331" i="9" s="1"/>
  <c r="E330" i="9"/>
  <c r="D330" i="9"/>
  <c r="C330" i="9"/>
  <c r="B330" i="9"/>
  <c r="A330" i="9"/>
  <c r="E329" i="9"/>
  <c r="D329" i="9"/>
  <c r="C329" i="9"/>
  <c r="B329" i="9"/>
  <c r="A329" i="9"/>
  <c r="E328" i="9"/>
  <c r="D328" i="9"/>
  <c r="C328" i="9"/>
  <c r="A328" i="9"/>
  <c r="B328" i="9" s="1"/>
  <c r="E327" i="9"/>
  <c r="D327" i="9"/>
  <c r="C327" i="9"/>
  <c r="A327" i="9"/>
  <c r="B327" i="9" s="1"/>
  <c r="E326" i="9"/>
  <c r="D326" i="9"/>
  <c r="C326" i="9"/>
  <c r="A326" i="9"/>
  <c r="B326" i="9" s="1"/>
  <c r="E325" i="9"/>
  <c r="D325" i="9"/>
  <c r="C325" i="9"/>
  <c r="A325" i="9"/>
  <c r="B325" i="9" s="1"/>
  <c r="E324" i="9"/>
  <c r="D324" i="9"/>
  <c r="C324" i="9"/>
  <c r="B324" i="9"/>
  <c r="A324" i="9"/>
  <c r="E323" i="9"/>
  <c r="D323" i="9"/>
  <c r="C323" i="9"/>
  <c r="A323" i="9"/>
  <c r="B323" i="9" s="1"/>
  <c r="E322" i="9"/>
  <c r="D322" i="9"/>
  <c r="C322" i="9"/>
  <c r="B322" i="9"/>
  <c r="A322" i="9"/>
  <c r="E321" i="9"/>
  <c r="D321" i="9"/>
  <c r="C321" i="9"/>
  <c r="B321" i="9"/>
  <c r="A321" i="9"/>
  <c r="E320" i="9"/>
  <c r="D320" i="9"/>
  <c r="C320" i="9"/>
  <c r="B320" i="9"/>
  <c r="A320" i="9"/>
  <c r="E319" i="9"/>
  <c r="D319" i="9"/>
  <c r="C319" i="9"/>
  <c r="A319" i="9"/>
  <c r="B319" i="9" s="1"/>
  <c r="E318" i="9"/>
  <c r="D318" i="9"/>
  <c r="C318" i="9"/>
  <c r="A318" i="9"/>
  <c r="B318" i="9" s="1"/>
  <c r="E317" i="9"/>
  <c r="D317" i="9"/>
  <c r="C317" i="9"/>
  <c r="A317" i="9"/>
  <c r="B317" i="9" s="1"/>
  <c r="E316" i="9"/>
  <c r="D316" i="9"/>
  <c r="C316" i="9"/>
  <c r="B316" i="9"/>
  <c r="A316" i="9"/>
  <c r="E315" i="9"/>
  <c r="D315" i="9"/>
  <c r="C315" i="9"/>
  <c r="B315" i="9"/>
  <c r="A315" i="9"/>
  <c r="E314" i="9"/>
  <c r="D314" i="9"/>
  <c r="C314" i="9"/>
  <c r="B314" i="9"/>
  <c r="A314" i="9"/>
  <c r="E313" i="9"/>
  <c r="D313" i="9"/>
  <c r="C313" i="9"/>
  <c r="A313" i="9"/>
  <c r="B313" i="9" s="1"/>
  <c r="E312" i="9"/>
  <c r="D312" i="9"/>
  <c r="C312" i="9"/>
  <c r="B312" i="9"/>
  <c r="A312" i="9"/>
  <c r="E311" i="9"/>
  <c r="D311" i="9"/>
  <c r="C311" i="9"/>
  <c r="B311" i="9"/>
  <c r="A311" i="9"/>
  <c r="E310" i="9"/>
  <c r="D310" i="9"/>
  <c r="C310" i="9"/>
  <c r="A310" i="9"/>
  <c r="B310" i="9" s="1"/>
  <c r="E309" i="9"/>
  <c r="D309" i="9"/>
  <c r="C309" i="9"/>
  <c r="A309" i="9"/>
  <c r="B309" i="9" s="1"/>
  <c r="E308" i="9"/>
  <c r="D308" i="9"/>
  <c r="C308" i="9"/>
  <c r="B308" i="9"/>
  <c r="A308" i="9"/>
  <c r="E307" i="9"/>
  <c r="D307" i="9"/>
  <c r="C307" i="9"/>
  <c r="A307" i="9"/>
  <c r="B307" i="9" s="1"/>
  <c r="E306" i="9"/>
  <c r="D306" i="9"/>
  <c r="C306" i="9"/>
  <c r="B306" i="9"/>
  <c r="A306" i="9"/>
  <c r="E305" i="9"/>
  <c r="D305" i="9"/>
  <c r="C305" i="9"/>
  <c r="A305" i="9"/>
  <c r="B305" i="9" s="1"/>
  <c r="E304" i="9"/>
  <c r="D304" i="9"/>
  <c r="C304" i="9"/>
  <c r="B304" i="9"/>
  <c r="A304" i="9"/>
  <c r="E303" i="9"/>
  <c r="D303" i="9"/>
  <c r="C303" i="9"/>
  <c r="B303" i="9"/>
  <c r="A303" i="9"/>
  <c r="E302" i="9"/>
  <c r="D302" i="9"/>
  <c r="C302" i="9"/>
  <c r="B302" i="9"/>
  <c r="A302" i="9"/>
  <c r="E301" i="9"/>
  <c r="D301" i="9"/>
  <c r="C301" i="9"/>
  <c r="A301" i="9"/>
  <c r="B301" i="9" s="1"/>
  <c r="E300" i="9"/>
  <c r="D300" i="9"/>
  <c r="C300" i="9"/>
  <c r="A300" i="9"/>
  <c r="B300" i="9" s="1"/>
  <c r="E299" i="9"/>
  <c r="D299" i="9"/>
  <c r="C299" i="9"/>
  <c r="B299" i="9"/>
  <c r="A299" i="9"/>
  <c r="E298" i="9"/>
  <c r="D298" i="9"/>
  <c r="C298" i="9"/>
  <c r="B298" i="9"/>
  <c r="A298" i="9"/>
  <c r="E297" i="9"/>
  <c r="D297" i="9"/>
  <c r="C297" i="9"/>
  <c r="B297" i="9"/>
  <c r="A297" i="9"/>
  <c r="E296" i="9"/>
  <c r="D296" i="9"/>
  <c r="C296" i="9"/>
  <c r="A296" i="9"/>
  <c r="B296" i="9" s="1"/>
  <c r="E295" i="9"/>
  <c r="D295" i="9"/>
  <c r="C295" i="9"/>
  <c r="A295" i="9"/>
  <c r="B295" i="9" s="1"/>
  <c r="E294" i="9"/>
  <c r="D294" i="9"/>
  <c r="C294" i="9"/>
  <c r="B294" i="9"/>
  <c r="A294" i="9"/>
  <c r="E293" i="9"/>
  <c r="D293" i="9"/>
  <c r="C293" i="9"/>
  <c r="A293" i="9"/>
  <c r="B293" i="9" s="1"/>
  <c r="E292" i="9"/>
  <c r="D292" i="9"/>
  <c r="C292" i="9"/>
  <c r="B292" i="9"/>
  <c r="A292" i="9"/>
  <c r="E291" i="9"/>
  <c r="D291" i="9"/>
  <c r="C291" i="9"/>
  <c r="A291" i="9"/>
  <c r="B291" i="9" s="1"/>
  <c r="E290" i="9"/>
  <c r="D290" i="9"/>
  <c r="C290" i="9"/>
  <c r="B290" i="9"/>
  <c r="A290" i="9"/>
  <c r="E289" i="9"/>
  <c r="D289" i="9"/>
  <c r="C289" i="9"/>
  <c r="A289" i="9"/>
  <c r="B289" i="9" s="1"/>
  <c r="E288" i="9"/>
  <c r="D288" i="9"/>
  <c r="C288" i="9"/>
  <c r="B288" i="9"/>
  <c r="A288" i="9"/>
  <c r="E287" i="9"/>
  <c r="D287" i="9"/>
  <c r="C287" i="9"/>
  <c r="A287" i="9"/>
  <c r="B287" i="9" s="1"/>
  <c r="E286" i="9"/>
  <c r="D286" i="9"/>
  <c r="C286" i="9"/>
  <c r="B286" i="9"/>
  <c r="A286" i="9"/>
  <c r="E285" i="9"/>
  <c r="D285" i="9"/>
  <c r="C285" i="9"/>
  <c r="A285" i="9"/>
  <c r="B285" i="9" s="1"/>
  <c r="E284" i="9"/>
  <c r="D284" i="9"/>
  <c r="C284" i="9"/>
  <c r="B284" i="9"/>
  <c r="A284" i="9"/>
  <c r="E283" i="9"/>
  <c r="D283" i="9"/>
  <c r="C283" i="9"/>
  <c r="B283" i="9"/>
  <c r="A283" i="9"/>
  <c r="E282" i="9"/>
  <c r="D282" i="9"/>
  <c r="C282" i="9"/>
  <c r="B282" i="9"/>
  <c r="A282" i="9"/>
  <c r="E281" i="9"/>
  <c r="D281" i="9"/>
  <c r="C281" i="9"/>
  <c r="B281" i="9"/>
  <c r="A281" i="9"/>
  <c r="E280" i="9"/>
  <c r="D280" i="9"/>
  <c r="C280" i="9"/>
  <c r="A280" i="9"/>
  <c r="B280" i="9" s="1"/>
  <c r="E279" i="9"/>
  <c r="D279" i="9"/>
  <c r="C279" i="9"/>
  <c r="B279" i="9"/>
  <c r="A279" i="9"/>
  <c r="E278" i="9"/>
  <c r="D278" i="9"/>
  <c r="C278" i="9"/>
  <c r="A278" i="9"/>
  <c r="B278" i="9" s="1"/>
  <c r="E277" i="9"/>
  <c r="D277" i="9"/>
  <c r="C277" i="9"/>
  <c r="A277" i="9"/>
  <c r="B277" i="9" s="1"/>
  <c r="E276" i="9"/>
  <c r="D276" i="9"/>
  <c r="C276" i="9"/>
  <c r="A276" i="9"/>
  <c r="B276" i="9" s="1"/>
  <c r="E275" i="9"/>
  <c r="D275" i="9"/>
  <c r="C275" i="9"/>
  <c r="B275" i="9"/>
  <c r="A275" i="9"/>
  <c r="E274" i="9"/>
  <c r="D274" i="9"/>
  <c r="C274" i="9"/>
  <c r="B274" i="9"/>
  <c r="A274" i="9"/>
  <c r="E273" i="9"/>
  <c r="D273" i="9"/>
  <c r="C273" i="9"/>
  <c r="A273" i="9"/>
  <c r="B273" i="9" s="1"/>
  <c r="E272" i="9"/>
  <c r="D272" i="9"/>
  <c r="C272" i="9"/>
  <c r="A272" i="9"/>
  <c r="B272" i="9" s="1"/>
  <c r="E271" i="9"/>
  <c r="D271" i="9"/>
  <c r="C271" i="9"/>
  <c r="B271" i="9"/>
  <c r="A271" i="9"/>
  <c r="E270" i="9"/>
  <c r="D270" i="9"/>
  <c r="C270" i="9"/>
  <c r="B270" i="9"/>
  <c r="A270" i="9"/>
  <c r="E269" i="9"/>
  <c r="D269" i="9"/>
  <c r="C269" i="9"/>
  <c r="A269" i="9"/>
  <c r="B269" i="9" s="1"/>
  <c r="E268" i="9"/>
  <c r="D268" i="9"/>
  <c r="C268" i="9"/>
  <c r="A268" i="9"/>
  <c r="B268" i="9" s="1"/>
  <c r="E267" i="9"/>
  <c r="D267" i="9"/>
  <c r="C267" i="9"/>
  <c r="B267" i="9"/>
  <c r="A267" i="9"/>
  <c r="E266" i="9"/>
  <c r="D266" i="9"/>
  <c r="C266" i="9"/>
  <c r="B266" i="9"/>
  <c r="A266" i="9"/>
  <c r="E265" i="9"/>
  <c r="D265" i="9"/>
  <c r="C265" i="9"/>
  <c r="B265" i="9"/>
  <c r="A265" i="9"/>
  <c r="E264" i="9"/>
  <c r="D264" i="9"/>
  <c r="C264" i="9"/>
  <c r="A264" i="9"/>
  <c r="B264" i="9" s="1"/>
  <c r="E263" i="9"/>
  <c r="D263" i="9"/>
  <c r="C263" i="9"/>
  <c r="A263" i="9"/>
  <c r="B263" i="9" s="1"/>
  <c r="E262" i="9"/>
  <c r="D262" i="9"/>
  <c r="C262" i="9"/>
  <c r="A262" i="9"/>
  <c r="B262" i="9" s="1"/>
  <c r="E261" i="9"/>
  <c r="D261" i="9"/>
  <c r="C261" i="9"/>
  <c r="A261" i="9"/>
  <c r="B261" i="9" s="1"/>
  <c r="E260" i="9"/>
  <c r="D260" i="9"/>
  <c r="C260" i="9"/>
  <c r="B260" i="9"/>
  <c r="A260" i="9"/>
  <c r="E259" i="9"/>
  <c r="D259" i="9"/>
  <c r="C259" i="9"/>
  <c r="A259" i="9"/>
  <c r="B259" i="9" s="1"/>
  <c r="E258" i="9"/>
  <c r="D258" i="9"/>
  <c r="C258" i="9"/>
  <c r="B258" i="9"/>
  <c r="A258" i="9"/>
  <c r="E257" i="9"/>
  <c r="D257" i="9"/>
  <c r="C257" i="9"/>
  <c r="A257" i="9"/>
  <c r="B257" i="9" s="1"/>
  <c r="E256" i="9"/>
  <c r="D256" i="9"/>
  <c r="C256" i="9"/>
  <c r="B256" i="9"/>
  <c r="A256" i="9"/>
  <c r="E255" i="9"/>
  <c r="D255" i="9"/>
  <c r="C255" i="9"/>
  <c r="A255" i="9"/>
  <c r="B255" i="9" s="1"/>
  <c r="E254" i="9"/>
  <c r="D254" i="9"/>
  <c r="C254" i="9"/>
  <c r="B254" i="9"/>
  <c r="A254" i="9"/>
  <c r="E253" i="9"/>
  <c r="D253" i="9"/>
  <c r="C253" i="9"/>
  <c r="A253" i="9"/>
  <c r="B253" i="9" s="1"/>
  <c r="E252" i="9"/>
  <c r="D252" i="9"/>
  <c r="C252" i="9"/>
  <c r="B252" i="9"/>
  <c r="A252" i="9"/>
  <c r="E251" i="9"/>
  <c r="D251" i="9"/>
  <c r="C251" i="9"/>
  <c r="A251" i="9"/>
  <c r="B251" i="9" s="1"/>
  <c r="E250" i="9"/>
  <c r="D250" i="9"/>
  <c r="C250" i="9"/>
  <c r="B250" i="9"/>
  <c r="A250" i="9"/>
  <c r="E249" i="9"/>
  <c r="D249" i="9"/>
  <c r="C249" i="9"/>
  <c r="B249" i="9"/>
  <c r="A249" i="9"/>
  <c r="E248" i="9"/>
  <c r="D248" i="9"/>
  <c r="C248" i="9"/>
  <c r="A248" i="9"/>
  <c r="B248" i="9" s="1"/>
  <c r="E247" i="9"/>
  <c r="D247" i="9"/>
  <c r="C247" i="9"/>
  <c r="B247" i="9"/>
  <c r="A247" i="9"/>
  <c r="E246" i="9"/>
  <c r="D246" i="9"/>
  <c r="C246" i="9"/>
  <c r="A246" i="9"/>
  <c r="B246" i="9" s="1"/>
  <c r="E245" i="9"/>
  <c r="D245" i="9"/>
  <c r="C245" i="9"/>
  <c r="A245" i="9"/>
  <c r="B245" i="9" s="1"/>
  <c r="E244" i="9"/>
  <c r="D244" i="9"/>
  <c r="C244" i="9"/>
  <c r="B244" i="9"/>
  <c r="A244" i="9"/>
  <c r="E243" i="9"/>
  <c r="D243" i="9"/>
  <c r="C243" i="9"/>
  <c r="A243" i="9"/>
  <c r="B243" i="9" s="1"/>
  <c r="E242" i="9"/>
  <c r="D242" i="9"/>
  <c r="C242" i="9"/>
  <c r="B242" i="9"/>
  <c r="A242" i="9"/>
  <c r="E241" i="9"/>
  <c r="D241" i="9"/>
  <c r="C241" i="9"/>
  <c r="B241" i="9"/>
  <c r="A241" i="9"/>
  <c r="E240" i="9"/>
  <c r="D240" i="9"/>
  <c r="C240" i="9"/>
  <c r="B240" i="9"/>
  <c r="A240" i="9"/>
  <c r="E239" i="9"/>
  <c r="D239" i="9"/>
  <c r="C239" i="9"/>
  <c r="B239" i="9"/>
  <c r="A239" i="9"/>
  <c r="E238" i="9"/>
  <c r="D238" i="9"/>
  <c r="C238" i="9"/>
  <c r="B238" i="9"/>
  <c r="A238" i="9"/>
  <c r="E237" i="9"/>
  <c r="D237" i="9"/>
  <c r="C237" i="9"/>
  <c r="A237" i="9"/>
  <c r="B237" i="9" s="1"/>
  <c r="E236" i="9"/>
  <c r="D236" i="9"/>
  <c r="C236" i="9"/>
  <c r="B236" i="9"/>
  <c r="A236" i="9"/>
  <c r="E235" i="9"/>
  <c r="D235" i="9"/>
  <c r="C235" i="9"/>
  <c r="B235" i="9"/>
  <c r="A235" i="9"/>
  <c r="E234" i="9"/>
  <c r="D234" i="9"/>
  <c r="C234" i="9"/>
  <c r="B234" i="9"/>
  <c r="A234" i="9"/>
  <c r="E233" i="9"/>
  <c r="D233" i="9"/>
  <c r="C233" i="9"/>
  <c r="B233" i="9"/>
  <c r="A233" i="9"/>
  <c r="E232" i="9"/>
  <c r="D232" i="9"/>
  <c r="C232" i="9"/>
  <c r="A232" i="9"/>
  <c r="B232" i="9" s="1"/>
  <c r="E231" i="9"/>
  <c r="D231" i="9"/>
  <c r="C231" i="9"/>
  <c r="B231" i="9"/>
  <c r="A231" i="9"/>
  <c r="E230" i="9"/>
  <c r="D230" i="9"/>
  <c r="C230" i="9"/>
  <c r="B230" i="9"/>
  <c r="A230" i="9"/>
  <c r="E229" i="9"/>
  <c r="D229" i="9"/>
  <c r="C229" i="9"/>
  <c r="A229" i="9"/>
  <c r="B229" i="9" s="1"/>
  <c r="E228" i="9"/>
  <c r="D228" i="9"/>
  <c r="C228" i="9"/>
  <c r="A228" i="9"/>
  <c r="B228" i="9" s="1"/>
  <c r="E227" i="9"/>
  <c r="D227" i="9"/>
  <c r="C227" i="9"/>
  <c r="A227" i="9"/>
  <c r="B227" i="9" s="1"/>
  <c r="E226" i="9"/>
  <c r="D226" i="9"/>
  <c r="C226" i="9"/>
  <c r="B226" i="9"/>
  <c r="A226" i="9"/>
  <c r="E225" i="9"/>
  <c r="D225" i="9"/>
  <c r="C225" i="9"/>
  <c r="B225" i="9"/>
  <c r="A225" i="9"/>
  <c r="E224" i="9"/>
  <c r="D224" i="9"/>
  <c r="C224" i="9"/>
  <c r="B224" i="9"/>
  <c r="A224" i="9"/>
  <c r="E223" i="9"/>
  <c r="D223" i="9"/>
  <c r="C223" i="9"/>
  <c r="A223" i="9"/>
  <c r="B223" i="9" s="1"/>
  <c r="E222" i="9"/>
  <c r="D222" i="9"/>
  <c r="C222" i="9"/>
  <c r="A222" i="9"/>
  <c r="B222" i="9" s="1"/>
  <c r="E221" i="9"/>
  <c r="D221" i="9"/>
  <c r="C221" i="9"/>
  <c r="A221" i="9"/>
  <c r="B221" i="9" s="1"/>
  <c r="E220" i="9"/>
  <c r="D220" i="9"/>
  <c r="C220" i="9"/>
  <c r="B220" i="9"/>
  <c r="A220" i="9"/>
  <c r="E219" i="9"/>
  <c r="D219" i="9"/>
  <c r="C219" i="9"/>
  <c r="B219" i="9"/>
  <c r="A219" i="9"/>
  <c r="E218" i="9"/>
  <c r="D218" i="9"/>
  <c r="C218" i="9"/>
  <c r="B218" i="9"/>
  <c r="A218" i="9"/>
  <c r="E217" i="9"/>
  <c r="D217" i="9"/>
  <c r="C217" i="9"/>
  <c r="A217" i="9"/>
  <c r="B217" i="9" s="1"/>
  <c r="E216" i="9"/>
  <c r="D216" i="9"/>
  <c r="C216" i="9"/>
  <c r="A216" i="9"/>
  <c r="B216" i="9" s="1"/>
  <c r="E215" i="9"/>
  <c r="D215" i="9"/>
  <c r="C215" i="9"/>
  <c r="B215" i="9"/>
  <c r="A215" i="9"/>
  <c r="E214" i="9"/>
  <c r="D214" i="9"/>
  <c r="C214" i="9"/>
  <c r="A214" i="9"/>
  <c r="B214" i="9" s="1"/>
  <c r="E213" i="9"/>
  <c r="D213" i="9"/>
  <c r="C213" i="9"/>
  <c r="A213" i="9"/>
  <c r="B213" i="9" s="1"/>
  <c r="E212" i="9"/>
  <c r="D212" i="9"/>
  <c r="C212" i="9"/>
  <c r="B212" i="9"/>
  <c r="A212" i="9"/>
  <c r="E211" i="9"/>
  <c r="D211" i="9"/>
  <c r="C211" i="9"/>
  <c r="B211" i="9"/>
  <c r="A211" i="9"/>
  <c r="E210" i="9"/>
  <c r="D210" i="9"/>
  <c r="C210" i="9"/>
  <c r="B210" i="9"/>
  <c r="A210" i="9"/>
  <c r="E209" i="9"/>
  <c r="D209" i="9"/>
  <c r="C209" i="9"/>
  <c r="A209" i="9"/>
  <c r="B209" i="9" s="1"/>
  <c r="E208" i="9"/>
  <c r="D208" i="9"/>
  <c r="C208" i="9"/>
  <c r="B208" i="9"/>
  <c r="A208" i="9"/>
  <c r="E207" i="9"/>
  <c r="D207" i="9"/>
  <c r="C207" i="9"/>
  <c r="B207" i="9"/>
  <c r="A207" i="9"/>
  <c r="E206" i="9"/>
  <c r="D206" i="9"/>
  <c r="C206" i="9"/>
  <c r="B206" i="9"/>
  <c r="A206" i="9"/>
  <c r="E205" i="9"/>
  <c r="D205" i="9"/>
  <c r="C205" i="9"/>
  <c r="A205" i="9"/>
  <c r="B205" i="9" s="1"/>
  <c r="E204" i="9"/>
  <c r="D204" i="9"/>
  <c r="C204" i="9"/>
  <c r="A204" i="9"/>
  <c r="B204" i="9" s="1"/>
  <c r="E203" i="9"/>
  <c r="D203" i="9"/>
  <c r="C203" i="9"/>
  <c r="B203" i="9"/>
  <c r="A203" i="9"/>
  <c r="E202" i="9"/>
  <c r="D202" i="9"/>
  <c r="C202" i="9"/>
  <c r="B202" i="9"/>
  <c r="A202" i="9"/>
  <c r="E201" i="9"/>
  <c r="D201" i="9"/>
  <c r="C201" i="9"/>
  <c r="B201" i="9"/>
  <c r="A201" i="9"/>
  <c r="E200" i="9"/>
  <c r="D200" i="9"/>
  <c r="C200" i="9"/>
  <c r="A200" i="9"/>
  <c r="B200" i="9" s="1"/>
  <c r="E199" i="9"/>
  <c r="D199" i="9"/>
  <c r="C199" i="9"/>
  <c r="B199" i="9"/>
  <c r="A199" i="9"/>
  <c r="E198" i="9"/>
  <c r="D198" i="9"/>
  <c r="C198" i="9"/>
  <c r="B198" i="9"/>
  <c r="A198" i="9"/>
  <c r="E197" i="9"/>
  <c r="D197" i="9"/>
  <c r="C197" i="9"/>
  <c r="A197" i="9"/>
  <c r="B197" i="9" s="1"/>
  <c r="E196" i="9"/>
  <c r="D196" i="9"/>
  <c r="C196" i="9"/>
  <c r="B196" i="9"/>
  <c r="A196" i="9"/>
  <c r="E195" i="9"/>
  <c r="D195" i="9"/>
  <c r="C195" i="9"/>
  <c r="A195" i="9"/>
  <c r="B195" i="9" s="1"/>
  <c r="E194" i="9"/>
  <c r="D194" i="9"/>
  <c r="C194" i="9"/>
  <c r="B194" i="9"/>
  <c r="A194" i="9"/>
  <c r="E193" i="9"/>
  <c r="D193" i="9"/>
  <c r="C193" i="9"/>
  <c r="B193" i="9"/>
  <c r="A193" i="9"/>
  <c r="E192" i="9"/>
  <c r="D192" i="9"/>
  <c r="C192" i="9"/>
  <c r="B192" i="9"/>
  <c r="A192" i="9"/>
  <c r="E191" i="9"/>
  <c r="D191" i="9"/>
  <c r="C191" i="9"/>
  <c r="A191" i="9"/>
  <c r="B191" i="9" s="1"/>
  <c r="E190" i="9"/>
  <c r="D190" i="9"/>
  <c r="C190" i="9"/>
  <c r="A190" i="9"/>
  <c r="B190" i="9" s="1"/>
  <c r="E189" i="9"/>
  <c r="D189" i="9"/>
  <c r="C189" i="9"/>
  <c r="A189" i="9"/>
  <c r="B189" i="9" s="1"/>
  <c r="E188" i="9"/>
  <c r="D188" i="9"/>
  <c r="C188" i="9"/>
  <c r="B188" i="9"/>
  <c r="A188" i="9"/>
  <c r="E187" i="9"/>
  <c r="D187" i="9"/>
  <c r="C187" i="9"/>
  <c r="B187" i="9"/>
  <c r="A187" i="9"/>
  <c r="E186" i="9"/>
  <c r="D186" i="9"/>
  <c r="C186" i="9"/>
  <c r="B186" i="9"/>
  <c r="A186" i="9"/>
  <c r="E185" i="9"/>
  <c r="D185" i="9"/>
  <c r="C185" i="9"/>
  <c r="A185" i="9"/>
  <c r="B185" i="9" s="1"/>
  <c r="E184" i="9"/>
  <c r="D184" i="9"/>
  <c r="C184" i="9"/>
  <c r="B184" i="9"/>
  <c r="A184" i="9"/>
  <c r="E183" i="9"/>
  <c r="D183" i="9"/>
  <c r="C183" i="9"/>
  <c r="B183" i="9"/>
  <c r="A183" i="9"/>
  <c r="E182" i="9"/>
  <c r="D182" i="9"/>
  <c r="C182" i="9"/>
  <c r="B182" i="9"/>
  <c r="A182" i="9"/>
  <c r="E181" i="9"/>
  <c r="D181" i="9"/>
  <c r="C181" i="9"/>
  <c r="A181" i="9"/>
  <c r="B181" i="9" s="1"/>
  <c r="E180" i="9"/>
  <c r="D180" i="9"/>
  <c r="C180" i="9"/>
  <c r="A180" i="9"/>
  <c r="B180" i="9" s="1"/>
  <c r="E179" i="9"/>
  <c r="D179" i="9"/>
  <c r="C179" i="9"/>
  <c r="B179" i="9"/>
  <c r="A179" i="9"/>
  <c r="E178" i="9"/>
  <c r="D178" i="9"/>
  <c r="C178" i="9"/>
  <c r="B178" i="9"/>
  <c r="A178" i="9"/>
  <c r="E177" i="9"/>
  <c r="D177" i="9"/>
  <c r="C177" i="9"/>
  <c r="B177" i="9"/>
  <c r="A177" i="9"/>
  <c r="E176" i="9"/>
  <c r="D176" i="9"/>
  <c r="C176" i="9"/>
  <c r="A176" i="9"/>
  <c r="B176" i="9" s="1"/>
  <c r="E175" i="9"/>
  <c r="D175" i="9"/>
  <c r="C175" i="9"/>
  <c r="B175" i="9"/>
  <c r="A175" i="9"/>
  <c r="E174" i="9"/>
  <c r="D174" i="9"/>
  <c r="C174" i="9"/>
  <c r="B174" i="9"/>
  <c r="A174" i="9"/>
  <c r="E173" i="9"/>
  <c r="D173" i="9"/>
  <c r="C173" i="9"/>
  <c r="A173" i="9"/>
  <c r="B173" i="9" s="1"/>
  <c r="E172" i="9"/>
  <c r="D172" i="9"/>
  <c r="C172" i="9"/>
  <c r="B172" i="9"/>
  <c r="A172" i="9"/>
  <c r="E171" i="9"/>
  <c r="D171" i="9"/>
  <c r="C171" i="9"/>
  <c r="A171" i="9"/>
  <c r="B171" i="9" s="1"/>
  <c r="E170" i="9"/>
  <c r="D170" i="9"/>
  <c r="C170" i="9"/>
  <c r="B170" i="9"/>
  <c r="A170" i="9"/>
  <c r="E169" i="9"/>
  <c r="D169" i="9"/>
  <c r="C169" i="9"/>
  <c r="B169" i="9"/>
  <c r="A169" i="9"/>
  <c r="E168" i="9"/>
  <c r="D168" i="9"/>
  <c r="C168" i="9"/>
  <c r="A168" i="9"/>
  <c r="B168" i="9" s="1"/>
  <c r="E167" i="9"/>
  <c r="D167" i="9"/>
  <c r="C167" i="9"/>
  <c r="B167" i="9"/>
  <c r="A167" i="9"/>
  <c r="E166" i="9"/>
  <c r="D166" i="9"/>
  <c r="C166" i="9"/>
  <c r="A166" i="9"/>
  <c r="B166" i="9" s="1"/>
  <c r="E165" i="9"/>
  <c r="D165" i="9"/>
  <c r="C165" i="9"/>
  <c r="A165" i="9"/>
  <c r="B165" i="9" s="1"/>
  <c r="E164" i="9"/>
  <c r="D164" i="9"/>
  <c r="C164" i="9"/>
  <c r="B164" i="9"/>
  <c r="A164" i="9"/>
  <c r="E163" i="9"/>
  <c r="D163" i="9"/>
  <c r="C163" i="9"/>
  <c r="A163" i="9"/>
  <c r="B163" i="9" s="1"/>
  <c r="E162" i="9"/>
  <c r="D162" i="9"/>
  <c r="C162" i="9"/>
  <c r="B162" i="9"/>
  <c r="A162" i="9"/>
  <c r="E161" i="9"/>
  <c r="D161" i="9"/>
  <c r="C161" i="9"/>
  <c r="A161" i="9"/>
  <c r="B161" i="9" s="1"/>
  <c r="E160" i="9"/>
  <c r="D160" i="9"/>
  <c r="C160" i="9"/>
  <c r="B160" i="9"/>
  <c r="A160" i="9"/>
  <c r="E159" i="9"/>
  <c r="D159" i="9"/>
  <c r="C159" i="9"/>
  <c r="A159" i="9"/>
  <c r="B159" i="9" s="1"/>
  <c r="E158" i="9"/>
  <c r="D158" i="9"/>
  <c r="C158" i="9"/>
  <c r="B158" i="9"/>
  <c r="A158" i="9"/>
  <c r="E157" i="9"/>
  <c r="D157" i="9"/>
  <c r="C157" i="9"/>
  <c r="A157" i="9"/>
  <c r="B157" i="9" s="1"/>
  <c r="E156" i="9"/>
  <c r="D156" i="9"/>
  <c r="C156" i="9"/>
  <c r="A156" i="9"/>
  <c r="B156" i="9" s="1"/>
  <c r="E155" i="9"/>
  <c r="D155" i="9"/>
  <c r="C155" i="9"/>
  <c r="B155" i="9"/>
  <c r="A155" i="9"/>
  <c r="E154" i="9"/>
  <c r="D154" i="9"/>
  <c r="C154" i="9"/>
  <c r="B154" i="9"/>
  <c r="A154" i="9"/>
  <c r="E153" i="9"/>
  <c r="D153" i="9"/>
  <c r="C153" i="9"/>
  <c r="B153" i="9"/>
  <c r="A153" i="9"/>
  <c r="E152" i="9"/>
  <c r="D152" i="9"/>
  <c r="C152" i="9"/>
  <c r="B152" i="9"/>
  <c r="A152" i="9"/>
  <c r="E151" i="9"/>
  <c r="D151" i="9"/>
  <c r="C151" i="9"/>
  <c r="A151" i="9"/>
  <c r="B151" i="9" s="1"/>
  <c r="E150" i="9"/>
  <c r="D150" i="9"/>
  <c r="C150" i="9"/>
  <c r="A150" i="9"/>
  <c r="B150" i="9" s="1"/>
  <c r="E149" i="9"/>
  <c r="D149" i="9"/>
  <c r="C149" i="9"/>
  <c r="A149" i="9"/>
  <c r="B149" i="9" s="1"/>
  <c r="E148" i="9"/>
  <c r="D148" i="9"/>
  <c r="C148" i="9"/>
  <c r="B148" i="9"/>
  <c r="A148" i="9"/>
  <c r="E147" i="9"/>
  <c r="D147" i="9"/>
  <c r="C147" i="9"/>
  <c r="B147" i="9"/>
  <c r="A147" i="9"/>
  <c r="E146" i="9"/>
  <c r="D146" i="9"/>
  <c r="C146" i="9"/>
  <c r="B146" i="9"/>
  <c r="A146" i="9"/>
  <c r="E145" i="9"/>
  <c r="D145" i="9"/>
  <c r="C145" i="9"/>
  <c r="A145" i="9"/>
  <c r="B145" i="9" s="1"/>
  <c r="E144" i="9"/>
  <c r="D144" i="9"/>
  <c r="C144" i="9"/>
  <c r="A144" i="9"/>
  <c r="B144" i="9" s="1"/>
  <c r="E143" i="9"/>
  <c r="D143" i="9"/>
  <c r="C143" i="9"/>
  <c r="B143" i="9"/>
  <c r="A143" i="9"/>
  <c r="E142" i="9"/>
  <c r="D142" i="9"/>
  <c r="C142" i="9"/>
  <c r="B142" i="9"/>
  <c r="A142" i="9"/>
  <c r="E141" i="9"/>
  <c r="D141" i="9"/>
  <c r="C141" i="9"/>
  <c r="A141" i="9"/>
  <c r="B141" i="9" s="1"/>
  <c r="E140" i="9"/>
  <c r="D140" i="9"/>
  <c r="C140" i="9"/>
  <c r="A140" i="9"/>
  <c r="B140" i="9" s="1"/>
  <c r="E139" i="9"/>
  <c r="D139" i="9"/>
  <c r="C139" i="9"/>
  <c r="A139" i="9"/>
  <c r="B139" i="9" s="1"/>
  <c r="E138" i="9"/>
  <c r="D138" i="9"/>
  <c r="C138" i="9"/>
  <c r="B138" i="9"/>
  <c r="A138" i="9"/>
  <c r="E137" i="9"/>
  <c r="D137" i="9"/>
  <c r="C137" i="9"/>
  <c r="B137" i="9"/>
  <c r="A137" i="9"/>
  <c r="E136" i="9"/>
  <c r="D136" i="9"/>
  <c r="C136" i="9"/>
  <c r="B136" i="9"/>
  <c r="A136" i="9"/>
  <c r="E135" i="9"/>
  <c r="D135" i="9"/>
  <c r="C135" i="9"/>
  <c r="B135" i="9"/>
  <c r="A135" i="9"/>
  <c r="E134" i="9"/>
  <c r="D134" i="9"/>
  <c r="C134" i="9"/>
  <c r="B134" i="9"/>
  <c r="A134" i="9"/>
  <c r="E133" i="9"/>
  <c r="D133" i="9"/>
  <c r="C133" i="9"/>
  <c r="A133" i="9"/>
  <c r="B133" i="9" s="1"/>
  <c r="E132" i="9"/>
  <c r="D132" i="9"/>
  <c r="C132" i="9"/>
  <c r="B132" i="9"/>
  <c r="A132" i="9"/>
  <c r="E131" i="9"/>
  <c r="D131" i="9"/>
  <c r="C131" i="9"/>
  <c r="B131" i="9"/>
  <c r="A131" i="9"/>
  <c r="E130" i="9"/>
  <c r="D130" i="9"/>
  <c r="C130" i="9"/>
  <c r="B130" i="9"/>
  <c r="A130" i="9"/>
  <c r="E129" i="9"/>
  <c r="D129" i="9"/>
  <c r="C129" i="9"/>
  <c r="B129" i="9"/>
  <c r="A129" i="9"/>
  <c r="E128" i="9"/>
  <c r="D128" i="9"/>
  <c r="C128" i="9"/>
  <c r="B128" i="9"/>
  <c r="A128" i="9"/>
  <c r="E127" i="9"/>
  <c r="D127" i="9"/>
  <c r="C127" i="9"/>
  <c r="A127" i="9"/>
  <c r="B127" i="9" s="1"/>
  <c r="E126" i="9"/>
  <c r="D126" i="9"/>
  <c r="C126" i="9"/>
  <c r="B126" i="9"/>
  <c r="A126" i="9"/>
  <c r="E125" i="9"/>
  <c r="D125" i="9"/>
  <c r="C125" i="9"/>
  <c r="A125" i="9"/>
  <c r="B125" i="9" s="1"/>
  <c r="E124" i="9"/>
  <c r="D124" i="9"/>
  <c r="C124" i="9"/>
  <c r="A124" i="9"/>
  <c r="B124" i="9" s="1"/>
  <c r="E123" i="9"/>
  <c r="D123" i="9"/>
  <c r="C123" i="9"/>
  <c r="A123" i="9"/>
  <c r="B123" i="9" s="1"/>
  <c r="E122" i="9"/>
  <c r="D122" i="9"/>
  <c r="C122" i="9"/>
  <c r="B122" i="9"/>
  <c r="A122" i="9"/>
  <c r="E121" i="9"/>
  <c r="D121" i="9"/>
  <c r="C121" i="9"/>
  <c r="B121" i="9"/>
  <c r="A121" i="9"/>
  <c r="E120" i="9"/>
  <c r="D120" i="9"/>
  <c r="C120" i="9"/>
  <c r="B120" i="9"/>
  <c r="A120" i="9"/>
  <c r="E119" i="9"/>
  <c r="D119" i="9"/>
  <c r="C119" i="9"/>
  <c r="B119" i="9"/>
  <c r="A119" i="9"/>
  <c r="E118" i="9"/>
  <c r="D118" i="9"/>
  <c r="C118" i="9"/>
  <c r="B118" i="9"/>
  <c r="A118" i="9"/>
  <c r="E117" i="9"/>
  <c r="D117" i="9"/>
  <c r="C117" i="9"/>
  <c r="A117" i="9"/>
  <c r="B117" i="9" s="1"/>
  <c r="E116" i="9"/>
  <c r="D116" i="9"/>
  <c r="C116" i="9"/>
  <c r="B116" i="9"/>
  <c r="A116" i="9"/>
  <c r="E115" i="9"/>
  <c r="D115" i="9"/>
  <c r="C115" i="9"/>
  <c r="B115" i="9"/>
  <c r="A115" i="9"/>
  <c r="E114" i="9"/>
  <c r="D114" i="9"/>
  <c r="C114" i="9"/>
  <c r="B114" i="9"/>
  <c r="A114" i="9"/>
  <c r="E113" i="9"/>
  <c r="D113" i="9"/>
  <c r="C113" i="9"/>
  <c r="B113" i="9"/>
  <c r="A113" i="9"/>
  <c r="E112" i="9"/>
  <c r="D112" i="9"/>
  <c r="C112" i="9"/>
  <c r="B112" i="9"/>
  <c r="A112" i="9"/>
  <c r="E111" i="9"/>
  <c r="D111" i="9"/>
  <c r="C111" i="9"/>
  <c r="A111" i="9"/>
  <c r="B111" i="9" s="1"/>
  <c r="E110" i="9"/>
  <c r="D110" i="9"/>
  <c r="C110" i="9"/>
  <c r="A110" i="9"/>
  <c r="B110" i="9" s="1"/>
  <c r="E109" i="9"/>
  <c r="D109" i="9"/>
  <c r="C109" i="9"/>
  <c r="A109" i="9"/>
  <c r="B109" i="9" s="1"/>
  <c r="E108" i="9"/>
  <c r="D108" i="9"/>
  <c r="C108" i="9"/>
  <c r="B108" i="9"/>
  <c r="A108" i="9"/>
  <c r="E107" i="9"/>
  <c r="D107" i="9"/>
  <c r="C107" i="9"/>
  <c r="A107" i="9"/>
  <c r="B107" i="9" s="1"/>
  <c r="E106" i="9"/>
  <c r="D106" i="9"/>
  <c r="C106" i="9"/>
  <c r="B106" i="9"/>
  <c r="A106" i="9"/>
  <c r="E105" i="9"/>
  <c r="D105" i="9"/>
  <c r="C105" i="9"/>
  <c r="A105" i="9"/>
  <c r="B105" i="9" s="1"/>
  <c r="E104" i="9"/>
  <c r="D104" i="9"/>
  <c r="C104" i="9"/>
  <c r="A104" i="9"/>
  <c r="B104" i="9" s="1"/>
  <c r="E103" i="9"/>
  <c r="D103" i="9"/>
  <c r="C103" i="9"/>
  <c r="B103" i="9"/>
  <c r="A103" i="9"/>
  <c r="E102" i="9"/>
  <c r="D102" i="9"/>
  <c r="C102" i="9"/>
  <c r="B102" i="9"/>
  <c r="A102" i="9"/>
  <c r="E101" i="9"/>
  <c r="D101" i="9"/>
  <c r="C101" i="9"/>
  <c r="A101" i="9"/>
  <c r="B101" i="9" s="1"/>
  <c r="E100" i="9"/>
  <c r="D100" i="9"/>
  <c r="C100" i="9"/>
  <c r="B100" i="9"/>
  <c r="A100" i="9"/>
  <c r="E99" i="9"/>
  <c r="D99" i="9"/>
  <c r="C99" i="9"/>
  <c r="A99" i="9"/>
  <c r="B99" i="9" s="1"/>
  <c r="E98" i="9"/>
  <c r="D98" i="9"/>
  <c r="C98" i="9"/>
  <c r="B98" i="9"/>
  <c r="A98" i="9"/>
  <c r="E97" i="9"/>
  <c r="D97" i="9"/>
  <c r="C97" i="9"/>
  <c r="A97" i="9"/>
  <c r="B97" i="9" s="1"/>
  <c r="E96" i="9"/>
  <c r="D96" i="9"/>
  <c r="C96" i="9"/>
  <c r="B96" i="9"/>
  <c r="A96" i="9"/>
  <c r="E95" i="9"/>
  <c r="D95" i="9"/>
  <c r="C95" i="9"/>
  <c r="B95" i="9"/>
  <c r="A95" i="9"/>
  <c r="E94" i="9"/>
  <c r="D94" i="9"/>
  <c r="C94" i="9"/>
  <c r="A94" i="9"/>
  <c r="B94" i="9" s="1"/>
  <c r="E93" i="9"/>
  <c r="D93" i="9"/>
  <c r="C93" i="9"/>
  <c r="A93" i="9"/>
  <c r="B93" i="9" s="1"/>
  <c r="E92" i="9"/>
  <c r="D92" i="9"/>
  <c r="C92" i="9"/>
  <c r="A92" i="9"/>
  <c r="B92" i="9" s="1"/>
  <c r="E91" i="9"/>
  <c r="D91" i="9"/>
  <c r="C91" i="9"/>
  <c r="B91" i="9"/>
  <c r="A91" i="9"/>
  <c r="E90" i="9"/>
  <c r="D90" i="9"/>
  <c r="C90" i="9"/>
  <c r="B90" i="9"/>
  <c r="A90" i="9"/>
  <c r="E89" i="9"/>
  <c r="D89" i="9"/>
  <c r="C89" i="9"/>
  <c r="A89" i="9"/>
  <c r="B89" i="9" s="1"/>
  <c r="E88" i="9"/>
  <c r="D88" i="9"/>
  <c r="C88" i="9"/>
  <c r="B88" i="9"/>
  <c r="A88" i="9"/>
  <c r="E87" i="9"/>
  <c r="D87" i="9"/>
  <c r="C87" i="9"/>
  <c r="B87" i="9"/>
  <c r="A87" i="9"/>
  <c r="E86" i="9"/>
  <c r="D86" i="9"/>
  <c r="C86" i="9"/>
  <c r="A86" i="9"/>
  <c r="B86" i="9" s="1"/>
  <c r="E85" i="9"/>
  <c r="D85" i="9"/>
  <c r="C85" i="9"/>
  <c r="A85" i="9"/>
  <c r="B85" i="9" s="1"/>
  <c r="E84" i="9"/>
  <c r="D84" i="9"/>
  <c r="C84" i="9"/>
  <c r="A84" i="9"/>
  <c r="B84" i="9" s="1"/>
  <c r="E83" i="9"/>
  <c r="D83" i="9"/>
  <c r="C83" i="9"/>
  <c r="A83" i="9"/>
  <c r="B83" i="9" s="1"/>
  <c r="E82" i="9"/>
  <c r="D82" i="9"/>
  <c r="C82" i="9"/>
  <c r="B82" i="9"/>
  <c r="A82" i="9"/>
  <c r="E81" i="9"/>
  <c r="D81" i="9"/>
  <c r="C81" i="9"/>
  <c r="A81" i="9"/>
  <c r="B81" i="9" s="1"/>
  <c r="E80" i="9"/>
  <c r="D80" i="9"/>
  <c r="C80" i="9"/>
  <c r="A80" i="9"/>
  <c r="B80" i="9" s="1"/>
  <c r="E79" i="9"/>
  <c r="D79" i="9"/>
  <c r="C79" i="9"/>
  <c r="A79" i="9"/>
  <c r="B79" i="9" s="1"/>
  <c r="E78" i="9"/>
  <c r="D78" i="9"/>
  <c r="C78" i="9"/>
  <c r="B78" i="9"/>
  <c r="A78" i="9"/>
  <c r="E77" i="9"/>
  <c r="D77" i="9"/>
  <c r="C77" i="9"/>
  <c r="A77" i="9"/>
  <c r="B77" i="9" s="1"/>
  <c r="E76" i="9"/>
  <c r="D76" i="9"/>
  <c r="C76" i="9"/>
  <c r="A76" i="9"/>
  <c r="B76" i="9" s="1"/>
  <c r="E75" i="9"/>
  <c r="D75" i="9"/>
  <c r="C75" i="9"/>
  <c r="A75" i="9"/>
  <c r="B75" i="9" s="1"/>
  <c r="E74" i="9"/>
  <c r="D74" i="9"/>
  <c r="C74" i="9"/>
  <c r="B74" i="9"/>
  <c r="A74" i="9"/>
  <c r="E73" i="9"/>
  <c r="D73" i="9"/>
  <c r="C73" i="9"/>
  <c r="B73" i="9"/>
  <c r="A73" i="9"/>
  <c r="E72" i="9"/>
  <c r="D72" i="9"/>
  <c r="C72" i="9"/>
  <c r="B72" i="9"/>
  <c r="A72" i="9"/>
  <c r="E71" i="9"/>
  <c r="D71" i="9"/>
  <c r="C71" i="9"/>
  <c r="B71" i="9"/>
  <c r="A71" i="9"/>
  <c r="E70" i="9"/>
  <c r="D70" i="9"/>
  <c r="C70" i="9"/>
  <c r="A70" i="9"/>
  <c r="B70" i="9" s="1"/>
  <c r="E69" i="9"/>
  <c r="D69" i="9"/>
  <c r="C69" i="9"/>
  <c r="A69" i="9"/>
  <c r="B69" i="9" s="1"/>
  <c r="E68" i="9"/>
  <c r="D68" i="9"/>
  <c r="C68" i="9"/>
  <c r="B68" i="9"/>
  <c r="A68" i="9"/>
  <c r="E67" i="9"/>
  <c r="D67" i="9"/>
  <c r="C67" i="9"/>
  <c r="B67" i="9"/>
  <c r="A67" i="9"/>
  <c r="E66" i="9"/>
  <c r="D66" i="9"/>
  <c r="C66" i="9"/>
  <c r="B66" i="9"/>
  <c r="A66" i="9"/>
  <c r="E65" i="9"/>
  <c r="D65" i="9"/>
  <c r="C65" i="9"/>
  <c r="A65" i="9"/>
  <c r="B65" i="9" s="1"/>
  <c r="E64" i="9"/>
  <c r="D64" i="9"/>
  <c r="C64" i="9"/>
  <c r="A64" i="9"/>
  <c r="B64" i="9" s="1"/>
  <c r="E63" i="9"/>
  <c r="D63" i="9"/>
  <c r="C63" i="9"/>
  <c r="A63" i="9"/>
  <c r="B63" i="9" s="1"/>
  <c r="E62" i="9"/>
  <c r="D62" i="9"/>
  <c r="C62" i="9"/>
  <c r="B62" i="9"/>
  <c r="A62" i="9"/>
  <c r="E61" i="9"/>
  <c r="D61" i="9"/>
  <c r="C61" i="9"/>
  <c r="A61" i="9"/>
  <c r="B61" i="9" s="1"/>
  <c r="E60" i="9"/>
  <c r="D60" i="9"/>
  <c r="C60" i="9"/>
  <c r="B60" i="9"/>
  <c r="A60" i="9"/>
  <c r="E59" i="9"/>
  <c r="D59" i="9"/>
  <c r="C59" i="9"/>
  <c r="B59" i="9"/>
  <c r="A59" i="9"/>
  <c r="E58" i="9"/>
  <c r="D58" i="9"/>
  <c r="C58" i="9"/>
  <c r="B58" i="9"/>
  <c r="A58" i="9"/>
  <c r="E57" i="9"/>
  <c r="D57" i="9"/>
  <c r="C57" i="9"/>
  <c r="B57" i="9"/>
  <c r="A57" i="9"/>
  <c r="E56" i="9"/>
  <c r="D56" i="9"/>
  <c r="C56" i="9"/>
  <c r="B56" i="9"/>
  <c r="A56" i="9"/>
  <c r="E55" i="9"/>
  <c r="D55" i="9"/>
  <c r="C55" i="9"/>
  <c r="B55" i="9"/>
  <c r="A55" i="9"/>
  <c r="E54" i="9"/>
  <c r="D54" i="9"/>
  <c r="C54" i="9"/>
  <c r="A54" i="9"/>
  <c r="B54" i="9" s="1"/>
  <c r="E53" i="9"/>
  <c r="D53" i="9"/>
  <c r="C53" i="9"/>
  <c r="A53" i="9"/>
  <c r="B53" i="9" s="1"/>
  <c r="E52" i="9"/>
  <c r="D52" i="9"/>
  <c r="C52" i="9"/>
  <c r="A52" i="9"/>
  <c r="B52" i="9" s="1"/>
  <c r="E51" i="9"/>
  <c r="D51" i="9"/>
  <c r="C51" i="9"/>
  <c r="B51" i="9"/>
  <c r="A51" i="9"/>
  <c r="E50" i="9"/>
  <c r="D50" i="9"/>
  <c r="C50" i="9"/>
  <c r="B50" i="9"/>
  <c r="A50" i="9"/>
  <c r="E49" i="9"/>
  <c r="D49" i="9"/>
  <c r="C49" i="9"/>
  <c r="A49" i="9"/>
  <c r="B49" i="9" s="1"/>
  <c r="E48" i="9"/>
  <c r="D48" i="9"/>
  <c r="C48" i="9"/>
  <c r="A48" i="9"/>
  <c r="B48" i="9" s="1"/>
  <c r="E47" i="9"/>
  <c r="D47" i="9"/>
  <c r="C47" i="9"/>
  <c r="B47" i="9"/>
  <c r="A47" i="9"/>
  <c r="E46" i="9"/>
  <c r="D46" i="9"/>
  <c r="C46" i="9"/>
  <c r="B46" i="9"/>
  <c r="A46" i="9"/>
  <c r="E45" i="9"/>
  <c r="D45" i="9"/>
  <c r="C45" i="9"/>
  <c r="A45" i="9"/>
  <c r="B45" i="9" s="1"/>
  <c r="E44" i="9"/>
  <c r="D44" i="9"/>
  <c r="C44" i="9"/>
  <c r="A44" i="9"/>
  <c r="B44" i="9" s="1"/>
  <c r="E43" i="9"/>
  <c r="D43" i="9"/>
  <c r="C43" i="9"/>
  <c r="A43" i="9"/>
  <c r="B43" i="9" s="1"/>
  <c r="E42" i="9"/>
  <c r="D42" i="9"/>
  <c r="C42" i="9"/>
  <c r="B42" i="9"/>
  <c r="A42" i="9"/>
  <c r="E41" i="9"/>
  <c r="D41" i="9"/>
  <c r="C41" i="9"/>
  <c r="B41" i="9"/>
  <c r="A41" i="9"/>
  <c r="E40" i="9"/>
  <c r="D40" i="9"/>
  <c r="C40" i="9"/>
  <c r="A40" i="9"/>
  <c r="B40" i="9" s="1"/>
  <c r="E39" i="9"/>
  <c r="D39" i="9"/>
  <c r="C39" i="9"/>
  <c r="A39" i="9"/>
  <c r="B39" i="9" s="1"/>
  <c r="E38" i="9"/>
  <c r="D38" i="9"/>
  <c r="C38" i="9"/>
  <c r="A38" i="9"/>
  <c r="B38" i="9" s="1"/>
  <c r="E37" i="9"/>
  <c r="D37" i="9"/>
  <c r="C37" i="9"/>
  <c r="A37" i="9"/>
  <c r="B37" i="9" s="1"/>
  <c r="E36" i="9"/>
  <c r="D36" i="9"/>
  <c r="C36" i="9"/>
  <c r="B36" i="9"/>
  <c r="A36" i="9"/>
  <c r="E35" i="9"/>
  <c r="D35" i="9"/>
  <c r="C35" i="9"/>
  <c r="A35" i="9"/>
  <c r="B35" i="9" s="1"/>
  <c r="E34" i="9"/>
  <c r="D34" i="9"/>
  <c r="C34" i="9"/>
  <c r="B34" i="9"/>
  <c r="A34" i="9"/>
  <c r="E33" i="9"/>
  <c r="D33" i="9"/>
  <c r="C33" i="9"/>
  <c r="B33" i="9"/>
  <c r="A33" i="9"/>
  <c r="E32" i="9"/>
  <c r="D32" i="9"/>
  <c r="C32" i="9"/>
  <c r="B32" i="9"/>
  <c r="A32" i="9"/>
  <c r="E31" i="9"/>
  <c r="D31" i="9"/>
  <c r="C31" i="9"/>
  <c r="B31" i="9"/>
  <c r="A31" i="9"/>
  <c r="E30" i="9"/>
  <c r="D30" i="9"/>
  <c r="C30" i="9"/>
  <c r="B30" i="9"/>
  <c r="A30" i="9"/>
  <c r="E29" i="9"/>
  <c r="D29" i="9"/>
  <c r="C29" i="9"/>
  <c r="A29" i="9"/>
  <c r="B29" i="9" s="1"/>
  <c r="E28" i="9"/>
  <c r="D28" i="9"/>
  <c r="C28" i="9"/>
  <c r="B28" i="9"/>
  <c r="A28" i="9"/>
  <c r="E27" i="9"/>
  <c r="D27" i="9"/>
  <c r="C27" i="9"/>
  <c r="B27" i="9"/>
  <c r="A27" i="9"/>
  <c r="E26" i="9"/>
  <c r="D26" i="9"/>
  <c r="C26" i="9"/>
  <c r="B26" i="9"/>
  <c r="A26" i="9"/>
  <c r="E25" i="9"/>
  <c r="D25" i="9"/>
  <c r="C25" i="9"/>
  <c r="B25" i="9"/>
  <c r="A25" i="9"/>
  <c r="E24" i="9"/>
  <c r="D24" i="9"/>
  <c r="C24" i="9"/>
  <c r="A24" i="9"/>
  <c r="B24" i="9" s="1"/>
  <c r="E23" i="9"/>
  <c r="D23" i="9"/>
  <c r="C23" i="9"/>
  <c r="A23" i="9"/>
  <c r="B23" i="9" s="1"/>
  <c r="E22" i="9"/>
  <c r="D22" i="9"/>
  <c r="C22" i="9"/>
  <c r="A22" i="9"/>
  <c r="B22" i="9" s="1"/>
  <c r="E21" i="9"/>
  <c r="D21" i="9"/>
  <c r="C21" i="9"/>
  <c r="A21" i="9"/>
  <c r="B21" i="9" s="1"/>
  <c r="E20" i="9"/>
  <c r="D20" i="9"/>
  <c r="C20" i="9"/>
  <c r="B20" i="9"/>
  <c r="A20" i="9"/>
  <c r="E19" i="9"/>
  <c r="D19" i="9"/>
  <c r="C19" i="9"/>
  <c r="B19" i="9"/>
  <c r="A19" i="9"/>
  <c r="E18" i="9"/>
  <c r="D18" i="9"/>
  <c r="C18" i="9"/>
  <c r="B18" i="9"/>
  <c r="A18" i="9"/>
  <c r="E17" i="9"/>
  <c r="D17" i="9"/>
  <c r="C17" i="9"/>
  <c r="A17" i="9"/>
  <c r="B17" i="9" s="1"/>
  <c r="E16" i="9"/>
  <c r="D16" i="9"/>
  <c r="C16" i="9"/>
  <c r="A16" i="9"/>
  <c r="B16" i="9" s="1"/>
  <c r="E15" i="9"/>
  <c r="D15" i="9"/>
  <c r="C15" i="9"/>
  <c r="A15" i="9"/>
  <c r="B15" i="9" s="1"/>
  <c r="E14" i="9"/>
  <c r="D14" i="9"/>
  <c r="C14" i="9"/>
  <c r="B14" i="9"/>
  <c r="A14" i="9"/>
  <c r="E13" i="9"/>
  <c r="D13" i="9"/>
  <c r="C13" i="9"/>
  <c r="A13" i="9"/>
  <c r="B13" i="9" s="1"/>
  <c r="E12" i="9"/>
  <c r="D12" i="9"/>
  <c r="C12" i="9"/>
  <c r="A12" i="9"/>
  <c r="B12" i="9" s="1"/>
  <c r="E11" i="9"/>
  <c r="D11" i="9"/>
  <c r="C11" i="9"/>
  <c r="B11" i="9"/>
  <c r="A11" i="9"/>
  <c r="N10" i="9"/>
  <c r="E10" i="9"/>
  <c r="D10" i="9"/>
  <c r="C10" i="9"/>
  <c r="A10" i="9"/>
  <c r="B10" i="9" s="1"/>
  <c r="N9" i="9"/>
  <c r="E9" i="9"/>
  <c r="D9" i="9"/>
  <c r="C9" i="9"/>
  <c r="B9" i="9"/>
  <c r="A9" i="9"/>
  <c r="N8" i="9"/>
  <c r="O8" i="9" s="1"/>
  <c r="E8" i="9"/>
  <c r="D8" i="9"/>
  <c r="C8" i="9"/>
  <c r="A8" i="9"/>
  <c r="B8" i="9" s="1"/>
  <c r="N7" i="9"/>
  <c r="E7" i="9"/>
  <c r="D7" i="9"/>
  <c r="C7" i="9"/>
  <c r="B7" i="9"/>
  <c r="A7" i="9"/>
  <c r="N6" i="9"/>
  <c r="E6" i="9"/>
  <c r="D6" i="9"/>
  <c r="C6" i="9"/>
  <c r="A6" i="9"/>
  <c r="B6" i="9" s="1"/>
  <c r="E718" i="8"/>
  <c r="D718" i="8"/>
  <c r="C718" i="8"/>
  <c r="A718" i="8"/>
  <c r="B718" i="8" s="1"/>
  <c r="E717" i="8"/>
  <c r="D717" i="8"/>
  <c r="C717" i="8"/>
  <c r="B717" i="8"/>
  <c r="A717" i="8"/>
  <c r="E716" i="8"/>
  <c r="D716" i="8"/>
  <c r="C716" i="8"/>
  <c r="B716" i="8"/>
  <c r="A716" i="8"/>
  <c r="E715" i="8"/>
  <c r="D715" i="8"/>
  <c r="C715" i="8"/>
  <c r="B715" i="8"/>
  <c r="A715" i="8"/>
  <c r="E714" i="8"/>
  <c r="D714" i="8"/>
  <c r="C714" i="8"/>
  <c r="A714" i="8"/>
  <c r="B714" i="8" s="1"/>
  <c r="E713" i="8"/>
  <c r="D713" i="8"/>
  <c r="C713" i="8"/>
  <c r="A713" i="8"/>
  <c r="B713" i="8" s="1"/>
  <c r="E712" i="8"/>
  <c r="D712" i="8"/>
  <c r="C712" i="8"/>
  <c r="A712" i="8"/>
  <c r="B712" i="8" s="1"/>
  <c r="E711" i="8"/>
  <c r="D711" i="8"/>
  <c r="C711" i="8"/>
  <c r="B711" i="8"/>
  <c r="A711" i="8"/>
  <c r="E710" i="8"/>
  <c r="D710" i="8"/>
  <c r="C710" i="8"/>
  <c r="B710" i="8"/>
  <c r="A710" i="8"/>
  <c r="E709" i="8"/>
  <c r="D709" i="8"/>
  <c r="C709" i="8"/>
  <c r="B709" i="8"/>
  <c r="A709" i="8"/>
  <c r="E708" i="8"/>
  <c r="D708" i="8"/>
  <c r="C708" i="8"/>
  <c r="A708" i="8"/>
  <c r="B708" i="8" s="1"/>
  <c r="E707" i="8"/>
  <c r="D707" i="8"/>
  <c r="C707" i="8"/>
  <c r="A707" i="8"/>
  <c r="B707" i="8" s="1"/>
  <c r="E706" i="8"/>
  <c r="D706" i="8"/>
  <c r="C706" i="8"/>
  <c r="A706" i="8"/>
  <c r="B706" i="8" s="1"/>
  <c r="E705" i="8"/>
  <c r="D705" i="8"/>
  <c r="C705" i="8"/>
  <c r="A705" i="8"/>
  <c r="B705" i="8" s="1"/>
  <c r="E704" i="8"/>
  <c r="D704" i="8"/>
  <c r="C704" i="8"/>
  <c r="A704" i="8"/>
  <c r="B704" i="8" s="1"/>
  <c r="E703" i="8"/>
  <c r="D703" i="8"/>
  <c r="C703" i="8"/>
  <c r="A703" i="8"/>
  <c r="B703" i="8" s="1"/>
  <c r="E702" i="8"/>
  <c r="D702" i="8"/>
  <c r="C702" i="8"/>
  <c r="A702" i="8"/>
  <c r="B702" i="8" s="1"/>
  <c r="E701" i="8"/>
  <c r="D701" i="8"/>
  <c r="C701" i="8"/>
  <c r="B701" i="8"/>
  <c r="A701" i="8"/>
  <c r="E700" i="8"/>
  <c r="D700" i="8"/>
  <c r="C700" i="8"/>
  <c r="A700" i="8"/>
  <c r="B700" i="8" s="1"/>
  <c r="E699" i="8"/>
  <c r="D699" i="8"/>
  <c r="C699" i="8"/>
  <c r="B699" i="8"/>
  <c r="A699" i="8"/>
  <c r="E698" i="8"/>
  <c r="D698" i="8"/>
  <c r="C698" i="8"/>
  <c r="B698" i="8"/>
  <c r="A698" i="8"/>
  <c r="E697" i="8"/>
  <c r="D697" i="8"/>
  <c r="C697" i="8"/>
  <c r="B697" i="8"/>
  <c r="A697" i="8"/>
  <c r="E696" i="8"/>
  <c r="D696" i="8"/>
  <c r="C696" i="8"/>
  <c r="A696" i="8"/>
  <c r="B696" i="8" s="1"/>
  <c r="E695" i="8"/>
  <c r="D695" i="8"/>
  <c r="C695" i="8"/>
  <c r="A695" i="8"/>
  <c r="B695" i="8" s="1"/>
  <c r="E694" i="8"/>
  <c r="D694" i="8"/>
  <c r="C694" i="8"/>
  <c r="B694" i="8"/>
  <c r="A694" i="8"/>
  <c r="E693" i="8"/>
  <c r="D693" i="8"/>
  <c r="C693" i="8"/>
  <c r="B693" i="8"/>
  <c r="A693" i="8"/>
  <c r="E692" i="8"/>
  <c r="D692" i="8"/>
  <c r="C692" i="8"/>
  <c r="B692" i="8"/>
  <c r="A692" i="8"/>
  <c r="E691" i="8"/>
  <c r="D691" i="8"/>
  <c r="C691" i="8"/>
  <c r="A691" i="8"/>
  <c r="B691" i="8" s="1"/>
  <c r="E690" i="8"/>
  <c r="D690" i="8"/>
  <c r="C690" i="8"/>
  <c r="A690" i="8"/>
  <c r="B690" i="8" s="1"/>
  <c r="E689" i="8"/>
  <c r="D689" i="8"/>
  <c r="C689" i="8"/>
  <c r="A689" i="8"/>
  <c r="B689" i="8" s="1"/>
  <c r="E688" i="8"/>
  <c r="D688" i="8"/>
  <c r="C688" i="8"/>
  <c r="A688" i="8"/>
  <c r="B688" i="8" s="1"/>
  <c r="E687" i="8"/>
  <c r="D687" i="8"/>
  <c r="C687" i="8"/>
  <c r="B687" i="8"/>
  <c r="A687" i="8"/>
  <c r="E686" i="8"/>
  <c r="D686" i="8"/>
  <c r="C686" i="8"/>
  <c r="B686" i="8"/>
  <c r="A686" i="8"/>
  <c r="E685" i="8"/>
  <c r="D685" i="8"/>
  <c r="C685" i="8"/>
  <c r="B685" i="8"/>
  <c r="A685" i="8"/>
  <c r="E684" i="8"/>
  <c r="D684" i="8"/>
  <c r="C684" i="8"/>
  <c r="A684" i="8"/>
  <c r="B684" i="8" s="1"/>
  <c r="E683" i="8"/>
  <c r="D683" i="8"/>
  <c r="C683" i="8"/>
  <c r="B683" i="8"/>
  <c r="A683" i="8"/>
  <c r="E682" i="8"/>
  <c r="D682" i="8"/>
  <c r="C682" i="8"/>
  <c r="A682" i="8"/>
  <c r="B682" i="8" s="1"/>
  <c r="E681" i="8"/>
  <c r="D681" i="8"/>
  <c r="C681" i="8"/>
  <c r="B681" i="8"/>
  <c r="A681" i="8"/>
  <c r="E680" i="8"/>
  <c r="D680" i="8"/>
  <c r="C680" i="8"/>
  <c r="A680" i="8"/>
  <c r="B680" i="8" s="1"/>
  <c r="E679" i="8"/>
  <c r="D679" i="8"/>
  <c r="C679" i="8"/>
  <c r="A679" i="8"/>
  <c r="B679" i="8" s="1"/>
  <c r="E678" i="8"/>
  <c r="D678" i="8"/>
  <c r="C678" i="8"/>
  <c r="B678" i="8"/>
  <c r="A678" i="8"/>
  <c r="E677" i="8"/>
  <c r="D677" i="8"/>
  <c r="C677" i="8"/>
  <c r="B677" i="8"/>
  <c r="A677" i="8"/>
  <c r="E676" i="8"/>
  <c r="D676" i="8"/>
  <c r="C676" i="8"/>
  <c r="B676" i="8"/>
  <c r="A676" i="8"/>
  <c r="E675" i="8"/>
  <c r="D675" i="8"/>
  <c r="C675" i="8"/>
  <c r="B675" i="8"/>
  <c r="A675" i="8"/>
  <c r="E674" i="8"/>
  <c r="D674" i="8"/>
  <c r="C674" i="8"/>
  <c r="B674" i="8"/>
  <c r="A674" i="8"/>
  <c r="E673" i="8"/>
  <c r="D673" i="8"/>
  <c r="C673" i="8"/>
  <c r="A673" i="8"/>
  <c r="B673" i="8" s="1"/>
  <c r="E672" i="8"/>
  <c r="D672" i="8"/>
  <c r="C672" i="8"/>
  <c r="A672" i="8"/>
  <c r="B672" i="8" s="1"/>
  <c r="E671" i="8"/>
  <c r="D671" i="8"/>
  <c r="C671" i="8"/>
  <c r="B671" i="8"/>
  <c r="A671" i="8"/>
  <c r="E670" i="8"/>
  <c r="D670" i="8"/>
  <c r="C670" i="8"/>
  <c r="B670" i="8"/>
  <c r="A670" i="8"/>
  <c r="E669" i="8"/>
  <c r="D669" i="8"/>
  <c r="C669" i="8"/>
  <c r="B669" i="8"/>
  <c r="A669" i="8"/>
  <c r="E668" i="8"/>
  <c r="D668" i="8"/>
  <c r="C668" i="8"/>
  <c r="A668" i="8"/>
  <c r="B668" i="8" s="1"/>
  <c r="E667" i="8"/>
  <c r="D667" i="8"/>
  <c r="C667" i="8"/>
  <c r="A667" i="8"/>
  <c r="B667" i="8" s="1"/>
  <c r="E666" i="8"/>
  <c r="D666" i="8"/>
  <c r="C666" i="8"/>
  <c r="A666" i="8"/>
  <c r="B666" i="8" s="1"/>
  <c r="E665" i="8"/>
  <c r="D665" i="8"/>
  <c r="C665" i="8"/>
  <c r="A665" i="8"/>
  <c r="B665" i="8" s="1"/>
  <c r="E664" i="8"/>
  <c r="D664" i="8"/>
  <c r="C664" i="8"/>
  <c r="A664" i="8"/>
  <c r="B664" i="8" s="1"/>
  <c r="E663" i="8"/>
  <c r="D663" i="8"/>
  <c r="C663" i="8"/>
  <c r="B663" i="8"/>
  <c r="A663" i="8"/>
  <c r="E662" i="8"/>
  <c r="D662" i="8"/>
  <c r="C662" i="8"/>
  <c r="A662" i="8"/>
  <c r="B662" i="8" s="1"/>
  <c r="E661" i="8"/>
  <c r="D661" i="8"/>
  <c r="C661" i="8"/>
  <c r="B661" i="8"/>
  <c r="A661" i="8"/>
  <c r="E660" i="8"/>
  <c r="D660" i="8"/>
  <c r="C660" i="8"/>
  <c r="B660" i="8"/>
  <c r="A660" i="8"/>
  <c r="E659" i="8"/>
  <c r="D659" i="8"/>
  <c r="C659" i="8"/>
  <c r="A659" i="8"/>
  <c r="B659" i="8" s="1"/>
  <c r="E658" i="8"/>
  <c r="D658" i="8"/>
  <c r="C658" i="8"/>
  <c r="B658" i="8"/>
  <c r="A658" i="8"/>
  <c r="E657" i="8"/>
  <c r="D657" i="8"/>
  <c r="C657" i="8"/>
  <c r="A657" i="8"/>
  <c r="B657" i="8" s="1"/>
  <c r="E656" i="8"/>
  <c r="D656" i="8"/>
  <c r="C656" i="8"/>
  <c r="A656" i="8"/>
  <c r="B656" i="8" s="1"/>
  <c r="E655" i="8"/>
  <c r="D655" i="8"/>
  <c r="C655" i="8"/>
  <c r="A655" i="8"/>
  <c r="B655" i="8" s="1"/>
  <c r="E654" i="8"/>
  <c r="D654" i="8"/>
  <c r="C654" i="8"/>
  <c r="A654" i="8"/>
  <c r="B654" i="8" s="1"/>
  <c r="E653" i="8"/>
  <c r="D653" i="8"/>
  <c r="C653" i="8"/>
  <c r="B653" i="8"/>
  <c r="A653" i="8"/>
  <c r="E652" i="8"/>
  <c r="D652" i="8"/>
  <c r="C652" i="8"/>
  <c r="B652" i="8"/>
  <c r="A652" i="8"/>
  <c r="E651" i="8"/>
  <c r="D651" i="8"/>
  <c r="C651" i="8"/>
  <c r="B651" i="8"/>
  <c r="A651" i="8"/>
  <c r="E650" i="8"/>
  <c r="D650" i="8"/>
  <c r="C650" i="8"/>
  <c r="A650" i="8"/>
  <c r="B650" i="8" s="1"/>
  <c r="E649" i="8"/>
  <c r="D649" i="8"/>
  <c r="C649" i="8"/>
  <c r="A649" i="8"/>
  <c r="B649" i="8" s="1"/>
  <c r="E648" i="8"/>
  <c r="D648" i="8"/>
  <c r="C648" i="8"/>
  <c r="A648" i="8"/>
  <c r="B648" i="8" s="1"/>
  <c r="E647" i="8"/>
  <c r="D647" i="8"/>
  <c r="C647" i="8"/>
  <c r="A647" i="8"/>
  <c r="B647" i="8" s="1"/>
  <c r="E646" i="8"/>
  <c r="D646" i="8"/>
  <c r="C646" i="8"/>
  <c r="B646" i="8"/>
  <c r="A646" i="8"/>
  <c r="E645" i="8"/>
  <c r="D645" i="8"/>
  <c r="C645" i="8"/>
  <c r="B645" i="8"/>
  <c r="A645" i="8"/>
  <c r="E644" i="8"/>
  <c r="D644" i="8"/>
  <c r="C644" i="8"/>
  <c r="A644" i="8"/>
  <c r="B644" i="8" s="1"/>
  <c r="E643" i="8"/>
  <c r="D643" i="8"/>
  <c r="C643" i="8"/>
  <c r="A643" i="8"/>
  <c r="B643" i="8" s="1"/>
  <c r="E642" i="8"/>
  <c r="D642" i="8"/>
  <c r="C642" i="8"/>
  <c r="B642" i="8"/>
  <c r="A642" i="8"/>
  <c r="E641" i="8"/>
  <c r="D641" i="8"/>
  <c r="C641" i="8"/>
  <c r="A641" i="8"/>
  <c r="B641" i="8" s="1"/>
  <c r="E640" i="8"/>
  <c r="D640" i="8"/>
  <c r="C640" i="8"/>
  <c r="A640" i="8"/>
  <c r="B640" i="8" s="1"/>
  <c r="E639" i="8"/>
  <c r="D639" i="8"/>
  <c r="C639" i="8"/>
  <c r="A639" i="8"/>
  <c r="B639" i="8" s="1"/>
  <c r="E638" i="8"/>
  <c r="D638" i="8"/>
  <c r="C638" i="8"/>
  <c r="A638" i="8"/>
  <c r="B638" i="8" s="1"/>
  <c r="E637" i="8"/>
  <c r="D637" i="8"/>
  <c r="C637" i="8"/>
  <c r="B637" i="8"/>
  <c r="A637" i="8"/>
  <c r="E636" i="8"/>
  <c r="D636" i="8"/>
  <c r="C636" i="8"/>
  <c r="A636" i="8"/>
  <c r="B636" i="8" s="1"/>
  <c r="E635" i="8"/>
  <c r="D635" i="8"/>
  <c r="C635" i="8"/>
  <c r="B635" i="8"/>
  <c r="A635" i="8"/>
  <c r="E634" i="8"/>
  <c r="D634" i="8"/>
  <c r="C634" i="8"/>
  <c r="B634" i="8"/>
  <c r="A634" i="8"/>
  <c r="E633" i="8"/>
  <c r="D633" i="8"/>
  <c r="C633" i="8"/>
  <c r="B633" i="8"/>
  <c r="A633" i="8"/>
  <c r="E632" i="8"/>
  <c r="D632" i="8"/>
  <c r="C632" i="8"/>
  <c r="A632" i="8"/>
  <c r="B632" i="8" s="1"/>
  <c r="E631" i="8"/>
  <c r="D631" i="8"/>
  <c r="C631" i="8"/>
  <c r="A631" i="8"/>
  <c r="B631" i="8" s="1"/>
  <c r="E630" i="8"/>
  <c r="D630" i="8"/>
  <c r="C630" i="8"/>
  <c r="B630" i="8"/>
  <c r="A630" i="8"/>
  <c r="E629" i="8"/>
  <c r="D629" i="8"/>
  <c r="C629" i="8"/>
  <c r="B629" i="8"/>
  <c r="A629" i="8"/>
  <c r="E628" i="8"/>
  <c r="D628" i="8"/>
  <c r="C628" i="8"/>
  <c r="B628" i="8"/>
  <c r="A628" i="8"/>
  <c r="E627" i="8"/>
  <c r="D627" i="8"/>
  <c r="C627" i="8"/>
  <c r="A627" i="8"/>
  <c r="B627" i="8" s="1"/>
  <c r="E626" i="8"/>
  <c r="D626" i="8"/>
  <c r="C626" i="8"/>
  <c r="A626" i="8"/>
  <c r="B626" i="8" s="1"/>
  <c r="E625" i="8"/>
  <c r="D625" i="8"/>
  <c r="C625" i="8"/>
  <c r="A625" i="8"/>
  <c r="B625" i="8" s="1"/>
  <c r="E624" i="8"/>
  <c r="D624" i="8"/>
  <c r="C624" i="8"/>
  <c r="A624" i="8"/>
  <c r="B624" i="8" s="1"/>
  <c r="E623" i="8"/>
  <c r="D623" i="8"/>
  <c r="C623" i="8"/>
  <c r="B623" i="8"/>
  <c r="A623" i="8"/>
  <c r="E622" i="8"/>
  <c r="D622" i="8"/>
  <c r="C622" i="8"/>
  <c r="B622" i="8"/>
  <c r="A622" i="8"/>
  <c r="E621" i="8"/>
  <c r="D621" i="8"/>
  <c r="C621" i="8"/>
  <c r="B621" i="8"/>
  <c r="A621" i="8"/>
  <c r="E620" i="8"/>
  <c r="D620" i="8"/>
  <c r="C620" i="8"/>
  <c r="A620" i="8"/>
  <c r="B620" i="8" s="1"/>
  <c r="E619" i="8"/>
  <c r="D619" i="8"/>
  <c r="C619" i="8"/>
  <c r="B619" i="8"/>
  <c r="A619" i="8"/>
  <c r="E618" i="8"/>
  <c r="D618" i="8"/>
  <c r="C618" i="8"/>
  <c r="A618" i="8"/>
  <c r="B618" i="8" s="1"/>
  <c r="E617" i="8"/>
  <c r="D617" i="8"/>
  <c r="C617" i="8"/>
  <c r="B617" i="8"/>
  <c r="A617" i="8"/>
  <c r="E616" i="8"/>
  <c r="D616" i="8"/>
  <c r="C616" i="8"/>
  <c r="A616" i="8"/>
  <c r="B616" i="8" s="1"/>
  <c r="E615" i="8"/>
  <c r="D615" i="8"/>
  <c r="C615" i="8"/>
  <c r="A615" i="8"/>
  <c r="B615" i="8" s="1"/>
  <c r="E614" i="8"/>
  <c r="D614" i="8"/>
  <c r="C614" i="8"/>
  <c r="A614" i="8"/>
  <c r="B614" i="8" s="1"/>
  <c r="E613" i="8"/>
  <c r="D613" i="8"/>
  <c r="C613" i="8"/>
  <c r="B613" i="8"/>
  <c r="A613" i="8"/>
  <c r="E612" i="8"/>
  <c r="D612" i="8"/>
  <c r="C612" i="8"/>
  <c r="B612" i="8"/>
  <c r="A612" i="8"/>
  <c r="E611" i="8"/>
  <c r="D611" i="8"/>
  <c r="C611" i="8"/>
  <c r="B611" i="8"/>
  <c r="A611" i="8"/>
  <c r="E610" i="8"/>
  <c r="D610" i="8"/>
  <c r="C610" i="8"/>
  <c r="B610" i="8"/>
  <c r="A610" i="8"/>
  <c r="E609" i="8"/>
  <c r="D609" i="8"/>
  <c r="C609" i="8"/>
  <c r="B609" i="8"/>
  <c r="A609" i="8"/>
  <c r="E608" i="8"/>
  <c r="D608" i="8"/>
  <c r="C608" i="8"/>
  <c r="A608" i="8"/>
  <c r="B608" i="8" s="1"/>
  <c r="E607" i="8"/>
  <c r="D607" i="8"/>
  <c r="C607" i="8"/>
  <c r="B607" i="8"/>
  <c r="A607" i="8"/>
  <c r="E606" i="8"/>
  <c r="D606" i="8"/>
  <c r="C606" i="8"/>
  <c r="B606" i="8"/>
  <c r="A606" i="8"/>
  <c r="E605" i="8"/>
  <c r="D605" i="8"/>
  <c r="C605" i="8"/>
  <c r="B605" i="8"/>
  <c r="A605" i="8"/>
  <c r="E604" i="8"/>
  <c r="D604" i="8"/>
  <c r="C604" i="8"/>
  <c r="B604" i="8"/>
  <c r="A604" i="8"/>
  <c r="E603" i="8"/>
  <c r="D603" i="8"/>
  <c r="C603" i="8"/>
  <c r="A603" i="8"/>
  <c r="B603" i="8" s="1"/>
  <c r="E602" i="8"/>
  <c r="D602" i="8"/>
  <c r="C602" i="8"/>
  <c r="A602" i="8"/>
  <c r="B602" i="8" s="1"/>
  <c r="E601" i="8"/>
  <c r="D601" i="8"/>
  <c r="C601" i="8"/>
  <c r="B601" i="8"/>
  <c r="A601" i="8"/>
  <c r="E600" i="8"/>
  <c r="D600" i="8"/>
  <c r="C600" i="8"/>
  <c r="A600" i="8"/>
  <c r="B600" i="8" s="1"/>
  <c r="E599" i="8"/>
  <c r="D599" i="8"/>
  <c r="C599" i="8"/>
  <c r="B599" i="8"/>
  <c r="A599" i="8"/>
  <c r="E598" i="8"/>
  <c r="D598" i="8"/>
  <c r="C598" i="8"/>
  <c r="A598" i="8"/>
  <c r="B598" i="8" s="1"/>
  <c r="E597" i="8"/>
  <c r="D597" i="8"/>
  <c r="C597" i="8"/>
  <c r="B597" i="8"/>
  <c r="A597" i="8"/>
  <c r="E596" i="8"/>
  <c r="D596" i="8"/>
  <c r="C596" i="8"/>
  <c r="B596" i="8"/>
  <c r="A596" i="8"/>
  <c r="E595" i="8"/>
  <c r="D595" i="8"/>
  <c r="C595" i="8"/>
  <c r="A595" i="8"/>
  <c r="B595" i="8" s="1"/>
  <c r="E594" i="8"/>
  <c r="D594" i="8"/>
  <c r="C594" i="8"/>
  <c r="B594" i="8"/>
  <c r="A594" i="8"/>
  <c r="E593" i="8"/>
  <c r="D593" i="8"/>
  <c r="C593" i="8"/>
  <c r="A593" i="8"/>
  <c r="B593" i="8" s="1"/>
  <c r="E592" i="8"/>
  <c r="D592" i="8"/>
  <c r="C592" i="8"/>
  <c r="A592" i="8"/>
  <c r="B592" i="8" s="1"/>
  <c r="E591" i="8"/>
  <c r="D591" i="8"/>
  <c r="C591" i="8"/>
  <c r="B591" i="8"/>
  <c r="A591" i="8"/>
  <c r="E590" i="8"/>
  <c r="D590" i="8"/>
  <c r="C590" i="8"/>
  <c r="A590" i="8"/>
  <c r="B590" i="8" s="1"/>
  <c r="E589" i="8"/>
  <c r="D589" i="8"/>
  <c r="C589" i="8"/>
  <c r="B589" i="8"/>
  <c r="A589" i="8"/>
  <c r="E588" i="8"/>
  <c r="D588" i="8"/>
  <c r="C588" i="8"/>
  <c r="B588" i="8"/>
  <c r="A588" i="8"/>
  <c r="E587" i="8"/>
  <c r="D587" i="8"/>
  <c r="C587" i="8"/>
  <c r="B587" i="8"/>
  <c r="A587" i="8"/>
  <c r="E586" i="8"/>
  <c r="D586" i="8"/>
  <c r="C586" i="8"/>
  <c r="B586" i="8"/>
  <c r="A586" i="8"/>
  <c r="E585" i="8"/>
  <c r="D585" i="8"/>
  <c r="C585" i="8"/>
  <c r="A585" i="8"/>
  <c r="B585" i="8" s="1"/>
  <c r="E584" i="8"/>
  <c r="D584" i="8"/>
  <c r="C584" i="8"/>
  <c r="A584" i="8"/>
  <c r="B584" i="8" s="1"/>
  <c r="E583" i="8"/>
  <c r="D583" i="8"/>
  <c r="C583" i="8"/>
  <c r="A583" i="8"/>
  <c r="B583" i="8" s="1"/>
  <c r="E582" i="8"/>
  <c r="D582" i="8"/>
  <c r="C582" i="8"/>
  <c r="B582" i="8"/>
  <c r="A582" i="8"/>
  <c r="E581" i="8"/>
  <c r="D581" i="8"/>
  <c r="C581" i="8"/>
  <c r="B581" i="8"/>
  <c r="A581" i="8"/>
  <c r="E580" i="8"/>
  <c r="D580" i="8"/>
  <c r="C580" i="8"/>
  <c r="A580" i="8"/>
  <c r="B580" i="8" s="1"/>
  <c r="E579" i="8"/>
  <c r="D579" i="8"/>
  <c r="C579" i="8"/>
  <c r="A579" i="8"/>
  <c r="B579" i="8" s="1"/>
  <c r="E578" i="8"/>
  <c r="D578" i="8"/>
  <c r="C578" i="8"/>
  <c r="A578" i="8"/>
  <c r="B578" i="8" s="1"/>
  <c r="E577" i="8"/>
  <c r="D577" i="8"/>
  <c r="C577" i="8"/>
  <c r="A577" i="8"/>
  <c r="B577" i="8" s="1"/>
  <c r="E576" i="8"/>
  <c r="D576" i="8"/>
  <c r="C576" i="8"/>
  <c r="A576" i="8"/>
  <c r="B576" i="8" s="1"/>
  <c r="E575" i="8"/>
  <c r="D575" i="8"/>
  <c r="C575" i="8"/>
  <c r="A575" i="8"/>
  <c r="B575" i="8" s="1"/>
  <c r="E574" i="8"/>
  <c r="D574" i="8"/>
  <c r="C574" i="8"/>
  <c r="A574" i="8"/>
  <c r="B574" i="8" s="1"/>
  <c r="E573" i="8"/>
  <c r="D573" i="8"/>
  <c r="C573" i="8"/>
  <c r="B573" i="8"/>
  <c r="A573" i="8"/>
  <c r="E572" i="8"/>
  <c r="D572" i="8"/>
  <c r="C572" i="8"/>
  <c r="A572" i="8"/>
  <c r="B572" i="8" s="1"/>
  <c r="E571" i="8"/>
  <c r="D571" i="8"/>
  <c r="C571" i="8"/>
  <c r="B571" i="8"/>
  <c r="A571" i="8"/>
  <c r="E570" i="8"/>
  <c r="D570" i="8"/>
  <c r="C570" i="8"/>
  <c r="A570" i="8"/>
  <c r="B570" i="8" s="1"/>
  <c r="E569" i="8"/>
  <c r="D569" i="8"/>
  <c r="C569" i="8"/>
  <c r="B569" i="8"/>
  <c r="A569" i="8"/>
  <c r="E568" i="8"/>
  <c r="D568" i="8"/>
  <c r="C568" i="8"/>
  <c r="A568" i="8"/>
  <c r="B568" i="8" s="1"/>
  <c r="E567" i="8"/>
  <c r="D567" i="8"/>
  <c r="C567" i="8"/>
  <c r="A567" i="8"/>
  <c r="B567" i="8" s="1"/>
  <c r="E566" i="8"/>
  <c r="D566" i="8"/>
  <c r="C566" i="8"/>
  <c r="B566" i="8"/>
  <c r="A566" i="8"/>
  <c r="E565" i="8"/>
  <c r="D565" i="8"/>
  <c r="C565" i="8"/>
  <c r="B565" i="8"/>
  <c r="A565" i="8"/>
  <c r="E564" i="8"/>
  <c r="D564" i="8"/>
  <c r="C564" i="8"/>
  <c r="B564" i="8"/>
  <c r="A564" i="8"/>
  <c r="E563" i="8"/>
  <c r="D563" i="8"/>
  <c r="C563" i="8"/>
  <c r="B563" i="8"/>
  <c r="A563" i="8"/>
  <c r="E562" i="8"/>
  <c r="D562" i="8"/>
  <c r="C562" i="8"/>
  <c r="A562" i="8"/>
  <c r="B562" i="8" s="1"/>
  <c r="E561" i="8"/>
  <c r="D561" i="8"/>
  <c r="C561" i="8"/>
  <c r="A561" i="8"/>
  <c r="B561" i="8" s="1"/>
  <c r="E560" i="8"/>
  <c r="D560" i="8"/>
  <c r="C560" i="8"/>
  <c r="A560" i="8"/>
  <c r="B560" i="8" s="1"/>
  <c r="E559" i="8"/>
  <c r="D559" i="8"/>
  <c r="C559" i="8"/>
  <c r="B559" i="8"/>
  <c r="A559" i="8"/>
  <c r="E558" i="8"/>
  <c r="D558" i="8"/>
  <c r="C558" i="8"/>
  <c r="B558" i="8"/>
  <c r="A558" i="8"/>
  <c r="E557" i="8"/>
  <c r="D557" i="8"/>
  <c r="C557" i="8"/>
  <c r="B557" i="8"/>
  <c r="A557" i="8"/>
  <c r="E556" i="8"/>
  <c r="D556" i="8"/>
  <c r="C556" i="8"/>
  <c r="A556" i="8"/>
  <c r="B556" i="8" s="1"/>
  <c r="E555" i="8"/>
  <c r="D555" i="8"/>
  <c r="C555" i="8"/>
  <c r="A555" i="8"/>
  <c r="B555" i="8" s="1"/>
  <c r="E554" i="8"/>
  <c r="D554" i="8"/>
  <c r="C554" i="8"/>
  <c r="A554" i="8"/>
  <c r="B554" i="8" s="1"/>
  <c r="E553" i="8"/>
  <c r="D553" i="8"/>
  <c r="C553" i="8"/>
  <c r="B553" i="8"/>
  <c r="A553" i="8"/>
  <c r="E552" i="8"/>
  <c r="D552" i="8"/>
  <c r="C552" i="8"/>
  <c r="A552" i="8"/>
  <c r="B552" i="8" s="1"/>
  <c r="E551" i="8"/>
  <c r="D551" i="8"/>
  <c r="C551" i="8"/>
  <c r="A551" i="8"/>
  <c r="B551" i="8" s="1"/>
  <c r="E550" i="8"/>
  <c r="D550" i="8"/>
  <c r="C550" i="8"/>
  <c r="A550" i="8"/>
  <c r="B550" i="8" s="1"/>
  <c r="E549" i="8"/>
  <c r="D549" i="8"/>
  <c r="C549" i="8"/>
  <c r="B549" i="8"/>
  <c r="A549" i="8"/>
  <c r="E548" i="8"/>
  <c r="D548" i="8"/>
  <c r="C548" i="8"/>
  <c r="B548" i="8"/>
  <c r="A548" i="8"/>
  <c r="E547" i="8"/>
  <c r="D547" i="8"/>
  <c r="C547" i="8"/>
  <c r="B547" i="8"/>
  <c r="A547" i="8"/>
  <c r="E546" i="8"/>
  <c r="D546" i="8"/>
  <c r="C546" i="8"/>
  <c r="B546" i="8"/>
  <c r="A546" i="8"/>
  <c r="E545" i="8"/>
  <c r="D545" i="8"/>
  <c r="C545" i="8"/>
  <c r="B545" i="8"/>
  <c r="A545" i="8"/>
  <c r="E544" i="8"/>
  <c r="D544" i="8"/>
  <c r="C544" i="8"/>
  <c r="A544" i="8"/>
  <c r="B544" i="8" s="1"/>
  <c r="E543" i="8"/>
  <c r="D543" i="8"/>
  <c r="C543" i="8"/>
  <c r="B543" i="8"/>
  <c r="A543" i="8"/>
  <c r="E542" i="8"/>
  <c r="D542" i="8"/>
  <c r="C542" i="8"/>
  <c r="B542" i="8"/>
  <c r="A542" i="8"/>
  <c r="E541" i="8"/>
  <c r="D541" i="8"/>
  <c r="C541" i="8"/>
  <c r="B541" i="8"/>
  <c r="A541" i="8"/>
  <c r="E540" i="8"/>
  <c r="D540" i="8"/>
  <c r="C540" i="8"/>
  <c r="B540" i="8"/>
  <c r="A540" i="8"/>
  <c r="E539" i="8"/>
  <c r="D539" i="8"/>
  <c r="C539" i="8"/>
  <c r="A539" i="8"/>
  <c r="B539" i="8" s="1"/>
  <c r="E538" i="8"/>
  <c r="D538" i="8"/>
  <c r="C538" i="8"/>
  <c r="A538" i="8"/>
  <c r="B538" i="8" s="1"/>
  <c r="E537" i="8"/>
  <c r="D537" i="8"/>
  <c r="C537" i="8"/>
  <c r="A537" i="8"/>
  <c r="B537" i="8" s="1"/>
  <c r="E536" i="8"/>
  <c r="D536" i="8"/>
  <c r="C536" i="8"/>
  <c r="A536" i="8"/>
  <c r="B536" i="8" s="1"/>
  <c r="E535" i="8"/>
  <c r="D535" i="8"/>
  <c r="C535" i="8"/>
  <c r="B535" i="8"/>
  <c r="A535" i="8"/>
  <c r="E534" i="8"/>
  <c r="D534" i="8"/>
  <c r="C534" i="8"/>
  <c r="A534" i="8"/>
  <c r="B534" i="8" s="1"/>
  <c r="E533" i="8"/>
  <c r="D533" i="8"/>
  <c r="C533" i="8"/>
  <c r="B533" i="8"/>
  <c r="A533" i="8"/>
  <c r="E532" i="8"/>
  <c r="D532" i="8"/>
  <c r="C532" i="8"/>
  <c r="A532" i="8"/>
  <c r="B532" i="8" s="1"/>
  <c r="E531" i="8"/>
  <c r="D531" i="8"/>
  <c r="C531" i="8"/>
  <c r="A531" i="8"/>
  <c r="B531" i="8" s="1"/>
  <c r="E530" i="8"/>
  <c r="D530" i="8"/>
  <c r="C530" i="8"/>
  <c r="B530" i="8"/>
  <c r="A530" i="8"/>
  <c r="E529" i="8"/>
  <c r="D529" i="8"/>
  <c r="C529" i="8"/>
  <c r="A529" i="8"/>
  <c r="B529" i="8" s="1"/>
  <c r="E528" i="8"/>
  <c r="D528" i="8"/>
  <c r="C528" i="8"/>
  <c r="A528" i="8"/>
  <c r="B528" i="8" s="1"/>
  <c r="E527" i="8"/>
  <c r="D527" i="8"/>
  <c r="C527" i="8"/>
  <c r="B527" i="8"/>
  <c r="A527" i="8"/>
  <c r="E526" i="8"/>
  <c r="D526" i="8"/>
  <c r="C526" i="8"/>
  <c r="A526" i="8"/>
  <c r="B526" i="8" s="1"/>
  <c r="E525" i="8"/>
  <c r="D525" i="8"/>
  <c r="C525" i="8"/>
  <c r="B525" i="8"/>
  <c r="A525" i="8"/>
  <c r="E524" i="8"/>
  <c r="D524" i="8"/>
  <c r="C524" i="8"/>
  <c r="A524" i="8"/>
  <c r="B524" i="8" s="1"/>
  <c r="E523" i="8"/>
  <c r="D523" i="8"/>
  <c r="C523" i="8"/>
  <c r="B523" i="8"/>
  <c r="A523" i="8"/>
  <c r="E522" i="8"/>
  <c r="D522" i="8"/>
  <c r="C522" i="8"/>
  <c r="B522" i="8"/>
  <c r="A522" i="8"/>
  <c r="E521" i="8"/>
  <c r="D521" i="8"/>
  <c r="C521" i="8"/>
  <c r="A521" i="8"/>
  <c r="B521" i="8" s="1"/>
  <c r="E520" i="8"/>
  <c r="D520" i="8"/>
  <c r="C520" i="8"/>
  <c r="A520" i="8"/>
  <c r="B520" i="8" s="1"/>
  <c r="E519" i="8"/>
  <c r="D519" i="8"/>
  <c r="C519" i="8"/>
  <c r="B519" i="8"/>
  <c r="A519" i="8"/>
  <c r="E518" i="8"/>
  <c r="D518" i="8"/>
  <c r="C518" i="8"/>
  <c r="B518" i="8"/>
  <c r="A518" i="8"/>
  <c r="E517" i="8"/>
  <c r="D517" i="8"/>
  <c r="C517" i="8"/>
  <c r="B517" i="8"/>
  <c r="A517" i="8"/>
  <c r="E516" i="8"/>
  <c r="D516" i="8"/>
  <c r="C516" i="8"/>
  <c r="A516" i="8"/>
  <c r="B516" i="8" s="1"/>
  <c r="E515" i="8"/>
  <c r="D515" i="8"/>
  <c r="C515" i="8"/>
  <c r="A515" i="8"/>
  <c r="B515" i="8" s="1"/>
  <c r="E514" i="8"/>
  <c r="D514" i="8"/>
  <c r="C514" i="8"/>
  <c r="A514" i="8"/>
  <c r="B514" i="8" s="1"/>
  <c r="E513" i="8"/>
  <c r="D513" i="8"/>
  <c r="C513" i="8"/>
  <c r="A513" i="8"/>
  <c r="B513" i="8" s="1"/>
  <c r="E512" i="8"/>
  <c r="D512" i="8"/>
  <c r="C512" i="8"/>
  <c r="A512" i="8"/>
  <c r="B512" i="8" s="1"/>
  <c r="E511" i="8"/>
  <c r="D511" i="8"/>
  <c r="C511" i="8"/>
  <c r="A511" i="8"/>
  <c r="B511" i="8" s="1"/>
  <c r="E510" i="8"/>
  <c r="D510" i="8"/>
  <c r="C510" i="8"/>
  <c r="A510" i="8"/>
  <c r="B510" i="8" s="1"/>
  <c r="E509" i="8"/>
  <c r="D509" i="8"/>
  <c r="C509" i="8"/>
  <c r="B509" i="8"/>
  <c r="A509" i="8"/>
  <c r="E508" i="8"/>
  <c r="D508" i="8"/>
  <c r="C508" i="8"/>
  <c r="A508" i="8"/>
  <c r="B508" i="8" s="1"/>
  <c r="E507" i="8"/>
  <c r="D507" i="8"/>
  <c r="C507" i="8"/>
  <c r="B507" i="8"/>
  <c r="A507" i="8"/>
  <c r="E506" i="8"/>
  <c r="D506" i="8"/>
  <c r="C506" i="8"/>
  <c r="B506" i="8"/>
  <c r="A506" i="8"/>
  <c r="E505" i="8"/>
  <c r="D505" i="8"/>
  <c r="C505" i="8"/>
  <c r="B505" i="8"/>
  <c r="A505" i="8"/>
  <c r="E504" i="8"/>
  <c r="D504" i="8"/>
  <c r="C504" i="8"/>
  <c r="A504" i="8"/>
  <c r="B504" i="8" s="1"/>
  <c r="E503" i="8"/>
  <c r="D503" i="8"/>
  <c r="C503" i="8"/>
  <c r="A503" i="8"/>
  <c r="B503" i="8" s="1"/>
  <c r="E502" i="8"/>
  <c r="D502" i="8"/>
  <c r="C502" i="8"/>
  <c r="B502" i="8"/>
  <c r="A502" i="8"/>
  <c r="E501" i="8"/>
  <c r="D501" i="8"/>
  <c r="C501" i="8"/>
  <c r="B501" i="8"/>
  <c r="A501" i="8"/>
  <c r="E500" i="8"/>
  <c r="D500" i="8"/>
  <c r="C500" i="8"/>
  <c r="B500" i="8"/>
  <c r="A500" i="8"/>
  <c r="E499" i="8"/>
  <c r="D499" i="8"/>
  <c r="C499" i="8"/>
  <c r="B499" i="8"/>
  <c r="A499" i="8"/>
  <c r="E498" i="8"/>
  <c r="D498" i="8"/>
  <c r="C498" i="8"/>
  <c r="A498" i="8"/>
  <c r="B498" i="8" s="1"/>
  <c r="E497" i="8"/>
  <c r="D497" i="8"/>
  <c r="C497" i="8"/>
  <c r="A497" i="8"/>
  <c r="B497" i="8" s="1"/>
  <c r="E496" i="8"/>
  <c r="D496" i="8"/>
  <c r="C496" i="8"/>
  <c r="A496" i="8"/>
  <c r="B496" i="8" s="1"/>
  <c r="E495" i="8"/>
  <c r="D495" i="8"/>
  <c r="C495" i="8"/>
  <c r="B495" i="8"/>
  <c r="A495" i="8"/>
  <c r="E494" i="8"/>
  <c r="D494" i="8"/>
  <c r="C494" i="8"/>
  <c r="A494" i="8"/>
  <c r="B494" i="8" s="1"/>
  <c r="E493" i="8"/>
  <c r="D493" i="8"/>
  <c r="C493" i="8"/>
  <c r="B493" i="8"/>
  <c r="A493" i="8"/>
  <c r="E492" i="8"/>
  <c r="D492" i="8"/>
  <c r="C492" i="8"/>
  <c r="A492" i="8"/>
  <c r="B492" i="8" s="1"/>
  <c r="E491" i="8"/>
  <c r="D491" i="8"/>
  <c r="C491" i="8"/>
  <c r="A491" i="8"/>
  <c r="B491" i="8" s="1"/>
  <c r="E490" i="8"/>
  <c r="D490" i="8"/>
  <c r="C490" i="8"/>
  <c r="A490" i="8"/>
  <c r="B490" i="8" s="1"/>
  <c r="E489" i="8"/>
  <c r="D489" i="8"/>
  <c r="C489" i="8"/>
  <c r="B489" i="8"/>
  <c r="A489" i="8"/>
  <c r="E488" i="8"/>
  <c r="D488" i="8"/>
  <c r="C488" i="8"/>
  <c r="A488" i="8"/>
  <c r="B488" i="8" s="1"/>
  <c r="E487" i="8"/>
  <c r="D487" i="8"/>
  <c r="C487" i="8"/>
  <c r="A487" i="8"/>
  <c r="B487" i="8" s="1"/>
  <c r="E486" i="8"/>
  <c r="D486" i="8"/>
  <c r="C486" i="8"/>
  <c r="B486" i="8"/>
  <c r="A486" i="8"/>
  <c r="E485" i="8"/>
  <c r="D485" i="8"/>
  <c r="C485" i="8"/>
  <c r="B485" i="8"/>
  <c r="A485" i="8"/>
  <c r="E484" i="8"/>
  <c r="D484" i="8"/>
  <c r="C484" i="8"/>
  <c r="B484" i="8"/>
  <c r="A484" i="8"/>
  <c r="E483" i="8"/>
  <c r="D483" i="8"/>
  <c r="C483" i="8"/>
  <c r="A483" i="8"/>
  <c r="B483" i="8" s="1"/>
  <c r="E482" i="8"/>
  <c r="D482" i="8"/>
  <c r="C482" i="8"/>
  <c r="B482" i="8"/>
  <c r="A482" i="8"/>
  <c r="E481" i="8"/>
  <c r="D481" i="8"/>
  <c r="C481" i="8"/>
  <c r="B481" i="8"/>
  <c r="A481" i="8"/>
  <c r="E480" i="8"/>
  <c r="D480" i="8"/>
  <c r="C480" i="8"/>
  <c r="A480" i="8"/>
  <c r="B480" i="8" s="1"/>
  <c r="E479" i="8"/>
  <c r="D479" i="8"/>
  <c r="C479" i="8"/>
  <c r="B479" i="8"/>
  <c r="A479" i="8"/>
  <c r="E478" i="8"/>
  <c r="D478" i="8"/>
  <c r="C478" i="8"/>
  <c r="A478" i="8"/>
  <c r="B478" i="8" s="1"/>
  <c r="E477" i="8"/>
  <c r="D477" i="8"/>
  <c r="C477" i="8"/>
  <c r="B477" i="8"/>
  <c r="A477" i="8"/>
  <c r="E476" i="8"/>
  <c r="D476" i="8"/>
  <c r="C476" i="8"/>
  <c r="A476" i="8"/>
  <c r="B476" i="8" s="1"/>
  <c r="E475" i="8"/>
  <c r="D475" i="8"/>
  <c r="C475" i="8"/>
  <c r="A475" i="8"/>
  <c r="B475" i="8" s="1"/>
  <c r="E474" i="8"/>
  <c r="D474" i="8"/>
  <c r="C474" i="8"/>
  <c r="A474" i="8"/>
  <c r="B474" i="8" s="1"/>
  <c r="E473" i="8"/>
  <c r="D473" i="8"/>
  <c r="C473" i="8"/>
  <c r="B473" i="8"/>
  <c r="A473" i="8"/>
  <c r="E472" i="8"/>
  <c r="D472" i="8"/>
  <c r="C472" i="8"/>
  <c r="A472" i="8"/>
  <c r="B472" i="8" s="1"/>
  <c r="E471" i="8"/>
  <c r="D471" i="8"/>
  <c r="C471" i="8"/>
  <c r="A471" i="8"/>
  <c r="B471" i="8" s="1"/>
  <c r="E470" i="8"/>
  <c r="D470" i="8"/>
  <c r="C470" i="8"/>
  <c r="A470" i="8"/>
  <c r="B470" i="8" s="1"/>
  <c r="E469" i="8"/>
  <c r="D469" i="8"/>
  <c r="C469" i="8"/>
  <c r="B469" i="8"/>
  <c r="A469" i="8"/>
  <c r="E468" i="8"/>
  <c r="D468" i="8"/>
  <c r="C468" i="8"/>
  <c r="A468" i="8"/>
  <c r="B468" i="8" s="1"/>
  <c r="E467" i="8"/>
  <c r="D467" i="8"/>
  <c r="C467" i="8"/>
  <c r="A467" i="8"/>
  <c r="B467" i="8" s="1"/>
  <c r="E466" i="8"/>
  <c r="D466" i="8"/>
  <c r="C466" i="8"/>
  <c r="B466" i="8"/>
  <c r="A466" i="8"/>
  <c r="E465" i="8"/>
  <c r="D465" i="8"/>
  <c r="C465" i="8"/>
  <c r="B465" i="8"/>
  <c r="A465" i="8"/>
  <c r="E464" i="8"/>
  <c r="D464" i="8"/>
  <c r="C464" i="8"/>
  <c r="A464" i="8"/>
  <c r="B464" i="8" s="1"/>
  <c r="E463" i="8"/>
  <c r="D463" i="8"/>
  <c r="C463" i="8"/>
  <c r="A463" i="8"/>
  <c r="B463" i="8" s="1"/>
  <c r="E462" i="8"/>
  <c r="D462" i="8"/>
  <c r="C462" i="8"/>
  <c r="A462" i="8"/>
  <c r="B462" i="8" s="1"/>
  <c r="E461" i="8"/>
  <c r="D461" i="8"/>
  <c r="C461" i="8"/>
  <c r="B461" i="8"/>
  <c r="A461" i="8"/>
  <c r="E460" i="8"/>
  <c r="D460" i="8"/>
  <c r="C460" i="8"/>
  <c r="B460" i="8"/>
  <c r="A460" i="8"/>
  <c r="E459" i="8"/>
  <c r="D459" i="8"/>
  <c r="C459" i="8"/>
  <c r="B459" i="8"/>
  <c r="A459" i="8"/>
  <c r="E458" i="8"/>
  <c r="D458" i="8"/>
  <c r="C458" i="8"/>
  <c r="A458" i="8"/>
  <c r="B458" i="8" s="1"/>
  <c r="E457" i="8"/>
  <c r="D457" i="8"/>
  <c r="C457" i="8"/>
  <c r="A457" i="8"/>
  <c r="B457" i="8" s="1"/>
  <c r="E456" i="8"/>
  <c r="D456" i="8"/>
  <c r="C456" i="8"/>
  <c r="A456" i="8"/>
  <c r="B456" i="8" s="1"/>
  <c r="E455" i="8"/>
  <c r="D455" i="8"/>
  <c r="C455" i="8"/>
  <c r="B455" i="8"/>
  <c r="A455" i="8"/>
  <c r="E454" i="8"/>
  <c r="D454" i="8"/>
  <c r="C454" i="8"/>
  <c r="B454" i="8"/>
  <c r="A454" i="8"/>
  <c r="E453" i="8"/>
  <c r="D453" i="8"/>
  <c r="C453" i="8"/>
  <c r="B453" i="8"/>
  <c r="A453" i="8"/>
  <c r="E452" i="8"/>
  <c r="D452" i="8"/>
  <c r="C452" i="8"/>
  <c r="A452" i="8"/>
  <c r="B452" i="8" s="1"/>
  <c r="E451" i="8"/>
  <c r="D451" i="8"/>
  <c r="C451" i="8"/>
  <c r="A451" i="8"/>
  <c r="B451" i="8" s="1"/>
  <c r="E450" i="8"/>
  <c r="D450" i="8"/>
  <c r="C450" i="8"/>
  <c r="A450" i="8"/>
  <c r="B450" i="8" s="1"/>
  <c r="E449" i="8"/>
  <c r="D449" i="8"/>
  <c r="C449" i="8"/>
  <c r="A449" i="8"/>
  <c r="B449" i="8" s="1"/>
  <c r="E448" i="8"/>
  <c r="D448" i="8"/>
  <c r="C448" i="8"/>
  <c r="A448" i="8"/>
  <c r="B448" i="8" s="1"/>
  <c r="E447" i="8"/>
  <c r="D447" i="8"/>
  <c r="C447" i="8"/>
  <c r="A447" i="8"/>
  <c r="B447" i="8" s="1"/>
  <c r="E446" i="8"/>
  <c r="D446" i="8"/>
  <c r="C446" i="8"/>
  <c r="A446" i="8"/>
  <c r="B446" i="8" s="1"/>
  <c r="E445" i="8"/>
  <c r="D445" i="8"/>
  <c r="C445" i="8"/>
  <c r="B445" i="8"/>
  <c r="A445" i="8"/>
  <c r="E444" i="8"/>
  <c r="D444" i="8"/>
  <c r="C444" i="8"/>
  <c r="A444" i="8"/>
  <c r="B444" i="8" s="1"/>
  <c r="E443" i="8"/>
  <c r="D443" i="8"/>
  <c r="C443" i="8"/>
  <c r="B443" i="8"/>
  <c r="A443" i="8"/>
  <c r="E442" i="8"/>
  <c r="D442" i="8"/>
  <c r="C442" i="8"/>
  <c r="B442" i="8"/>
  <c r="A442" i="8"/>
  <c r="E441" i="8"/>
  <c r="D441" i="8"/>
  <c r="C441" i="8"/>
  <c r="B441" i="8"/>
  <c r="A441" i="8"/>
  <c r="E440" i="8"/>
  <c r="D440" i="8"/>
  <c r="C440" i="8"/>
  <c r="A440" i="8"/>
  <c r="B440" i="8" s="1"/>
  <c r="E439" i="8"/>
  <c r="D439" i="8"/>
  <c r="C439" i="8"/>
  <c r="A439" i="8"/>
  <c r="B439" i="8" s="1"/>
  <c r="E438" i="8"/>
  <c r="D438" i="8"/>
  <c r="C438" i="8"/>
  <c r="B438" i="8"/>
  <c r="A438" i="8"/>
  <c r="E437" i="8"/>
  <c r="D437" i="8"/>
  <c r="C437" i="8"/>
  <c r="B437" i="8"/>
  <c r="A437" i="8"/>
  <c r="E436" i="8"/>
  <c r="D436" i="8"/>
  <c r="C436" i="8"/>
  <c r="B436" i="8"/>
  <c r="A436" i="8"/>
  <c r="E435" i="8"/>
  <c r="D435" i="8"/>
  <c r="C435" i="8"/>
  <c r="A435" i="8"/>
  <c r="B435" i="8" s="1"/>
  <c r="E434" i="8"/>
  <c r="D434" i="8"/>
  <c r="C434" i="8"/>
  <c r="A434" i="8"/>
  <c r="B434" i="8" s="1"/>
  <c r="E433" i="8"/>
  <c r="D433" i="8"/>
  <c r="C433" i="8"/>
  <c r="A433" i="8"/>
  <c r="B433" i="8" s="1"/>
  <c r="E432" i="8"/>
  <c r="D432" i="8"/>
  <c r="C432" i="8"/>
  <c r="A432" i="8"/>
  <c r="B432" i="8" s="1"/>
  <c r="E431" i="8"/>
  <c r="D431" i="8"/>
  <c r="C431" i="8"/>
  <c r="B431" i="8"/>
  <c r="A431" i="8"/>
  <c r="E430" i="8"/>
  <c r="D430" i="8"/>
  <c r="C430" i="8"/>
  <c r="B430" i="8"/>
  <c r="A430" i="8"/>
  <c r="E429" i="8"/>
  <c r="D429" i="8"/>
  <c r="C429" i="8"/>
  <c r="B429" i="8"/>
  <c r="A429" i="8"/>
  <c r="E428" i="8"/>
  <c r="D428" i="8"/>
  <c r="C428" i="8"/>
  <c r="A428" i="8"/>
  <c r="B428" i="8" s="1"/>
  <c r="E427" i="8"/>
  <c r="D427" i="8"/>
  <c r="C427" i="8"/>
  <c r="A427" i="8"/>
  <c r="B427" i="8" s="1"/>
  <c r="E426" i="8"/>
  <c r="D426" i="8"/>
  <c r="C426" i="8"/>
  <c r="A426" i="8"/>
  <c r="B426" i="8" s="1"/>
  <c r="E425" i="8"/>
  <c r="D425" i="8"/>
  <c r="C425" i="8"/>
  <c r="B425" i="8"/>
  <c r="A425" i="8"/>
  <c r="E424" i="8"/>
  <c r="D424" i="8"/>
  <c r="C424" i="8"/>
  <c r="A424" i="8"/>
  <c r="B424" i="8" s="1"/>
  <c r="E423" i="8"/>
  <c r="D423" i="8"/>
  <c r="C423" i="8"/>
  <c r="A423" i="8"/>
  <c r="B423" i="8" s="1"/>
  <c r="E422" i="8"/>
  <c r="D422" i="8"/>
  <c r="C422" i="8"/>
  <c r="B422" i="8"/>
  <c r="A422" i="8"/>
  <c r="E421" i="8"/>
  <c r="D421" i="8"/>
  <c r="C421" i="8"/>
  <c r="B421" i="8"/>
  <c r="A421" i="8"/>
  <c r="E420" i="8"/>
  <c r="D420" i="8"/>
  <c r="C420" i="8"/>
  <c r="B420" i="8"/>
  <c r="A420" i="8"/>
  <c r="E419" i="8"/>
  <c r="D419" i="8"/>
  <c r="C419" i="8"/>
  <c r="A419" i="8"/>
  <c r="B419" i="8" s="1"/>
  <c r="E418" i="8"/>
  <c r="D418" i="8"/>
  <c r="C418" i="8"/>
  <c r="B418" i="8"/>
  <c r="A418" i="8"/>
  <c r="E417" i="8"/>
  <c r="D417" i="8"/>
  <c r="C417" i="8"/>
  <c r="A417" i="8"/>
  <c r="B417" i="8" s="1"/>
  <c r="E416" i="8"/>
  <c r="D416" i="8"/>
  <c r="C416" i="8"/>
  <c r="A416" i="8"/>
  <c r="B416" i="8" s="1"/>
  <c r="E415" i="8"/>
  <c r="D415" i="8"/>
  <c r="C415" i="8"/>
  <c r="B415" i="8"/>
  <c r="A415" i="8"/>
  <c r="E414" i="8"/>
  <c r="D414" i="8"/>
  <c r="C414" i="8"/>
  <c r="B414" i="8"/>
  <c r="A414" i="8"/>
  <c r="E413" i="8"/>
  <c r="D413" i="8"/>
  <c r="C413" i="8"/>
  <c r="B413" i="8"/>
  <c r="A413" i="8"/>
  <c r="E412" i="8"/>
  <c r="D412" i="8"/>
  <c r="C412" i="8"/>
  <c r="A412" i="8"/>
  <c r="B412" i="8" s="1"/>
  <c r="E411" i="8"/>
  <c r="D411" i="8"/>
  <c r="C411" i="8"/>
  <c r="A411" i="8"/>
  <c r="B411" i="8" s="1"/>
  <c r="E410" i="8"/>
  <c r="D410" i="8"/>
  <c r="C410" i="8"/>
  <c r="A410" i="8"/>
  <c r="B410" i="8" s="1"/>
  <c r="E409" i="8"/>
  <c r="D409" i="8"/>
  <c r="C409" i="8"/>
  <c r="A409" i="8"/>
  <c r="B409" i="8" s="1"/>
  <c r="E408" i="8"/>
  <c r="D408" i="8"/>
  <c r="C408" i="8"/>
  <c r="A408" i="8"/>
  <c r="B408" i="8" s="1"/>
  <c r="E407" i="8"/>
  <c r="D407" i="8"/>
  <c r="C407" i="8"/>
  <c r="B407" i="8"/>
  <c r="A407" i="8"/>
  <c r="E406" i="8"/>
  <c r="D406" i="8"/>
  <c r="C406" i="8"/>
  <c r="A406" i="8"/>
  <c r="B406" i="8" s="1"/>
  <c r="E405" i="8"/>
  <c r="D405" i="8"/>
  <c r="C405" i="8"/>
  <c r="B405" i="8"/>
  <c r="A405" i="8"/>
  <c r="E404" i="8"/>
  <c r="D404" i="8"/>
  <c r="C404" i="8"/>
  <c r="B404" i="8"/>
  <c r="A404" i="8"/>
  <c r="E403" i="8"/>
  <c r="D403" i="8"/>
  <c r="C403" i="8"/>
  <c r="A403" i="8"/>
  <c r="B403" i="8" s="1"/>
  <c r="E402" i="8"/>
  <c r="D402" i="8"/>
  <c r="C402" i="8"/>
  <c r="B402" i="8"/>
  <c r="A402" i="8"/>
  <c r="E401" i="8"/>
  <c r="D401" i="8"/>
  <c r="C401" i="8"/>
  <c r="B401" i="8"/>
  <c r="A401" i="8"/>
  <c r="E400" i="8"/>
  <c r="D400" i="8"/>
  <c r="C400" i="8"/>
  <c r="A400" i="8"/>
  <c r="B400" i="8" s="1"/>
  <c r="E399" i="8"/>
  <c r="D399" i="8"/>
  <c r="C399" i="8"/>
  <c r="B399" i="8"/>
  <c r="A399" i="8"/>
  <c r="E398" i="8"/>
  <c r="D398" i="8"/>
  <c r="C398" i="8"/>
  <c r="A398" i="8"/>
  <c r="B398" i="8" s="1"/>
  <c r="E397" i="8"/>
  <c r="D397" i="8"/>
  <c r="C397" i="8"/>
  <c r="B397" i="8"/>
  <c r="A397" i="8"/>
  <c r="E396" i="8"/>
  <c r="D396" i="8"/>
  <c r="C396" i="8"/>
  <c r="A396" i="8"/>
  <c r="B396" i="8" s="1"/>
  <c r="E395" i="8"/>
  <c r="D395" i="8"/>
  <c r="C395" i="8"/>
  <c r="B395" i="8"/>
  <c r="A395" i="8"/>
  <c r="E394" i="8"/>
  <c r="D394" i="8"/>
  <c r="C394" i="8"/>
  <c r="B394" i="8"/>
  <c r="A394" i="8"/>
  <c r="E393" i="8"/>
  <c r="D393" i="8"/>
  <c r="C393" i="8"/>
  <c r="A393" i="8"/>
  <c r="B393" i="8" s="1"/>
  <c r="E392" i="8"/>
  <c r="D392" i="8"/>
  <c r="C392" i="8"/>
  <c r="A392" i="8"/>
  <c r="B392" i="8" s="1"/>
  <c r="E391" i="8"/>
  <c r="D391" i="8"/>
  <c r="C391" i="8"/>
  <c r="A391" i="8"/>
  <c r="B391" i="8" s="1"/>
  <c r="E390" i="8"/>
  <c r="D390" i="8"/>
  <c r="C390" i="8"/>
  <c r="B390" i="8"/>
  <c r="A390" i="8"/>
  <c r="E389" i="8"/>
  <c r="D389" i="8"/>
  <c r="C389" i="8"/>
  <c r="B389" i="8"/>
  <c r="A389" i="8"/>
  <c r="E388" i="8"/>
  <c r="D388" i="8"/>
  <c r="C388" i="8"/>
  <c r="A388" i="8"/>
  <c r="B388" i="8" s="1"/>
  <c r="E387" i="8"/>
  <c r="D387" i="8"/>
  <c r="C387" i="8"/>
  <c r="A387" i="8"/>
  <c r="B387" i="8" s="1"/>
  <c r="E386" i="8"/>
  <c r="D386" i="8"/>
  <c r="C386" i="8"/>
  <c r="B386" i="8"/>
  <c r="A386" i="8"/>
  <c r="E385" i="8"/>
  <c r="D385" i="8"/>
  <c r="C385" i="8"/>
  <c r="A385" i="8"/>
  <c r="B385" i="8" s="1"/>
  <c r="E384" i="8"/>
  <c r="D384" i="8"/>
  <c r="C384" i="8"/>
  <c r="A384" i="8"/>
  <c r="B384" i="8" s="1"/>
  <c r="E383" i="8"/>
  <c r="D383" i="8"/>
  <c r="C383" i="8"/>
  <c r="A383" i="8"/>
  <c r="B383" i="8" s="1"/>
  <c r="E382" i="8"/>
  <c r="D382" i="8"/>
  <c r="C382" i="8"/>
  <c r="A382" i="8"/>
  <c r="B382" i="8" s="1"/>
  <c r="E381" i="8"/>
  <c r="D381" i="8"/>
  <c r="C381" i="8"/>
  <c r="B381" i="8"/>
  <c r="A381" i="8"/>
  <c r="E380" i="8"/>
  <c r="D380" i="8"/>
  <c r="C380" i="8"/>
  <c r="A380" i="8"/>
  <c r="B380" i="8" s="1"/>
  <c r="E379" i="8"/>
  <c r="D379" i="8"/>
  <c r="C379" i="8"/>
  <c r="B379" i="8"/>
  <c r="A379" i="8"/>
  <c r="E378" i="8"/>
  <c r="D378" i="8"/>
  <c r="C378" i="8"/>
  <c r="A378" i="8"/>
  <c r="B378" i="8" s="1"/>
  <c r="E377" i="8"/>
  <c r="D377" i="8"/>
  <c r="C377" i="8"/>
  <c r="B377" i="8"/>
  <c r="A377" i="8"/>
  <c r="E376" i="8"/>
  <c r="D376" i="8"/>
  <c r="C376" i="8"/>
  <c r="A376" i="8"/>
  <c r="B376" i="8" s="1"/>
  <c r="E375" i="8"/>
  <c r="D375" i="8"/>
  <c r="C375" i="8"/>
  <c r="A375" i="8"/>
  <c r="B375" i="8" s="1"/>
  <c r="E374" i="8"/>
  <c r="D374" i="8"/>
  <c r="C374" i="8"/>
  <c r="B374" i="8"/>
  <c r="A374" i="8"/>
  <c r="E373" i="8"/>
  <c r="D373" i="8"/>
  <c r="C373" i="8"/>
  <c r="B373" i="8"/>
  <c r="A373" i="8"/>
  <c r="E372" i="8"/>
  <c r="D372" i="8"/>
  <c r="C372" i="8"/>
  <c r="B372" i="8"/>
  <c r="A372" i="8"/>
  <c r="E371" i="8"/>
  <c r="D371" i="8"/>
  <c r="C371" i="8"/>
  <c r="B371" i="8"/>
  <c r="A371" i="8"/>
  <c r="E370" i="8"/>
  <c r="D370" i="8"/>
  <c r="C370" i="8"/>
  <c r="A370" i="8"/>
  <c r="B370" i="8" s="1"/>
  <c r="E369" i="8"/>
  <c r="D369" i="8"/>
  <c r="C369" i="8"/>
  <c r="A369" i="8"/>
  <c r="B369" i="8" s="1"/>
  <c r="E368" i="8"/>
  <c r="D368" i="8"/>
  <c r="C368" i="8"/>
  <c r="A368" i="8"/>
  <c r="B368" i="8" s="1"/>
  <c r="E367" i="8"/>
  <c r="D367" i="8"/>
  <c r="C367" i="8"/>
  <c r="B367" i="8"/>
  <c r="A367" i="8"/>
  <c r="E366" i="8"/>
  <c r="D366" i="8"/>
  <c r="C366" i="8"/>
  <c r="B366" i="8"/>
  <c r="A366" i="8"/>
  <c r="E365" i="8"/>
  <c r="D365" i="8"/>
  <c r="C365" i="8"/>
  <c r="B365" i="8"/>
  <c r="A365" i="8"/>
  <c r="E364" i="8"/>
  <c r="D364" i="8"/>
  <c r="C364" i="8"/>
  <c r="A364" i="8"/>
  <c r="B364" i="8" s="1"/>
  <c r="E363" i="8"/>
  <c r="D363" i="8"/>
  <c r="C363" i="8"/>
  <c r="B363" i="8"/>
  <c r="A363" i="8"/>
  <c r="E362" i="8"/>
  <c r="D362" i="8"/>
  <c r="C362" i="8"/>
  <c r="A362" i="8"/>
  <c r="B362" i="8" s="1"/>
  <c r="E361" i="8"/>
  <c r="D361" i="8"/>
  <c r="C361" i="8"/>
  <c r="B361" i="8"/>
  <c r="A361" i="8"/>
  <c r="E360" i="8"/>
  <c r="D360" i="8"/>
  <c r="C360" i="8"/>
  <c r="A360" i="8"/>
  <c r="B360" i="8" s="1"/>
  <c r="E359" i="8"/>
  <c r="D359" i="8"/>
  <c r="C359" i="8"/>
  <c r="A359" i="8"/>
  <c r="B359" i="8" s="1"/>
  <c r="E358" i="8"/>
  <c r="D358" i="8"/>
  <c r="C358" i="8"/>
  <c r="A358" i="8"/>
  <c r="B358" i="8" s="1"/>
  <c r="E357" i="8"/>
  <c r="D357" i="8"/>
  <c r="C357" i="8"/>
  <c r="B357" i="8"/>
  <c r="A357" i="8"/>
  <c r="E356" i="8"/>
  <c r="D356" i="8"/>
  <c r="C356" i="8"/>
  <c r="B356" i="8"/>
  <c r="A356" i="8"/>
  <c r="E355" i="8"/>
  <c r="D355" i="8"/>
  <c r="C355" i="8"/>
  <c r="B355" i="8"/>
  <c r="A355" i="8"/>
  <c r="E354" i="8"/>
  <c r="D354" i="8"/>
  <c r="C354" i="8"/>
  <c r="B354" i="8"/>
  <c r="A354" i="8"/>
  <c r="E353" i="8"/>
  <c r="D353" i="8"/>
  <c r="C353" i="8"/>
  <c r="A353" i="8"/>
  <c r="B353" i="8" s="1"/>
  <c r="E352" i="8"/>
  <c r="D352" i="8"/>
  <c r="C352" i="8"/>
  <c r="A352" i="8"/>
  <c r="B352" i="8" s="1"/>
  <c r="E351" i="8"/>
  <c r="D351" i="8"/>
  <c r="C351" i="8"/>
  <c r="B351" i="8"/>
  <c r="A351" i="8"/>
  <c r="E350" i="8"/>
  <c r="D350" i="8"/>
  <c r="C350" i="8"/>
  <c r="B350" i="8"/>
  <c r="A350" i="8"/>
  <c r="E349" i="8"/>
  <c r="D349" i="8"/>
  <c r="C349" i="8"/>
  <c r="B349" i="8"/>
  <c r="A349" i="8"/>
  <c r="E348" i="8"/>
  <c r="D348" i="8"/>
  <c r="C348" i="8"/>
  <c r="A348" i="8"/>
  <c r="B348" i="8" s="1"/>
  <c r="E347" i="8"/>
  <c r="D347" i="8"/>
  <c r="C347" i="8"/>
  <c r="A347" i="8"/>
  <c r="B347" i="8" s="1"/>
  <c r="E346" i="8"/>
  <c r="D346" i="8"/>
  <c r="C346" i="8"/>
  <c r="A346" i="8"/>
  <c r="B346" i="8" s="1"/>
  <c r="E345" i="8"/>
  <c r="D345" i="8"/>
  <c r="C345" i="8"/>
  <c r="A345" i="8"/>
  <c r="B345" i="8" s="1"/>
  <c r="E344" i="8"/>
  <c r="D344" i="8"/>
  <c r="C344" i="8"/>
  <c r="A344" i="8"/>
  <c r="B344" i="8" s="1"/>
  <c r="E343" i="8"/>
  <c r="D343" i="8"/>
  <c r="C343" i="8"/>
  <c r="B343" i="8"/>
  <c r="A343" i="8"/>
  <c r="E342" i="8"/>
  <c r="D342" i="8"/>
  <c r="C342" i="8"/>
  <c r="A342" i="8"/>
  <c r="B342" i="8" s="1"/>
  <c r="E341" i="8"/>
  <c r="D341" i="8"/>
  <c r="C341" i="8"/>
  <c r="B341" i="8"/>
  <c r="A341" i="8"/>
  <c r="E340" i="8"/>
  <c r="D340" i="8"/>
  <c r="C340" i="8"/>
  <c r="B340" i="8"/>
  <c r="A340" i="8"/>
  <c r="E339" i="8"/>
  <c r="D339" i="8"/>
  <c r="C339" i="8"/>
  <c r="A339" i="8"/>
  <c r="B339" i="8" s="1"/>
  <c r="E338" i="8"/>
  <c r="D338" i="8"/>
  <c r="C338" i="8"/>
  <c r="B338" i="8"/>
  <c r="A338" i="8"/>
  <c r="E337" i="8"/>
  <c r="D337" i="8"/>
  <c r="C337" i="8"/>
  <c r="A337" i="8"/>
  <c r="B337" i="8" s="1"/>
  <c r="E336" i="8"/>
  <c r="D336" i="8"/>
  <c r="C336" i="8"/>
  <c r="A336" i="8"/>
  <c r="B336" i="8" s="1"/>
  <c r="E335" i="8"/>
  <c r="D335" i="8"/>
  <c r="C335" i="8"/>
  <c r="B335" i="8"/>
  <c r="A335" i="8"/>
  <c r="E334" i="8"/>
  <c r="D334" i="8"/>
  <c r="C334" i="8"/>
  <c r="A334" i="8"/>
  <c r="B334" i="8" s="1"/>
  <c r="E333" i="8"/>
  <c r="D333" i="8"/>
  <c r="C333" i="8"/>
  <c r="B333" i="8"/>
  <c r="A333" i="8"/>
  <c r="E332" i="8"/>
  <c r="D332" i="8"/>
  <c r="C332" i="8"/>
  <c r="B332" i="8"/>
  <c r="A332" i="8"/>
  <c r="E331" i="8"/>
  <c r="D331" i="8"/>
  <c r="C331" i="8"/>
  <c r="B331" i="8"/>
  <c r="A331" i="8"/>
  <c r="E330" i="8"/>
  <c r="D330" i="8"/>
  <c r="C330" i="8"/>
  <c r="B330" i="8"/>
  <c r="A330" i="8"/>
  <c r="E329" i="8"/>
  <c r="D329" i="8"/>
  <c r="C329" i="8"/>
  <c r="A329" i="8"/>
  <c r="B329" i="8" s="1"/>
  <c r="E328" i="8"/>
  <c r="D328" i="8"/>
  <c r="C328" i="8"/>
  <c r="A328" i="8"/>
  <c r="B328" i="8" s="1"/>
  <c r="E327" i="8"/>
  <c r="D327" i="8"/>
  <c r="C327" i="8"/>
  <c r="B327" i="8"/>
  <c r="A327" i="8"/>
  <c r="E326" i="8"/>
  <c r="D326" i="8"/>
  <c r="C326" i="8"/>
  <c r="B326" i="8"/>
  <c r="A326" i="8"/>
  <c r="E325" i="8"/>
  <c r="D325" i="8"/>
  <c r="C325" i="8"/>
  <c r="B325" i="8"/>
  <c r="A325" i="8"/>
  <c r="E324" i="8"/>
  <c r="D324" i="8"/>
  <c r="C324" i="8"/>
  <c r="A324" i="8"/>
  <c r="B324" i="8" s="1"/>
  <c r="E323" i="8"/>
  <c r="D323" i="8"/>
  <c r="C323" i="8"/>
  <c r="A323" i="8"/>
  <c r="B323" i="8" s="1"/>
  <c r="E322" i="8"/>
  <c r="D322" i="8"/>
  <c r="C322" i="8"/>
  <c r="A322" i="8"/>
  <c r="B322" i="8" s="1"/>
  <c r="E321" i="8"/>
  <c r="D321" i="8"/>
  <c r="C321" i="8"/>
  <c r="A321" i="8"/>
  <c r="B321" i="8" s="1"/>
  <c r="E320" i="8"/>
  <c r="D320" i="8"/>
  <c r="C320" i="8"/>
  <c r="A320" i="8"/>
  <c r="B320" i="8" s="1"/>
  <c r="E319" i="8"/>
  <c r="D319" i="8"/>
  <c r="C319" i="8"/>
  <c r="A319" i="8"/>
  <c r="B319" i="8" s="1"/>
  <c r="E318" i="8"/>
  <c r="D318" i="8"/>
  <c r="C318" i="8"/>
  <c r="A318" i="8"/>
  <c r="B318" i="8" s="1"/>
  <c r="E317" i="8"/>
  <c r="D317" i="8"/>
  <c r="C317" i="8"/>
  <c r="B317" i="8"/>
  <c r="A317" i="8"/>
  <c r="E316" i="8"/>
  <c r="D316" i="8"/>
  <c r="C316" i="8"/>
  <c r="A316" i="8"/>
  <c r="B316" i="8" s="1"/>
  <c r="E315" i="8"/>
  <c r="D315" i="8"/>
  <c r="C315" i="8"/>
  <c r="B315" i="8"/>
  <c r="A315" i="8"/>
  <c r="E314" i="8"/>
  <c r="D314" i="8"/>
  <c r="C314" i="8"/>
  <c r="A314" i="8"/>
  <c r="B314" i="8" s="1"/>
  <c r="E313" i="8"/>
  <c r="D313" i="8"/>
  <c r="C313" i="8"/>
  <c r="B313" i="8"/>
  <c r="A313" i="8"/>
  <c r="E312" i="8"/>
  <c r="D312" i="8"/>
  <c r="C312" i="8"/>
  <c r="A312" i="8"/>
  <c r="B312" i="8" s="1"/>
  <c r="E311" i="8"/>
  <c r="D311" i="8"/>
  <c r="C311" i="8"/>
  <c r="A311" i="8"/>
  <c r="B311" i="8" s="1"/>
  <c r="E310" i="8"/>
  <c r="D310" i="8"/>
  <c r="C310" i="8"/>
  <c r="B310" i="8"/>
  <c r="A310" i="8"/>
  <c r="E309" i="8"/>
  <c r="D309" i="8"/>
  <c r="C309" i="8"/>
  <c r="B309" i="8"/>
  <c r="A309" i="8"/>
  <c r="E308" i="8"/>
  <c r="D308" i="8"/>
  <c r="C308" i="8"/>
  <c r="B308" i="8"/>
  <c r="A308" i="8"/>
  <c r="E307" i="8"/>
  <c r="D307" i="8"/>
  <c r="C307" i="8"/>
  <c r="A307" i="8"/>
  <c r="B307" i="8" s="1"/>
  <c r="E306" i="8"/>
  <c r="D306" i="8"/>
  <c r="C306" i="8"/>
  <c r="A306" i="8"/>
  <c r="B306" i="8" s="1"/>
  <c r="E305" i="8"/>
  <c r="D305" i="8"/>
  <c r="C305" i="8"/>
  <c r="A305" i="8"/>
  <c r="B305" i="8" s="1"/>
  <c r="E304" i="8"/>
  <c r="D304" i="8"/>
  <c r="C304" i="8"/>
  <c r="A304" i="8"/>
  <c r="B304" i="8" s="1"/>
  <c r="E303" i="8"/>
  <c r="D303" i="8"/>
  <c r="C303" i="8"/>
  <c r="B303" i="8"/>
  <c r="A303" i="8"/>
  <c r="E302" i="8"/>
  <c r="D302" i="8"/>
  <c r="C302" i="8"/>
  <c r="B302" i="8"/>
  <c r="A302" i="8"/>
  <c r="E301" i="8"/>
  <c r="D301" i="8"/>
  <c r="C301" i="8"/>
  <c r="B301" i="8"/>
  <c r="A301" i="8"/>
  <c r="E300" i="8"/>
  <c r="D300" i="8"/>
  <c r="C300" i="8"/>
  <c r="A300" i="8"/>
  <c r="B300" i="8" s="1"/>
  <c r="E299" i="8"/>
  <c r="D299" i="8"/>
  <c r="C299" i="8"/>
  <c r="A299" i="8"/>
  <c r="B299" i="8" s="1"/>
  <c r="E298" i="8"/>
  <c r="D298" i="8"/>
  <c r="C298" i="8"/>
  <c r="A298" i="8"/>
  <c r="B298" i="8" s="1"/>
  <c r="E297" i="8"/>
  <c r="D297" i="8"/>
  <c r="C297" i="8"/>
  <c r="B297" i="8"/>
  <c r="A297" i="8"/>
  <c r="E296" i="8"/>
  <c r="D296" i="8"/>
  <c r="C296" i="8"/>
  <c r="A296" i="8"/>
  <c r="B296" i="8" s="1"/>
  <c r="E295" i="8"/>
  <c r="D295" i="8"/>
  <c r="C295" i="8"/>
  <c r="A295" i="8"/>
  <c r="B295" i="8" s="1"/>
  <c r="E294" i="8"/>
  <c r="D294" i="8"/>
  <c r="C294" i="8"/>
  <c r="A294" i="8"/>
  <c r="B294" i="8" s="1"/>
  <c r="E293" i="8"/>
  <c r="D293" i="8"/>
  <c r="C293" i="8"/>
  <c r="B293" i="8"/>
  <c r="A293" i="8"/>
  <c r="E292" i="8"/>
  <c r="D292" i="8"/>
  <c r="C292" i="8"/>
  <c r="B292" i="8"/>
  <c r="A292" i="8"/>
  <c r="E291" i="8"/>
  <c r="D291" i="8"/>
  <c r="C291" i="8"/>
  <c r="A291" i="8"/>
  <c r="B291" i="8" s="1"/>
  <c r="E290" i="8"/>
  <c r="D290" i="8"/>
  <c r="C290" i="8"/>
  <c r="B290" i="8"/>
  <c r="A290" i="8"/>
  <c r="E289" i="8"/>
  <c r="D289" i="8"/>
  <c r="C289" i="8"/>
  <c r="B289" i="8"/>
  <c r="A289" i="8"/>
  <c r="E288" i="8"/>
  <c r="D288" i="8"/>
  <c r="C288" i="8"/>
  <c r="A288" i="8"/>
  <c r="B288" i="8" s="1"/>
  <c r="E287" i="8"/>
  <c r="D287" i="8"/>
  <c r="C287" i="8"/>
  <c r="B287" i="8"/>
  <c r="A287" i="8"/>
  <c r="E286" i="8"/>
  <c r="D286" i="8"/>
  <c r="C286" i="8"/>
  <c r="A286" i="8"/>
  <c r="B286" i="8" s="1"/>
  <c r="E285" i="8"/>
  <c r="D285" i="8"/>
  <c r="C285" i="8"/>
  <c r="B285" i="8"/>
  <c r="A285" i="8"/>
  <c r="E284" i="8"/>
  <c r="D284" i="8"/>
  <c r="C284" i="8"/>
  <c r="B284" i="8"/>
  <c r="A284" i="8"/>
  <c r="E283" i="8"/>
  <c r="D283" i="8"/>
  <c r="C283" i="8"/>
  <c r="A283" i="8"/>
  <c r="B283" i="8" s="1"/>
  <c r="E282" i="8"/>
  <c r="D282" i="8"/>
  <c r="C282" i="8"/>
  <c r="A282" i="8"/>
  <c r="B282" i="8" s="1"/>
  <c r="E281" i="8"/>
  <c r="D281" i="8"/>
  <c r="C281" i="8"/>
  <c r="B281" i="8"/>
  <c r="A281" i="8"/>
  <c r="E280" i="8"/>
  <c r="D280" i="8"/>
  <c r="C280" i="8"/>
  <c r="A280" i="8"/>
  <c r="B280" i="8" s="1"/>
  <c r="E279" i="8"/>
  <c r="D279" i="8"/>
  <c r="C279" i="8"/>
  <c r="A279" i="8"/>
  <c r="B279" i="8" s="1"/>
  <c r="E278" i="8"/>
  <c r="D278" i="8"/>
  <c r="C278" i="8"/>
  <c r="A278" i="8"/>
  <c r="B278" i="8" s="1"/>
  <c r="E277" i="8"/>
  <c r="D277" i="8"/>
  <c r="C277" i="8"/>
  <c r="B277" i="8"/>
  <c r="A277" i="8"/>
  <c r="E276" i="8"/>
  <c r="D276" i="8"/>
  <c r="C276" i="8"/>
  <c r="A276" i="8"/>
  <c r="B276" i="8" s="1"/>
  <c r="E275" i="8"/>
  <c r="D275" i="8"/>
  <c r="C275" i="8"/>
  <c r="A275" i="8"/>
  <c r="B275" i="8" s="1"/>
  <c r="E274" i="8"/>
  <c r="D274" i="8"/>
  <c r="C274" i="8"/>
  <c r="B274" i="8"/>
  <c r="A274" i="8"/>
  <c r="E273" i="8"/>
  <c r="D273" i="8"/>
  <c r="C273" i="8"/>
  <c r="A273" i="8"/>
  <c r="B273" i="8" s="1"/>
  <c r="E272" i="8"/>
  <c r="D272" i="8"/>
  <c r="C272" i="8"/>
  <c r="A272" i="8"/>
  <c r="B272" i="8" s="1"/>
  <c r="E271" i="8"/>
  <c r="D271" i="8"/>
  <c r="C271" i="8"/>
  <c r="B271" i="8"/>
  <c r="A271" i="8"/>
  <c r="E270" i="8"/>
  <c r="D270" i="8"/>
  <c r="C270" i="8"/>
  <c r="A270" i="8"/>
  <c r="B270" i="8" s="1"/>
  <c r="E269" i="8"/>
  <c r="D269" i="8"/>
  <c r="C269" i="8"/>
  <c r="B269" i="8"/>
  <c r="A269" i="8"/>
  <c r="E268" i="8"/>
  <c r="D268" i="8"/>
  <c r="C268" i="8"/>
  <c r="A268" i="8"/>
  <c r="B268" i="8" s="1"/>
  <c r="E267" i="8"/>
  <c r="D267" i="8"/>
  <c r="C267" i="8"/>
  <c r="B267" i="8"/>
  <c r="A267" i="8"/>
  <c r="E266" i="8"/>
  <c r="D266" i="8"/>
  <c r="C266" i="8"/>
  <c r="B266" i="8"/>
  <c r="A266" i="8"/>
  <c r="E265" i="8"/>
  <c r="D265" i="8"/>
  <c r="C265" i="8"/>
  <c r="A265" i="8"/>
  <c r="B265" i="8" s="1"/>
  <c r="E264" i="8"/>
  <c r="D264" i="8"/>
  <c r="C264" i="8"/>
  <c r="A264" i="8"/>
  <c r="B264" i="8" s="1"/>
  <c r="E263" i="8"/>
  <c r="D263" i="8"/>
  <c r="C263" i="8"/>
  <c r="B263" i="8"/>
  <c r="A263" i="8"/>
  <c r="E262" i="8"/>
  <c r="D262" i="8"/>
  <c r="C262" i="8"/>
  <c r="B262" i="8"/>
  <c r="A262" i="8"/>
  <c r="E261" i="8"/>
  <c r="D261" i="8"/>
  <c r="C261" i="8"/>
  <c r="B261" i="8"/>
  <c r="A261" i="8"/>
  <c r="E260" i="8"/>
  <c r="D260" i="8"/>
  <c r="C260" i="8"/>
  <c r="A260" i="8"/>
  <c r="B260" i="8" s="1"/>
  <c r="E259" i="8"/>
  <c r="D259" i="8"/>
  <c r="C259" i="8"/>
  <c r="A259" i="8"/>
  <c r="B259" i="8" s="1"/>
  <c r="E258" i="8"/>
  <c r="D258" i="8"/>
  <c r="C258" i="8"/>
  <c r="B258" i="8"/>
  <c r="A258" i="8"/>
  <c r="E257" i="8"/>
  <c r="D257" i="8"/>
  <c r="C257" i="8"/>
  <c r="A257" i="8"/>
  <c r="B257" i="8" s="1"/>
  <c r="E256" i="8"/>
  <c r="D256" i="8"/>
  <c r="C256" i="8"/>
  <c r="A256" i="8"/>
  <c r="B256" i="8" s="1"/>
  <c r="E255" i="8"/>
  <c r="D255" i="8"/>
  <c r="C255" i="8"/>
  <c r="A255" i="8"/>
  <c r="B255" i="8" s="1"/>
  <c r="E254" i="8"/>
  <c r="D254" i="8"/>
  <c r="C254" i="8"/>
  <c r="A254" i="8"/>
  <c r="B254" i="8" s="1"/>
  <c r="E253" i="8"/>
  <c r="D253" i="8"/>
  <c r="C253" i="8"/>
  <c r="B253" i="8"/>
  <c r="A253" i="8"/>
  <c r="E252" i="8"/>
  <c r="D252" i="8"/>
  <c r="C252" i="8"/>
  <c r="A252" i="8"/>
  <c r="B252" i="8" s="1"/>
  <c r="E251" i="8"/>
  <c r="D251" i="8"/>
  <c r="C251" i="8"/>
  <c r="B251" i="8"/>
  <c r="A251" i="8"/>
  <c r="E250" i="8"/>
  <c r="D250" i="8"/>
  <c r="C250" i="8"/>
  <c r="B250" i="8"/>
  <c r="A250" i="8"/>
  <c r="E249" i="8"/>
  <c r="D249" i="8"/>
  <c r="C249" i="8"/>
  <c r="B249" i="8"/>
  <c r="A249" i="8"/>
  <c r="E248" i="8"/>
  <c r="D248" i="8"/>
  <c r="C248" i="8"/>
  <c r="A248" i="8"/>
  <c r="B248" i="8" s="1"/>
  <c r="E247" i="8"/>
  <c r="D247" i="8"/>
  <c r="C247" i="8"/>
  <c r="A247" i="8"/>
  <c r="B247" i="8" s="1"/>
  <c r="E246" i="8"/>
  <c r="D246" i="8"/>
  <c r="C246" i="8"/>
  <c r="B246" i="8"/>
  <c r="A246" i="8"/>
  <c r="E245" i="8"/>
  <c r="D245" i="8"/>
  <c r="C245" i="8"/>
  <c r="B245" i="8"/>
  <c r="A245" i="8"/>
  <c r="E244" i="8"/>
  <c r="D244" i="8"/>
  <c r="C244" i="8"/>
  <c r="B244" i="8"/>
  <c r="A244" i="8"/>
  <c r="E243" i="8"/>
  <c r="D243" i="8"/>
  <c r="C243" i="8"/>
  <c r="B243" i="8"/>
  <c r="A243" i="8"/>
  <c r="E242" i="8"/>
  <c r="D242" i="8"/>
  <c r="C242" i="8"/>
  <c r="A242" i="8"/>
  <c r="B242" i="8" s="1"/>
  <c r="E241" i="8"/>
  <c r="D241" i="8"/>
  <c r="C241" i="8"/>
  <c r="A241" i="8"/>
  <c r="B241" i="8" s="1"/>
  <c r="E240" i="8"/>
  <c r="D240" i="8"/>
  <c r="C240" i="8"/>
  <c r="A240" i="8"/>
  <c r="B240" i="8" s="1"/>
  <c r="E239" i="8"/>
  <c r="D239" i="8"/>
  <c r="C239" i="8"/>
  <c r="B239" i="8"/>
  <c r="A239" i="8"/>
  <c r="E238" i="8"/>
  <c r="D238" i="8"/>
  <c r="C238" i="8"/>
  <c r="A238" i="8"/>
  <c r="B238" i="8" s="1"/>
  <c r="E237" i="8"/>
  <c r="D237" i="8"/>
  <c r="C237" i="8"/>
  <c r="B237" i="8"/>
  <c r="A237" i="8"/>
  <c r="E236" i="8"/>
  <c r="D236" i="8"/>
  <c r="C236" i="8"/>
  <c r="A236" i="8"/>
  <c r="B236" i="8" s="1"/>
  <c r="E235" i="8"/>
  <c r="D235" i="8"/>
  <c r="C235" i="8"/>
  <c r="B235" i="8"/>
  <c r="A235" i="8"/>
  <c r="E234" i="8"/>
  <c r="D234" i="8"/>
  <c r="C234" i="8"/>
  <c r="A234" i="8"/>
  <c r="B234" i="8" s="1"/>
  <c r="E233" i="8"/>
  <c r="D233" i="8"/>
  <c r="C233" i="8"/>
  <c r="B233" i="8"/>
  <c r="A233" i="8"/>
  <c r="E232" i="8"/>
  <c r="D232" i="8"/>
  <c r="C232" i="8"/>
  <c r="A232" i="8"/>
  <c r="B232" i="8" s="1"/>
  <c r="E231" i="8"/>
  <c r="D231" i="8"/>
  <c r="C231" i="8"/>
  <c r="A231" i="8"/>
  <c r="B231" i="8" s="1"/>
  <c r="E230" i="8"/>
  <c r="D230" i="8"/>
  <c r="C230" i="8"/>
  <c r="B230" i="8"/>
  <c r="A230" i="8"/>
  <c r="E229" i="8"/>
  <c r="D229" i="8"/>
  <c r="C229" i="8"/>
  <c r="B229" i="8"/>
  <c r="A229" i="8"/>
  <c r="E228" i="8"/>
  <c r="D228" i="8"/>
  <c r="C228" i="8"/>
  <c r="B228" i="8"/>
  <c r="A228" i="8"/>
  <c r="E227" i="8"/>
  <c r="D227" i="8"/>
  <c r="C227" i="8"/>
  <c r="A227" i="8"/>
  <c r="B227" i="8" s="1"/>
  <c r="E226" i="8"/>
  <c r="D226" i="8"/>
  <c r="C226" i="8"/>
  <c r="B226" i="8"/>
  <c r="A226" i="8"/>
  <c r="E225" i="8"/>
  <c r="D225" i="8"/>
  <c r="C225" i="8"/>
  <c r="B225" i="8"/>
  <c r="A225" i="8"/>
  <c r="E224" i="8"/>
  <c r="D224" i="8"/>
  <c r="C224" i="8"/>
  <c r="A224" i="8"/>
  <c r="B224" i="8" s="1"/>
  <c r="E223" i="8"/>
  <c r="D223" i="8"/>
  <c r="C223" i="8"/>
  <c r="B223" i="8"/>
  <c r="A223" i="8"/>
  <c r="E222" i="8"/>
  <c r="D222" i="8"/>
  <c r="C222" i="8"/>
  <c r="A222" i="8"/>
  <c r="B222" i="8" s="1"/>
  <c r="E221" i="8"/>
  <c r="D221" i="8"/>
  <c r="C221" i="8"/>
  <c r="B221" i="8"/>
  <c r="A221" i="8"/>
  <c r="E220" i="8"/>
  <c r="D220" i="8"/>
  <c r="C220" i="8"/>
  <c r="A220" i="8"/>
  <c r="B220" i="8" s="1"/>
  <c r="E219" i="8"/>
  <c r="D219" i="8"/>
  <c r="C219" i="8"/>
  <c r="A219" i="8"/>
  <c r="B219" i="8" s="1"/>
  <c r="E218" i="8"/>
  <c r="D218" i="8"/>
  <c r="C218" i="8"/>
  <c r="A218" i="8"/>
  <c r="B218" i="8" s="1"/>
  <c r="E217" i="8"/>
  <c r="D217" i="8"/>
  <c r="C217" i="8"/>
  <c r="B217" i="8"/>
  <c r="A217" i="8"/>
  <c r="E216" i="8"/>
  <c r="D216" i="8"/>
  <c r="C216" i="8"/>
  <c r="A216" i="8"/>
  <c r="B216" i="8" s="1"/>
  <c r="E215" i="8"/>
  <c r="D215" i="8"/>
  <c r="C215" i="8"/>
  <c r="A215" i="8"/>
  <c r="B215" i="8" s="1"/>
  <c r="E214" i="8"/>
  <c r="D214" i="8"/>
  <c r="C214" i="8"/>
  <c r="A214" i="8"/>
  <c r="B214" i="8" s="1"/>
  <c r="E213" i="8"/>
  <c r="D213" i="8"/>
  <c r="C213" i="8"/>
  <c r="B213" i="8"/>
  <c r="A213" i="8"/>
  <c r="E212" i="8"/>
  <c r="D212" i="8"/>
  <c r="C212" i="8"/>
  <c r="B212" i="8"/>
  <c r="A212" i="8"/>
  <c r="E211" i="8"/>
  <c r="D211" i="8"/>
  <c r="C211" i="8"/>
  <c r="A211" i="8"/>
  <c r="B211" i="8" s="1"/>
  <c r="E210" i="8"/>
  <c r="D210" i="8"/>
  <c r="C210" i="8"/>
  <c r="B210" i="8"/>
  <c r="A210" i="8"/>
  <c r="E209" i="8"/>
  <c r="D209" i="8"/>
  <c r="C209" i="8"/>
  <c r="B209" i="8"/>
  <c r="A209" i="8"/>
  <c r="E208" i="8"/>
  <c r="D208" i="8"/>
  <c r="C208" i="8"/>
  <c r="A208" i="8"/>
  <c r="B208" i="8" s="1"/>
  <c r="E207" i="8"/>
  <c r="D207" i="8"/>
  <c r="C207" i="8"/>
  <c r="A207" i="8"/>
  <c r="B207" i="8" s="1"/>
  <c r="E206" i="8"/>
  <c r="D206" i="8"/>
  <c r="C206" i="8"/>
  <c r="A206" i="8"/>
  <c r="B206" i="8" s="1"/>
  <c r="E205" i="8"/>
  <c r="D205" i="8"/>
  <c r="C205" i="8"/>
  <c r="B205" i="8"/>
  <c r="A205" i="8"/>
  <c r="E204" i="8"/>
  <c r="D204" i="8"/>
  <c r="C204" i="8"/>
  <c r="B204" i="8"/>
  <c r="A204" i="8"/>
  <c r="E203" i="8"/>
  <c r="D203" i="8"/>
  <c r="C203" i="8"/>
  <c r="B203" i="8"/>
  <c r="A203" i="8"/>
  <c r="E202" i="8"/>
  <c r="D202" i="8"/>
  <c r="C202" i="8"/>
  <c r="A202" i="8"/>
  <c r="B202" i="8" s="1"/>
  <c r="E201" i="8"/>
  <c r="D201" i="8"/>
  <c r="C201" i="8"/>
  <c r="A201" i="8"/>
  <c r="B201" i="8" s="1"/>
  <c r="E200" i="8"/>
  <c r="D200" i="8"/>
  <c r="C200" i="8"/>
  <c r="A200" i="8"/>
  <c r="B200" i="8" s="1"/>
  <c r="E199" i="8"/>
  <c r="D199" i="8"/>
  <c r="C199" i="8"/>
  <c r="A199" i="8"/>
  <c r="B199" i="8" s="1"/>
  <c r="E198" i="8"/>
  <c r="D198" i="8"/>
  <c r="C198" i="8"/>
  <c r="B198" i="8"/>
  <c r="A198" i="8"/>
  <c r="E197" i="8"/>
  <c r="D197" i="8"/>
  <c r="C197" i="8"/>
  <c r="B197" i="8"/>
  <c r="A197" i="8"/>
  <c r="E196" i="8"/>
  <c r="D196" i="8"/>
  <c r="C196" i="8"/>
  <c r="A196" i="8"/>
  <c r="B196" i="8" s="1"/>
  <c r="E195" i="8"/>
  <c r="D195" i="8"/>
  <c r="C195" i="8"/>
  <c r="A195" i="8"/>
  <c r="B195" i="8" s="1"/>
  <c r="E194" i="8"/>
  <c r="D194" i="8"/>
  <c r="C194" i="8"/>
  <c r="B194" i="8"/>
  <c r="A194" i="8"/>
  <c r="E193" i="8"/>
  <c r="D193" i="8"/>
  <c r="C193" i="8"/>
  <c r="A193" i="8"/>
  <c r="B193" i="8" s="1"/>
  <c r="E192" i="8"/>
  <c r="D192" i="8"/>
  <c r="C192" i="8"/>
  <c r="A192" i="8"/>
  <c r="B192" i="8" s="1"/>
  <c r="E191" i="8"/>
  <c r="D191" i="8"/>
  <c r="C191" i="8"/>
  <c r="A191" i="8"/>
  <c r="B191" i="8" s="1"/>
  <c r="E190" i="8"/>
  <c r="D190" i="8"/>
  <c r="C190" i="8"/>
  <c r="A190" i="8"/>
  <c r="B190" i="8" s="1"/>
  <c r="E189" i="8"/>
  <c r="D189" i="8"/>
  <c r="C189" i="8"/>
  <c r="B189" i="8"/>
  <c r="A189" i="8"/>
  <c r="E188" i="8"/>
  <c r="D188" i="8"/>
  <c r="C188" i="8"/>
  <c r="A188" i="8"/>
  <c r="B188" i="8" s="1"/>
  <c r="E187" i="8"/>
  <c r="D187" i="8"/>
  <c r="C187" i="8"/>
  <c r="B187" i="8"/>
  <c r="A187" i="8"/>
  <c r="E186" i="8"/>
  <c r="D186" i="8"/>
  <c r="C186" i="8"/>
  <c r="B186" i="8"/>
  <c r="A186" i="8"/>
  <c r="E185" i="8"/>
  <c r="D185" i="8"/>
  <c r="C185" i="8"/>
  <c r="B185" i="8"/>
  <c r="A185" i="8"/>
  <c r="E184" i="8"/>
  <c r="D184" i="8"/>
  <c r="C184" i="8"/>
  <c r="A184" i="8"/>
  <c r="B184" i="8" s="1"/>
  <c r="E183" i="8"/>
  <c r="D183" i="8"/>
  <c r="C183" i="8"/>
  <c r="A183" i="8"/>
  <c r="B183" i="8" s="1"/>
  <c r="E182" i="8"/>
  <c r="D182" i="8"/>
  <c r="C182" i="8"/>
  <c r="B182" i="8"/>
  <c r="A182" i="8"/>
  <c r="E181" i="8"/>
  <c r="D181" i="8"/>
  <c r="C181" i="8"/>
  <c r="B181" i="8"/>
  <c r="A181" i="8"/>
  <c r="E180" i="8"/>
  <c r="D180" i="8"/>
  <c r="C180" i="8"/>
  <c r="B180" i="8"/>
  <c r="A180" i="8"/>
  <c r="E179" i="8"/>
  <c r="D179" i="8"/>
  <c r="C179" i="8"/>
  <c r="A179" i="8"/>
  <c r="B179" i="8" s="1"/>
  <c r="E178" i="8"/>
  <c r="D178" i="8"/>
  <c r="C178" i="8"/>
  <c r="A178" i="8"/>
  <c r="B178" i="8" s="1"/>
  <c r="E177" i="8"/>
  <c r="D177" i="8"/>
  <c r="C177" i="8"/>
  <c r="A177" i="8"/>
  <c r="B177" i="8" s="1"/>
  <c r="E176" i="8"/>
  <c r="D176" i="8"/>
  <c r="C176" i="8"/>
  <c r="A176" i="8"/>
  <c r="B176" i="8" s="1"/>
  <c r="E175" i="8"/>
  <c r="D175" i="8"/>
  <c r="C175" i="8"/>
  <c r="B175" i="8"/>
  <c r="A175" i="8"/>
  <c r="E174" i="8"/>
  <c r="D174" i="8"/>
  <c r="C174" i="8"/>
  <c r="A174" i="8"/>
  <c r="B174" i="8" s="1"/>
  <c r="E173" i="8"/>
  <c r="D173" i="8"/>
  <c r="C173" i="8"/>
  <c r="B173" i="8"/>
  <c r="A173" i="8"/>
  <c r="E172" i="8"/>
  <c r="D172" i="8"/>
  <c r="C172" i="8"/>
  <c r="A172" i="8"/>
  <c r="B172" i="8" s="1"/>
  <c r="E171" i="8"/>
  <c r="D171" i="8"/>
  <c r="C171" i="8"/>
  <c r="B171" i="8"/>
  <c r="A171" i="8"/>
  <c r="E170" i="8"/>
  <c r="D170" i="8"/>
  <c r="C170" i="8"/>
  <c r="A170" i="8"/>
  <c r="B170" i="8" s="1"/>
  <c r="E169" i="8"/>
  <c r="D169" i="8"/>
  <c r="C169" i="8"/>
  <c r="B169" i="8"/>
  <c r="A169" i="8"/>
  <c r="E168" i="8"/>
  <c r="D168" i="8"/>
  <c r="C168" i="8"/>
  <c r="A168" i="8"/>
  <c r="B168" i="8" s="1"/>
  <c r="E167" i="8"/>
  <c r="D167" i="8"/>
  <c r="C167" i="8"/>
  <c r="A167" i="8"/>
  <c r="B167" i="8" s="1"/>
  <c r="E166" i="8"/>
  <c r="D166" i="8"/>
  <c r="C166" i="8"/>
  <c r="B166" i="8"/>
  <c r="A166" i="8"/>
  <c r="E165" i="8"/>
  <c r="D165" i="8"/>
  <c r="C165" i="8"/>
  <c r="B165" i="8"/>
  <c r="A165" i="8"/>
  <c r="E164" i="8"/>
  <c r="D164" i="8"/>
  <c r="C164" i="8"/>
  <c r="B164" i="8"/>
  <c r="A164" i="8"/>
  <c r="E163" i="8"/>
  <c r="D163" i="8"/>
  <c r="C163" i="8"/>
  <c r="A163" i="8"/>
  <c r="B163" i="8" s="1"/>
  <c r="E162" i="8"/>
  <c r="D162" i="8"/>
  <c r="C162" i="8"/>
  <c r="B162" i="8"/>
  <c r="A162" i="8"/>
  <c r="E161" i="8"/>
  <c r="D161" i="8"/>
  <c r="C161" i="8"/>
  <c r="A161" i="8"/>
  <c r="B161" i="8" s="1"/>
  <c r="E160" i="8"/>
  <c r="D160" i="8"/>
  <c r="C160" i="8"/>
  <c r="A160" i="8"/>
  <c r="B160" i="8" s="1"/>
  <c r="E159" i="8"/>
  <c r="D159" i="8"/>
  <c r="C159" i="8"/>
  <c r="B159" i="8"/>
  <c r="A159" i="8"/>
  <c r="E158" i="8"/>
  <c r="D158" i="8"/>
  <c r="C158" i="8"/>
  <c r="B158" i="8"/>
  <c r="A158" i="8"/>
  <c r="E157" i="8"/>
  <c r="D157" i="8"/>
  <c r="C157" i="8"/>
  <c r="B157" i="8"/>
  <c r="A157" i="8"/>
  <c r="E156" i="8"/>
  <c r="D156" i="8"/>
  <c r="C156" i="8"/>
  <c r="A156" i="8"/>
  <c r="B156" i="8" s="1"/>
  <c r="E155" i="8"/>
  <c r="D155" i="8"/>
  <c r="C155" i="8"/>
  <c r="A155" i="8"/>
  <c r="B155" i="8" s="1"/>
  <c r="E154" i="8"/>
  <c r="D154" i="8"/>
  <c r="C154" i="8"/>
  <c r="A154" i="8"/>
  <c r="B154" i="8" s="1"/>
  <c r="E153" i="8"/>
  <c r="D153" i="8"/>
  <c r="C153" i="8"/>
  <c r="A153" i="8"/>
  <c r="B153" i="8" s="1"/>
  <c r="E152" i="8"/>
  <c r="D152" i="8"/>
  <c r="C152" i="8"/>
  <c r="A152" i="8"/>
  <c r="B152" i="8" s="1"/>
  <c r="E151" i="8"/>
  <c r="D151" i="8"/>
  <c r="C151" i="8"/>
  <c r="A151" i="8"/>
  <c r="B151" i="8" s="1"/>
  <c r="E150" i="8"/>
  <c r="D150" i="8"/>
  <c r="C150" i="8"/>
  <c r="A150" i="8"/>
  <c r="B150" i="8" s="1"/>
  <c r="E149" i="8"/>
  <c r="D149" i="8"/>
  <c r="C149" i="8"/>
  <c r="B149" i="8"/>
  <c r="A149" i="8"/>
  <c r="E148" i="8"/>
  <c r="D148" i="8"/>
  <c r="C148" i="8"/>
  <c r="B148" i="8"/>
  <c r="A148" i="8"/>
  <c r="E147" i="8"/>
  <c r="D147" i="8"/>
  <c r="C147" i="8"/>
  <c r="A147" i="8"/>
  <c r="B147" i="8" s="1"/>
  <c r="E146" i="8"/>
  <c r="D146" i="8"/>
  <c r="C146" i="8"/>
  <c r="B146" i="8"/>
  <c r="A146" i="8"/>
  <c r="E145" i="8"/>
  <c r="D145" i="8"/>
  <c r="C145" i="8"/>
  <c r="B145" i="8"/>
  <c r="A145" i="8"/>
  <c r="E144" i="8"/>
  <c r="D144" i="8"/>
  <c r="C144" i="8"/>
  <c r="A144" i="8"/>
  <c r="B144" i="8" s="1"/>
  <c r="E143" i="8"/>
  <c r="D143" i="8"/>
  <c r="C143" i="8"/>
  <c r="A143" i="8"/>
  <c r="B143" i="8" s="1"/>
  <c r="E142" i="8"/>
  <c r="D142" i="8"/>
  <c r="C142" i="8"/>
  <c r="A142" i="8"/>
  <c r="B142" i="8" s="1"/>
  <c r="E141" i="8"/>
  <c r="D141" i="8"/>
  <c r="C141" i="8"/>
  <c r="B141" i="8"/>
  <c r="A141" i="8"/>
  <c r="E140" i="8"/>
  <c r="D140" i="8"/>
  <c r="C140" i="8"/>
  <c r="A140" i="8"/>
  <c r="B140" i="8" s="1"/>
  <c r="E139" i="8"/>
  <c r="D139" i="8"/>
  <c r="C139" i="8"/>
  <c r="B139" i="8"/>
  <c r="A139" i="8"/>
  <c r="E138" i="8"/>
  <c r="D138" i="8"/>
  <c r="C138" i="8"/>
  <c r="A138" i="8"/>
  <c r="B138" i="8" s="1"/>
  <c r="E137" i="8"/>
  <c r="D137" i="8"/>
  <c r="C137" i="8"/>
  <c r="A137" i="8"/>
  <c r="B137" i="8" s="1"/>
  <c r="E136" i="8"/>
  <c r="D136" i="8"/>
  <c r="C136" i="8"/>
  <c r="A136" i="8"/>
  <c r="B136" i="8" s="1"/>
  <c r="E135" i="8"/>
  <c r="D135" i="8"/>
  <c r="C135" i="8"/>
  <c r="A135" i="8"/>
  <c r="B135" i="8" s="1"/>
  <c r="E134" i="8"/>
  <c r="D134" i="8"/>
  <c r="C134" i="8"/>
  <c r="B134" i="8"/>
  <c r="A134" i="8"/>
  <c r="E133" i="8"/>
  <c r="D133" i="8"/>
  <c r="C133" i="8"/>
  <c r="B133" i="8"/>
  <c r="A133" i="8"/>
  <c r="E132" i="8"/>
  <c r="D132" i="8"/>
  <c r="C132" i="8"/>
  <c r="A132" i="8"/>
  <c r="B132" i="8" s="1"/>
  <c r="E131" i="8"/>
  <c r="D131" i="8"/>
  <c r="C131" i="8"/>
  <c r="A131" i="8"/>
  <c r="B131" i="8" s="1"/>
  <c r="E130" i="8"/>
  <c r="D130" i="8"/>
  <c r="C130" i="8"/>
  <c r="B130" i="8"/>
  <c r="A130" i="8"/>
  <c r="E129" i="8"/>
  <c r="D129" i="8"/>
  <c r="C129" i="8"/>
  <c r="A129" i="8"/>
  <c r="B129" i="8" s="1"/>
  <c r="E128" i="8"/>
  <c r="D128" i="8"/>
  <c r="C128" i="8"/>
  <c r="A128" i="8"/>
  <c r="B128" i="8" s="1"/>
  <c r="E127" i="8"/>
  <c r="D127" i="8"/>
  <c r="C127" i="8"/>
  <c r="A127" i="8"/>
  <c r="B127" i="8" s="1"/>
  <c r="E126" i="8"/>
  <c r="D126" i="8"/>
  <c r="C126" i="8"/>
  <c r="A126" i="8"/>
  <c r="B126" i="8" s="1"/>
  <c r="E125" i="8"/>
  <c r="D125" i="8"/>
  <c r="C125" i="8"/>
  <c r="B125" i="8"/>
  <c r="A125" i="8"/>
  <c r="E124" i="8"/>
  <c r="D124" i="8"/>
  <c r="C124" i="8"/>
  <c r="A124" i="8"/>
  <c r="B124" i="8" s="1"/>
  <c r="E123" i="8"/>
  <c r="D123" i="8"/>
  <c r="C123" i="8"/>
  <c r="B123" i="8"/>
  <c r="A123" i="8"/>
  <c r="E122" i="8"/>
  <c r="D122" i="8"/>
  <c r="C122" i="8"/>
  <c r="A122" i="8"/>
  <c r="B122" i="8" s="1"/>
  <c r="E121" i="8"/>
  <c r="D121" i="8"/>
  <c r="C121" i="8"/>
  <c r="B121" i="8"/>
  <c r="A121" i="8"/>
  <c r="E120" i="8"/>
  <c r="D120" i="8"/>
  <c r="C120" i="8"/>
  <c r="A120" i="8"/>
  <c r="B120" i="8" s="1"/>
  <c r="E119" i="8"/>
  <c r="D119" i="8"/>
  <c r="C119" i="8"/>
  <c r="A119" i="8"/>
  <c r="B119" i="8" s="1"/>
  <c r="E118" i="8"/>
  <c r="D118" i="8"/>
  <c r="C118" i="8"/>
  <c r="B118" i="8"/>
  <c r="A118" i="8"/>
  <c r="E117" i="8"/>
  <c r="D117" i="8"/>
  <c r="C117" i="8"/>
  <c r="B117" i="8"/>
  <c r="A117" i="8"/>
  <c r="E116" i="8"/>
  <c r="D116" i="8"/>
  <c r="C116" i="8"/>
  <c r="B116" i="8"/>
  <c r="A116" i="8"/>
  <c r="E115" i="8"/>
  <c r="D115" i="8"/>
  <c r="C115" i="8"/>
  <c r="B115" i="8"/>
  <c r="A115" i="8"/>
  <c r="E114" i="8"/>
  <c r="D114" i="8"/>
  <c r="C114" i="8"/>
  <c r="A114" i="8"/>
  <c r="B114" i="8" s="1"/>
  <c r="E113" i="8"/>
  <c r="D113" i="8"/>
  <c r="C113" i="8"/>
  <c r="A113" i="8"/>
  <c r="B113" i="8" s="1"/>
  <c r="E112" i="8"/>
  <c r="D112" i="8"/>
  <c r="C112" i="8"/>
  <c r="A112" i="8"/>
  <c r="B112" i="8" s="1"/>
  <c r="E111" i="8"/>
  <c r="D111" i="8"/>
  <c r="C111" i="8"/>
  <c r="B111" i="8"/>
  <c r="A111" i="8"/>
  <c r="E110" i="8"/>
  <c r="D110" i="8"/>
  <c r="C110" i="8"/>
  <c r="B110" i="8"/>
  <c r="A110" i="8"/>
  <c r="E109" i="8"/>
  <c r="D109" i="8"/>
  <c r="C109" i="8"/>
  <c r="B109" i="8"/>
  <c r="A109" i="8"/>
  <c r="E108" i="8"/>
  <c r="D108" i="8"/>
  <c r="C108" i="8"/>
  <c r="A108" i="8"/>
  <c r="B108" i="8" s="1"/>
  <c r="E107" i="8"/>
  <c r="D107" i="8"/>
  <c r="C107" i="8"/>
  <c r="B107" i="8"/>
  <c r="A107" i="8"/>
  <c r="E106" i="8"/>
  <c r="D106" i="8"/>
  <c r="C106" i="8"/>
  <c r="A106" i="8"/>
  <c r="B106" i="8" s="1"/>
  <c r="E105" i="8"/>
  <c r="D105" i="8"/>
  <c r="C105" i="8"/>
  <c r="B105" i="8"/>
  <c r="A105" i="8"/>
  <c r="E104" i="8"/>
  <c r="D104" i="8"/>
  <c r="C104" i="8"/>
  <c r="A104" i="8"/>
  <c r="B104" i="8" s="1"/>
  <c r="E103" i="8"/>
  <c r="D103" i="8"/>
  <c r="C103" i="8"/>
  <c r="A103" i="8"/>
  <c r="B103" i="8" s="1"/>
  <c r="E102" i="8"/>
  <c r="D102" i="8"/>
  <c r="C102" i="8"/>
  <c r="A102" i="8"/>
  <c r="B102" i="8" s="1"/>
  <c r="E101" i="8"/>
  <c r="D101" i="8"/>
  <c r="C101" i="8"/>
  <c r="B101" i="8"/>
  <c r="A101" i="8"/>
  <c r="E100" i="8"/>
  <c r="D100" i="8"/>
  <c r="C100" i="8"/>
  <c r="B100" i="8"/>
  <c r="A100" i="8"/>
  <c r="E99" i="8"/>
  <c r="D99" i="8"/>
  <c r="C99" i="8"/>
  <c r="B99" i="8"/>
  <c r="A99" i="8"/>
  <c r="E98" i="8"/>
  <c r="D98" i="8"/>
  <c r="C98" i="8"/>
  <c r="B98" i="8"/>
  <c r="A98" i="8"/>
  <c r="E97" i="8"/>
  <c r="D97" i="8"/>
  <c r="C97" i="8"/>
  <c r="B97" i="8"/>
  <c r="A97" i="8"/>
  <c r="E96" i="8"/>
  <c r="D96" i="8"/>
  <c r="C96" i="8"/>
  <c r="A96" i="8"/>
  <c r="B96" i="8" s="1"/>
  <c r="E95" i="8"/>
  <c r="D95" i="8"/>
  <c r="C95" i="8"/>
  <c r="B95" i="8"/>
  <c r="A95" i="8"/>
  <c r="E94" i="8"/>
  <c r="D94" i="8"/>
  <c r="C94" i="8"/>
  <c r="B94" i="8"/>
  <c r="A94" i="8"/>
  <c r="E93" i="8"/>
  <c r="D93" i="8"/>
  <c r="C93" i="8"/>
  <c r="B93" i="8"/>
  <c r="A93" i="8"/>
  <c r="E92" i="8"/>
  <c r="D92" i="8"/>
  <c r="C92" i="8"/>
  <c r="B92" i="8"/>
  <c r="A92" i="8"/>
  <c r="E91" i="8"/>
  <c r="D91" i="8"/>
  <c r="C91" i="8"/>
  <c r="A91" i="8"/>
  <c r="B91" i="8" s="1"/>
  <c r="E90" i="8"/>
  <c r="D90" i="8"/>
  <c r="C90" i="8"/>
  <c r="B90" i="8"/>
  <c r="A90" i="8"/>
  <c r="E89" i="8"/>
  <c r="D89" i="8"/>
  <c r="C89" i="8"/>
  <c r="B89" i="8"/>
  <c r="A89" i="8"/>
  <c r="E88" i="8"/>
  <c r="D88" i="8"/>
  <c r="C88" i="8"/>
  <c r="A88" i="8"/>
  <c r="B88" i="8" s="1"/>
  <c r="E87" i="8"/>
  <c r="D87" i="8"/>
  <c r="C87" i="8"/>
  <c r="A87" i="8"/>
  <c r="B87" i="8" s="1"/>
  <c r="E86" i="8"/>
  <c r="D86" i="8"/>
  <c r="C86" i="8"/>
  <c r="A86" i="8"/>
  <c r="B86" i="8" s="1"/>
  <c r="E85" i="8"/>
  <c r="D85" i="8"/>
  <c r="C85" i="8"/>
  <c r="B85" i="8"/>
  <c r="A85" i="8"/>
  <c r="E84" i="8"/>
  <c r="D84" i="8"/>
  <c r="C84" i="8"/>
  <c r="B84" i="8"/>
  <c r="A84" i="8"/>
  <c r="E83" i="8"/>
  <c r="D83" i="8"/>
  <c r="C83" i="8"/>
  <c r="A83" i="8"/>
  <c r="B83" i="8" s="1"/>
  <c r="E82" i="8"/>
  <c r="D82" i="8"/>
  <c r="C82" i="8"/>
  <c r="B82" i="8"/>
  <c r="A82" i="8"/>
  <c r="E81" i="8"/>
  <c r="D81" i="8"/>
  <c r="C81" i="8"/>
  <c r="A81" i="8"/>
  <c r="B81" i="8" s="1"/>
  <c r="E80" i="8"/>
  <c r="D80" i="8"/>
  <c r="C80" i="8"/>
  <c r="A80" i="8"/>
  <c r="B80" i="8" s="1"/>
  <c r="E79" i="8"/>
  <c r="D79" i="8"/>
  <c r="C79" i="8"/>
  <c r="A79" i="8"/>
  <c r="B79" i="8" s="1"/>
  <c r="E78" i="8"/>
  <c r="D78" i="8"/>
  <c r="C78" i="8"/>
  <c r="A78" i="8"/>
  <c r="B78" i="8" s="1"/>
  <c r="E77" i="8"/>
  <c r="D77" i="8"/>
  <c r="C77" i="8"/>
  <c r="B77" i="8"/>
  <c r="A77" i="8"/>
  <c r="E76" i="8"/>
  <c r="D76" i="8"/>
  <c r="C76" i="8"/>
  <c r="A76" i="8"/>
  <c r="B76" i="8" s="1"/>
  <c r="E75" i="8"/>
  <c r="D75" i="8"/>
  <c r="C75" i="8"/>
  <c r="B75" i="8"/>
  <c r="A75" i="8"/>
  <c r="E74" i="8"/>
  <c r="D74" i="8"/>
  <c r="C74" i="8"/>
  <c r="A74" i="8"/>
  <c r="B74" i="8" s="1"/>
  <c r="E73" i="8"/>
  <c r="D73" i="8"/>
  <c r="C73" i="8"/>
  <c r="A73" i="8"/>
  <c r="B73" i="8" s="1"/>
  <c r="E72" i="8"/>
  <c r="D72" i="8"/>
  <c r="C72" i="8"/>
  <c r="A72" i="8"/>
  <c r="B72" i="8" s="1"/>
  <c r="E71" i="8"/>
  <c r="D71" i="8"/>
  <c r="C71" i="8"/>
  <c r="B71" i="8"/>
  <c r="A71" i="8"/>
  <c r="E70" i="8"/>
  <c r="D70" i="8"/>
  <c r="C70" i="8"/>
  <c r="B70" i="8"/>
  <c r="A70" i="8"/>
  <c r="E69" i="8"/>
  <c r="D69" i="8"/>
  <c r="C69" i="8"/>
  <c r="B69" i="8"/>
  <c r="A69" i="8"/>
  <c r="E68" i="8"/>
  <c r="D68" i="8"/>
  <c r="C68" i="8"/>
  <c r="A68" i="8"/>
  <c r="B68" i="8" s="1"/>
  <c r="E67" i="8"/>
  <c r="D67" i="8"/>
  <c r="C67" i="8"/>
  <c r="A67" i="8"/>
  <c r="B67" i="8" s="1"/>
  <c r="E66" i="8"/>
  <c r="D66" i="8"/>
  <c r="C66" i="8"/>
  <c r="B66" i="8"/>
  <c r="A66" i="8"/>
  <c r="E65" i="8"/>
  <c r="D65" i="8"/>
  <c r="C65" i="8"/>
  <c r="A65" i="8"/>
  <c r="B65" i="8" s="1"/>
  <c r="E64" i="8"/>
  <c r="D64" i="8"/>
  <c r="C64" i="8"/>
  <c r="A64" i="8"/>
  <c r="B64" i="8" s="1"/>
  <c r="E63" i="8"/>
  <c r="D63" i="8"/>
  <c r="C63" i="8"/>
  <c r="A63" i="8"/>
  <c r="B63" i="8" s="1"/>
  <c r="E62" i="8"/>
  <c r="D62" i="8"/>
  <c r="C62" i="8"/>
  <c r="A62" i="8"/>
  <c r="B62" i="8" s="1"/>
  <c r="E61" i="8"/>
  <c r="D61" i="8"/>
  <c r="C61" i="8"/>
  <c r="B61" i="8"/>
  <c r="A61" i="8"/>
  <c r="E60" i="8"/>
  <c r="D60" i="8"/>
  <c r="C60" i="8"/>
  <c r="A60" i="8"/>
  <c r="B60" i="8" s="1"/>
  <c r="E59" i="8"/>
  <c r="D59" i="8"/>
  <c r="C59" i="8"/>
  <c r="A59" i="8"/>
  <c r="B59" i="8" s="1"/>
  <c r="E58" i="8"/>
  <c r="D58" i="8"/>
  <c r="C58" i="8"/>
  <c r="A58" i="8"/>
  <c r="B58" i="8" s="1"/>
  <c r="E57" i="8"/>
  <c r="D57" i="8"/>
  <c r="C57" i="8"/>
  <c r="B57" i="8"/>
  <c r="A57" i="8"/>
  <c r="E56" i="8"/>
  <c r="D56" i="8"/>
  <c r="C56" i="8"/>
  <c r="A56" i="8"/>
  <c r="B56" i="8" s="1"/>
  <c r="E55" i="8"/>
  <c r="D55" i="8"/>
  <c r="C55" i="8"/>
  <c r="A55" i="8"/>
  <c r="B55" i="8" s="1"/>
  <c r="E54" i="8"/>
  <c r="D54" i="8"/>
  <c r="C54" i="8"/>
  <c r="A54" i="8"/>
  <c r="B54" i="8" s="1"/>
  <c r="E53" i="8"/>
  <c r="D53" i="8"/>
  <c r="C53" i="8"/>
  <c r="B53" i="8"/>
  <c r="A53" i="8"/>
  <c r="E52" i="8"/>
  <c r="D52" i="8"/>
  <c r="C52" i="8"/>
  <c r="B52" i="8"/>
  <c r="A52" i="8"/>
  <c r="E51" i="8"/>
  <c r="D51" i="8"/>
  <c r="C51" i="8"/>
  <c r="B51" i="8"/>
  <c r="A51" i="8"/>
  <c r="E50" i="8"/>
  <c r="D50" i="8"/>
  <c r="C50" i="8"/>
  <c r="A50" i="8"/>
  <c r="B50" i="8" s="1"/>
  <c r="E49" i="8"/>
  <c r="D49" i="8"/>
  <c r="C49" i="8"/>
  <c r="A49" i="8"/>
  <c r="B49" i="8" s="1"/>
  <c r="E48" i="8"/>
  <c r="D48" i="8"/>
  <c r="C48" i="8"/>
  <c r="A48" i="8"/>
  <c r="B48" i="8" s="1"/>
  <c r="E47" i="8"/>
  <c r="D47" i="8"/>
  <c r="C47" i="8"/>
  <c r="B47" i="8"/>
  <c r="A47" i="8"/>
  <c r="E46" i="8"/>
  <c r="D46" i="8"/>
  <c r="C46" i="8"/>
  <c r="B46" i="8"/>
  <c r="A46" i="8"/>
  <c r="E45" i="8"/>
  <c r="D45" i="8"/>
  <c r="C45" i="8"/>
  <c r="B45" i="8"/>
  <c r="A45" i="8"/>
  <c r="E44" i="8"/>
  <c r="D44" i="8"/>
  <c r="C44" i="8"/>
  <c r="A44" i="8"/>
  <c r="B44" i="8" s="1"/>
  <c r="E43" i="8"/>
  <c r="D43" i="8"/>
  <c r="C43" i="8"/>
  <c r="B43" i="8"/>
  <c r="A43" i="8"/>
  <c r="E42" i="8"/>
  <c r="D42" i="8"/>
  <c r="C42" i="8"/>
  <c r="A42" i="8"/>
  <c r="B42" i="8" s="1"/>
  <c r="E41" i="8"/>
  <c r="D41" i="8"/>
  <c r="C41" i="8"/>
  <c r="A41" i="8"/>
  <c r="B41" i="8" s="1"/>
  <c r="E40" i="8"/>
  <c r="D40" i="8"/>
  <c r="C40" i="8"/>
  <c r="A40" i="8"/>
  <c r="B40" i="8" s="1"/>
  <c r="E39" i="8"/>
  <c r="D39" i="8"/>
  <c r="C39" i="8"/>
  <c r="B39" i="8"/>
  <c r="A39" i="8"/>
  <c r="E38" i="8"/>
  <c r="D38" i="8"/>
  <c r="C38" i="8"/>
  <c r="A38" i="8"/>
  <c r="B38" i="8" s="1"/>
  <c r="E37" i="8"/>
  <c r="D37" i="8"/>
  <c r="C37" i="8"/>
  <c r="B37" i="8"/>
  <c r="A37" i="8"/>
  <c r="E36" i="8"/>
  <c r="D36" i="8"/>
  <c r="C36" i="8"/>
  <c r="A36" i="8"/>
  <c r="B36" i="8" s="1"/>
  <c r="E35" i="8"/>
  <c r="D35" i="8"/>
  <c r="C35" i="8"/>
  <c r="A35" i="8"/>
  <c r="B35" i="8" s="1"/>
  <c r="E34" i="8"/>
  <c r="D34" i="8"/>
  <c r="C34" i="8"/>
  <c r="B34" i="8"/>
  <c r="A34" i="8"/>
  <c r="E33" i="8"/>
  <c r="D33" i="8"/>
  <c r="C33" i="8"/>
  <c r="A33" i="8"/>
  <c r="B33" i="8" s="1"/>
  <c r="E32" i="8"/>
  <c r="D32" i="8"/>
  <c r="C32" i="8"/>
  <c r="A32" i="8"/>
  <c r="B32" i="8" s="1"/>
  <c r="E31" i="8"/>
  <c r="D31" i="8"/>
  <c r="C31" i="8"/>
  <c r="B31" i="8"/>
  <c r="A31" i="8"/>
  <c r="E30" i="8"/>
  <c r="D30" i="8"/>
  <c r="C30" i="8"/>
  <c r="A30" i="8"/>
  <c r="B30" i="8" s="1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A27" i="8"/>
  <c r="B27" i="8" s="1"/>
  <c r="E26" i="8"/>
  <c r="D26" i="8"/>
  <c r="C26" i="8"/>
  <c r="A26" i="8"/>
  <c r="B26" i="8" s="1"/>
  <c r="E25" i="8"/>
  <c r="D25" i="8"/>
  <c r="C25" i="8"/>
  <c r="A25" i="8"/>
  <c r="B25" i="8" s="1"/>
  <c r="E24" i="8"/>
  <c r="D24" i="8"/>
  <c r="C24" i="8"/>
  <c r="A24" i="8"/>
  <c r="B24" i="8" s="1"/>
  <c r="E23" i="8"/>
  <c r="D23" i="8"/>
  <c r="C23" i="8"/>
  <c r="A23" i="8"/>
  <c r="B23" i="8" s="1"/>
  <c r="E22" i="8"/>
  <c r="D22" i="8"/>
  <c r="C22" i="8"/>
  <c r="A22" i="8"/>
  <c r="B22" i="8" s="1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A19" i="8"/>
  <c r="B19" i="8" s="1"/>
  <c r="E18" i="8"/>
  <c r="D18" i="8"/>
  <c r="C18" i="8"/>
  <c r="A18" i="8"/>
  <c r="B18" i="8" s="1"/>
  <c r="E17" i="8"/>
  <c r="D17" i="8"/>
  <c r="C17" i="8"/>
  <c r="A17" i="8"/>
  <c r="B17" i="8" s="1"/>
  <c r="E16" i="8"/>
  <c r="D16" i="8"/>
  <c r="C16" i="8"/>
  <c r="A16" i="8"/>
  <c r="B16" i="8" s="1"/>
  <c r="E15" i="8"/>
  <c r="D15" i="8"/>
  <c r="C15" i="8"/>
  <c r="A15" i="8"/>
  <c r="B15" i="8" s="1"/>
  <c r="E14" i="8"/>
  <c r="D14" i="8"/>
  <c r="C14" i="8"/>
  <c r="A14" i="8"/>
  <c r="B14" i="8" s="1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N10" i="8"/>
  <c r="E10" i="8"/>
  <c r="D10" i="8"/>
  <c r="C10" i="8"/>
  <c r="B10" i="8"/>
  <c r="A10" i="8"/>
  <c r="N9" i="8"/>
  <c r="E9" i="8"/>
  <c r="D9" i="8"/>
  <c r="C9" i="8"/>
  <c r="A9" i="8"/>
  <c r="B9" i="8" s="1"/>
  <c r="N8" i="8"/>
  <c r="E8" i="8"/>
  <c r="D8" i="8"/>
  <c r="C8" i="8"/>
  <c r="B8" i="8"/>
  <c r="A8" i="8"/>
  <c r="N7" i="8"/>
  <c r="E7" i="8"/>
  <c r="D7" i="8"/>
  <c r="C7" i="8"/>
  <c r="A7" i="8"/>
  <c r="B7" i="8" s="1"/>
  <c r="N6" i="8"/>
  <c r="E6" i="8"/>
  <c r="D6" i="8"/>
  <c r="C6" i="8"/>
  <c r="B6" i="8"/>
  <c r="A6" i="8"/>
  <c r="E718" i="7"/>
  <c r="D718" i="7"/>
  <c r="C718" i="7"/>
  <c r="A718" i="7"/>
  <c r="B718" i="7" s="1"/>
  <c r="E717" i="7"/>
  <c r="D717" i="7"/>
  <c r="C717" i="7"/>
  <c r="B717" i="7"/>
  <c r="A717" i="7"/>
  <c r="E716" i="7"/>
  <c r="D716" i="7"/>
  <c r="C716" i="7"/>
  <c r="A716" i="7"/>
  <c r="B716" i="7" s="1"/>
  <c r="E715" i="7"/>
  <c r="D715" i="7"/>
  <c r="C715" i="7"/>
  <c r="B715" i="7"/>
  <c r="A715" i="7"/>
  <c r="E714" i="7"/>
  <c r="D714" i="7"/>
  <c r="C714" i="7"/>
  <c r="A714" i="7"/>
  <c r="B714" i="7" s="1"/>
  <c r="E713" i="7"/>
  <c r="D713" i="7"/>
  <c r="C713" i="7"/>
  <c r="B713" i="7"/>
  <c r="A713" i="7"/>
  <c r="E712" i="7"/>
  <c r="D712" i="7"/>
  <c r="C712" i="7"/>
  <c r="B712" i="7"/>
  <c r="A712" i="7"/>
  <c r="E711" i="7"/>
  <c r="D711" i="7"/>
  <c r="C711" i="7"/>
  <c r="B711" i="7"/>
  <c r="A711" i="7"/>
  <c r="E710" i="7"/>
  <c r="D710" i="7"/>
  <c r="C710" i="7"/>
  <c r="A710" i="7"/>
  <c r="B710" i="7" s="1"/>
  <c r="E709" i="7"/>
  <c r="D709" i="7"/>
  <c r="C709" i="7"/>
  <c r="A709" i="7"/>
  <c r="B709" i="7" s="1"/>
  <c r="E708" i="7"/>
  <c r="D708" i="7"/>
  <c r="C708" i="7"/>
  <c r="B708" i="7"/>
  <c r="A708" i="7"/>
  <c r="E707" i="7"/>
  <c r="D707" i="7"/>
  <c r="C707" i="7"/>
  <c r="B707" i="7"/>
  <c r="A707" i="7"/>
  <c r="E706" i="7"/>
  <c r="D706" i="7"/>
  <c r="C706" i="7"/>
  <c r="B706" i="7"/>
  <c r="A706" i="7"/>
  <c r="E705" i="7"/>
  <c r="D705" i="7"/>
  <c r="C705" i="7"/>
  <c r="A705" i="7"/>
  <c r="B705" i="7" s="1"/>
  <c r="E704" i="7"/>
  <c r="D704" i="7"/>
  <c r="C704" i="7"/>
  <c r="B704" i="7"/>
  <c r="A704" i="7"/>
  <c r="E703" i="7"/>
  <c r="D703" i="7"/>
  <c r="C703" i="7"/>
  <c r="A703" i="7"/>
  <c r="B703" i="7" s="1"/>
  <c r="E702" i="7"/>
  <c r="D702" i="7"/>
  <c r="C702" i="7"/>
  <c r="A702" i="7"/>
  <c r="B702" i="7" s="1"/>
  <c r="E701" i="7"/>
  <c r="D701" i="7"/>
  <c r="C701" i="7"/>
  <c r="A701" i="7"/>
  <c r="B701" i="7" s="1"/>
  <c r="E700" i="7"/>
  <c r="D700" i="7"/>
  <c r="C700" i="7"/>
  <c r="A700" i="7"/>
  <c r="B700" i="7" s="1"/>
  <c r="E699" i="7"/>
  <c r="D699" i="7"/>
  <c r="C699" i="7"/>
  <c r="B699" i="7"/>
  <c r="A699" i="7"/>
  <c r="E698" i="7"/>
  <c r="D698" i="7"/>
  <c r="C698" i="7"/>
  <c r="A698" i="7"/>
  <c r="B698" i="7" s="1"/>
  <c r="E697" i="7"/>
  <c r="D697" i="7"/>
  <c r="C697" i="7"/>
  <c r="A697" i="7"/>
  <c r="B697" i="7" s="1"/>
  <c r="E696" i="7"/>
  <c r="D696" i="7"/>
  <c r="C696" i="7"/>
  <c r="B696" i="7"/>
  <c r="A696" i="7"/>
  <c r="E695" i="7"/>
  <c r="D695" i="7"/>
  <c r="C695" i="7"/>
  <c r="B695" i="7"/>
  <c r="A695" i="7"/>
  <c r="E694" i="7"/>
  <c r="D694" i="7"/>
  <c r="C694" i="7"/>
  <c r="A694" i="7"/>
  <c r="B694" i="7" s="1"/>
  <c r="E693" i="7"/>
  <c r="D693" i="7"/>
  <c r="C693" i="7"/>
  <c r="A693" i="7"/>
  <c r="B693" i="7" s="1"/>
  <c r="E692" i="7"/>
  <c r="D692" i="7"/>
  <c r="C692" i="7"/>
  <c r="A692" i="7"/>
  <c r="B692" i="7" s="1"/>
  <c r="E691" i="7"/>
  <c r="D691" i="7"/>
  <c r="C691" i="7"/>
  <c r="B691" i="7"/>
  <c r="A691" i="7"/>
  <c r="E690" i="7"/>
  <c r="D690" i="7"/>
  <c r="C690" i="7"/>
  <c r="B690" i="7"/>
  <c r="A690" i="7"/>
  <c r="E689" i="7"/>
  <c r="D689" i="7"/>
  <c r="C689" i="7"/>
  <c r="B689" i="7"/>
  <c r="A689" i="7"/>
  <c r="E688" i="7"/>
  <c r="D688" i="7"/>
  <c r="C688" i="7"/>
  <c r="B688" i="7"/>
  <c r="A688" i="7"/>
  <c r="E687" i="7"/>
  <c r="D687" i="7"/>
  <c r="C687" i="7"/>
  <c r="B687" i="7"/>
  <c r="A687" i="7"/>
  <c r="E686" i="7"/>
  <c r="D686" i="7"/>
  <c r="C686" i="7"/>
  <c r="A686" i="7"/>
  <c r="B686" i="7" s="1"/>
  <c r="E685" i="7"/>
  <c r="D685" i="7"/>
  <c r="C685" i="7"/>
  <c r="B685" i="7"/>
  <c r="A685" i="7"/>
  <c r="E684" i="7"/>
  <c r="D684" i="7"/>
  <c r="C684" i="7"/>
  <c r="B684" i="7"/>
  <c r="A684" i="7"/>
  <c r="E683" i="7"/>
  <c r="D683" i="7"/>
  <c r="C683" i="7"/>
  <c r="B683" i="7"/>
  <c r="A683" i="7"/>
  <c r="E682" i="7"/>
  <c r="D682" i="7"/>
  <c r="C682" i="7"/>
  <c r="B682" i="7"/>
  <c r="A682" i="7"/>
  <c r="E681" i="7"/>
  <c r="D681" i="7"/>
  <c r="C681" i="7"/>
  <c r="A681" i="7"/>
  <c r="B681" i="7" s="1"/>
  <c r="E680" i="7"/>
  <c r="D680" i="7"/>
  <c r="C680" i="7"/>
  <c r="A680" i="7"/>
  <c r="B680" i="7" s="1"/>
  <c r="E679" i="7"/>
  <c r="D679" i="7"/>
  <c r="C679" i="7"/>
  <c r="A679" i="7"/>
  <c r="B679" i="7" s="1"/>
  <c r="E678" i="7"/>
  <c r="D678" i="7"/>
  <c r="C678" i="7"/>
  <c r="A678" i="7"/>
  <c r="B678" i="7" s="1"/>
  <c r="E677" i="7"/>
  <c r="D677" i="7"/>
  <c r="C677" i="7"/>
  <c r="B677" i="7"/>
  <c r="A677" i="7"/>
  <c r="E676" i="7"/>
  <c r="D676" i="7"/>
  <c r="C676" i="7"/>
  <c r="B676" i="7"/>
  <c r="A676" i="7"/>
  <c r="E675" i="7"/>
  <c r="D675" i="7"/>
  <c r="C675" i="7"/>
  <c r="B675" i="7"/>
  <c r="A675" i="7"/>
  <c r="E674" i="7"/>
  <c r="D674" i="7"/>
  <c r="C674" i="7"/>
  <c r="A674" i="7"/>
  <c r="B674" i="7" s="1"/>
  <c r="E673" i="7"/>
  <c r="D673" i="7"/>
  <c r="C673" i="7"/>
  <c r="A673" i="7"/>
  <c r="B673" i="7" s="1"/>
  <c r="E672" i="7"/>
  <c r="D672" i="7"/>
  <c r="C672" i="7"/>
  <c r="B672" i="7"/>
  <c r="A672" i="7"/>
  <c r="E671" i="7"/>
  <c r="D671" i="7"/>
  <c r="C671" i="7"/>
  <c r="B671" i="7"/>
  <c r="A671" i="7"/>
  <c r="E670" i="7"/>
  <c r="D670" i="7"/>
  <c r="C670" i="7"/>
  <c r="A670" i="7"/>
  <c r="B670" i="7" s="1"/>
  <c r="E669" i="7"/>
  <c r="D669" i="7"/>
  <c r="C669" i="7"/>
  <c r="A669" i="7"/>
  <c r="B669" i="7" s="1"/>
  <c r="E668" i="7"/>
  <c r="D668" i="7"/>
  <c r="C668" i="7"/>
  <c r="B668" i="7"/>
  <c r="A668" i="7"/>
  <c r="E667" i="7"/>
  <c r="D667" i="7"/>
  <c r="C667" i="7"/>
  <c r="B667" i="7"/>
  <c r="A667" i="7"/>
  <c r="E666" i="7"/>
  <c r="D666" i="7"/>
  <c r="C666" i="7"/>
  <c r="B666" i="7"/>
  <c r="A666" i="7"/>
  <c r="E665" i="7"/>
  <c r="D665" i="7"/>
  <c r="C665" i="7"/>
  <c r="A665" i="7"/>
  <c r="B665" i="7" s="1"/>
  <c r="E664" i="7"/>
  <c r="D664" i="7"/>
  <c r="C664" i="7"/>
  <c r="A664" i="7"/>
  <c r="B664" i="7" s="1"/>
  <c r="E663" i="7"/>
  <c r="D663" i="7"/>
  <c r="C663" i="7"/>
  <c r="A663" i="7"/>
  <c r="B663" i="7" s="1"/>
  <c r="E662" i="7"/>
  <c r="D662" i="7"/>
  <c r="C662" i="7"/>
  <c r="A662" i="7"/>
  <c r="B662" i="7" s="1"/>
  <c r="E661" i="7"/>
  <c r="D661" i="7"/>
  <c r="C661" i="7"/>
  <c r="B661" i="7"/>
  <c r="A661" i="7"/>
  <c r="E660" i="7"/>
  <c r="D660" i="7"/>
  <c r="C660" i="7"/>
  <c r="A660" i="7"/>
  <c r="B660" i="7" s="1"/>
  <c r="E659" i="7"/>
  <c r="D659" i="7"/>
  <c r="C659" i="7"/>
  <c r="A659" i="7"/>
  <c r="B659" i="7" s="1"/>
  <c r="E658" i="7"/>
  <c r="D658" i="7"/>
  <c r="C658" i="7"/>
  <c r="A658" i="7"/>
  <c r="B658" i="7" s="1"/>
  <c r="E657" i="7"/>
  <c r="D657" i="7"/>
  <c r="C657" i="7"/>
  <c r="A657" i="7"/>
  <c r="B657" i="7" s="1"/>
  <c r="E656" i="7"/>
  <c r="D656" i="7"/>
  <c r="C656" i="7"/>
  <c r="A656" i="7"/>
  <c r="B656" i="7" s="1"/>
  <c r="E655" i="7"/>
  <c r="D655" i="7"/>
  <c r="C655" i="7"/>
  <c r="B655" i="7"/>
  <c r="A655" i="7"/>
  <c r="E654" i="7"/>
  <c r="D654" i="7"/>
  <c r="C654" i="7"/>
  <c r="B654" i="7"/>
  <c r="A654" i="7"/>
  <c r="E653" i="7"/>
  <c r="D653" i="7"/>
  <c r="C653" i="7"/>
  <c r="B653" i="7"/>
  <c r="A653" i="7"/>
  <c r="E652" i="7"/>
  <c r="D652" i="7"/>
  <c r="C652" i="7"/>
  <c r="A652" i="7"/>
  <c r="B652" i="7" s="1"/>
  <c r="E651" i="7"/>
  <c r="D651" i="7"/>
  <c r="C651" i="7"/>
  <c r="B651" i="7"/>
  <c r="A651" i="7"/>
  <c r="E650" i="7"/>
  <c r="D650" i="7"/>
  <c r="C650" i="7"/>
  <c r="A650" i="7"/>
  <c r="B650" i="7" s="1"/>
  <c r="E649" i="7"/>
  <c r="D649" i="7"/>
  <c r="C649" i="7"/>
  <c r="A649" i="7"/>
  <c r="B649" i="7" s="1"/>
  <c r="E648" i="7"/>
  <c r="D648" i="7"/>
  <c r="C648" i="7"/>
  <c r="A648" i="7"/>
  <c r="B648" i="7" s="1"/>
  <c r="E647" i="7"/>
  <c r="D647" i="7"/>
  <c r="C647" i="7"/>
  <c r="A647" i="7"/>
  <c r="B647" i="7" s="1"/>
  <c r="E646" i="7"/>
  <c r="D646" i="7"/>
  <c r="C646" i="7"/>
  <c r="B646" i="7"/>
  <c r="A646" i="7"/>
  <c r="E645" i="7"/>
  <c r="D645" i="7"/>
  <c r="C645" i="7"/>
  <c r="B645" i="7"/>
  <c r="A645" i="7"/>
  <c r="E644" i="7"/>
  <c r="D644" i="7"/>
  <c r="C644" i="7"/>
  <c r="B644" i="7"/>
  <c r="A644" i="7"/>
  <c r="E643" i="7"/>
  <c r="D643" i="7"/>
  <c r="C643" i="7"/>
  <c r="B643" i="7"/>
  <c r="A643" i="7"/>
  <c r="E642" i="7"/>
  <c r="D642" i="7"/>
  <c r="C642" i="7"/>
  <c r="A642" i="7"/>
  <c r="B642" i="7" s="1"/>
  <c r="E641" i="7"/>
  <c r="D641" i="7"/>
  <c r="C641" i="7"/>
  <c r="A641" i="7"/>
  <c r="B641" i="7" s="1"/>
  <c r="E640" i="7"/>
  <c r="D640" i="7"/>
  <c r="C640" i="7"/>
  <c r="A640" i="7"/>
  <c r="B640" i="7" s="1"/>
  <c r="E639" i="7"/>
  <c r="D639" i="7"/>
  <c r="C639" i="7"/>
  <c r="B639" i="7"/>
  <c r="A639" i="7"/>
  <c r="E638" i="7"/>
  <c r="D638" i="7"/>
  <c r="C638" i="7"/>
  <c r="B638" i="7"/>
  <c r="A638" i="7"/>
  <c r="E637" i="7"/>
  <c r="D637" i="7"/>
  <c r="C637" i="7"/>
  <c r="B637" i="7"/>
  <c r="A637" i="7"/>
  <c r="E636" i="7"/>
  <c r="D636" i="7"/>
  <c r="C636" i="7"/>
  <c r="A636" i="7"/>
  <c r="B636" i="7" s="1"/>
  <c r="E635" i="7"/>
  <c r="D635" i="7"/>
  <c r="C635" i="7"/>
  <c r="B635" i="7"/>
  <c r="A635" i="7"/>
  <c r="E634" i="7"/>
  <c r="D634" i="7"/>
  <c r="C634" i="7"/>
  <c r="B634" i="7"/>
  <c r="A634" i="7"/>
  <c r="E633" i="7"/>
  <c r="D633" i="7"/>
  <c r="C633" i="7"/>
  <c r="A633" i="7"/>
  <c r="B633" i="7" s="1"/>
  <c r="E632" i="7"/>
  <c r="D632" i="7"/>
  <c r="C632" i="7"/>
  <c r="A632" i="7"/>
  <c r="B632" i="7" s="1"/>
  <c r="E631" i="7"/>
  <c r="D631" i="7"/>
  <c r="C631" i="7"/>
  <c r="B631" i="7"/>
  <c r="A631" i="7"/>
  <c r="E630" i="7"/>
  <c r="D630" i="7"/>
  <c r="C630" i="7"/>
  <c r="B630" i="7"/>
  <c r="A630" i="7"/>
  <c r="E629" i="7"/>
  <c r="D629" i="7"/>
  <c r="C629" i="7"/>
  <c r="B629" i="7"/>
  <c r="A629" i="7"/>
  <c r="E628" i="7"/>
  <c r="D628" i="7"/>
  <c r="C628" i="7"/>
  <c r="A628" i="7"/>
  <c r="B628" i="7" s="1"/>
  <c r="E627" i="7"/>
  <c r="D627" i="7"/>
  <c r="C627" i="7"/>
  <c r="A627" i="7"/>
  <c r="B627" i="7" s="1"/>
  <c r="E626" i="7"/>
  <c r="D626" i="7"/>
  <c r="C626" i="7"/>
  <c r="A626" i="7"/>
  <c r="B626" i="7" s="1"/>
  <c r="E625" i="7"/>
  <c r="D625" i="7"/>
  <c r="C625" i="7"/>
  <c r="A625" i="7"/>
  <c r="B625" i="7" s="1"/>
  <c r="E624" i="7"/>
  <c r="D624" i="7"/>
  <c r="C624" i="7"/>
  <c r="A624" i="7"/>
  <c r="B624" i="7" s="1"/>
  <c r="E623" i="7"/>
  <c r="D623" i="7"/>
  <c r="C623" i="7"/>
  <c r="B623" i="7"/>
  <c r="A623" i="7"/>
  <c r="E622" i="7"/>
  <c r="D622" i="7"/>
  <c r="C622" i="7"/>
  <c r="B622" i="7"/>
  <c r="A622" i="7"/>
  <c r="E621" i="7"/>
  <c r="D621" i="7"/>
  <c r="C621" i="7"/>
  <c r="B621" i="7"/>
  <c r="A621" i="7"/>
  <c r="E620" i="7"/>
  <c r="D620" i="7"/>
  <c r="C620" i="7"/>
  <c r="A620" i="7"/>
  <c r="B620" i="7" s="1"/>
  <c r="E619" i="7"/>
  <c r="D619" i="7"/>
  <c r="C619" i="7"/>
  <c r="B619" i="7"/>
  <c r="A619" i="7"/>
  <c r="E618" i="7"/>
  <c r="D618" i="7"/>
  <c r="C618" i="7"/>
  <c r="A618" i="7"/>
  <c r="B618" i="7" s="1"/>
  <c r="E617" i="7"/>
  <c r="D617" i="7"/>
  <c r="C617" i="7"/>
  <c r="A617" i="7"/>
  <c r="B617" i="7" s="1"/>
  <c r="E616" i="7"/>
  <c r="D616" i="7"/>
  <c r="C616" i="7"/>
  <c r="A616" i="7"/>
  <c r="B616" i="7" s="1"/>
  <c r="E615" i="7"/>
  <c r="D615" i="7"/>
  <c r="C615" i="7"/>
  <c r="A615" i="7"/>
  <c r="B615" i="7" s="1"/>
  <c r="E614" i="7"/>
  <c r="D614" i="7"/>
  <c r="C614" i="7"/>
  <c r="B614" i="7"/>
  <c r="A614" i="7"/>
  <c r="E613" i="7"/>
  <c r="D613" i="7"/>
  <c r="C613" i="7"/>
  <c r="B613" i="7"/>
  <c r="A613" i="7"/>
  <c r="E612" i="7"/>
  <c r="D612" i="7"/>
  <c r="C612" i="7"/>
  <c r="B612" i="7"/>
  <c r="A612" i="7"/>
  <c r="E611" i="7"/>
  <c r="D611" i="7"/>
  <c r="C611" i="7"/>
  <c r="B611" i="7"/>
  <c r="A611" i="7"/>
  <c r="E610" i="7"/>
  <c r="D610" i="7"/>
  <c r="C610" i="7"/>
  <c r="A610" i="7"/>
  <c r="B610" i="7" s="1"/>
  <c r="E609" i="7"/>
  <c r="D609" i="7"/>
  <c r="C609" i="7"/>
  <c r="A609" i="7"/>
  <c r="B609" i="7" s="1"/>
  <c r="E608" i="7"/>
  <c r="D608" i="7"/>
  <c r="C608" i="7"/>
  <c r="A608" i="7"/>
  <c r="B608" i="7" s="1"/>
  <c r="E607" i="7"/>
  <c r="D607" i="7"/>
  <c r="C607" i="7"/>
  <c r="B607" i="7"/>
  <c r="A607" i="7"/>
  <c r="E606" i="7"/>
  <c r="D606" i="7"/>
  <c r="C606" i="7"/>
  <c r="B606" i="7"/>
  <c r="A606" i="7"/>
  <c r="E605" i="7"/>
  <c r="D605" i="7"/>
  <c r="C605" i="7"/>
  <c r="B605" i="7"/>
  <c r="A605" i="7"/>
  <c r="E604" i="7"/>
  <c r="D604" i="7"/>
  <c r="C604" i="7"/>
  <c r="A604" i="7"/>
  <c r="B604" i="7" s="1"/>
  <c r="E603" i="7"/>
  <c r="D603" i="7"/>
  <c r="C603" i="7"/>
  <c r="B603" i="7"/>
  <c r="A603" i="7"/>
  <c r="E602" i="7"/>
  <c r="D602" i="7"/>
  <c r="C602" i="7"/>
  <c r="B602" i="7"/>
  <c r="A602" i="7"/>
  <c r="E601" i="7"/>
  <c r="D601" i="7"/>
  <c r="C601" i="7"/>
  <c r="A601" i="7"/>
  <c r="B601" i="7" s="1"/>
  <c r="E600" i="7"/>
  <c r="D600" i="7"/>
  <c r="C600" i="7"/>
  <c r="A600" i="7"/>
  <c r="B600" i="7" s="1"/>
  <c r="E599" i="7"/>
  <c r="D599" i="7"/>
  <c r="C599" i="7"/>
  <c r="B599" i="7"/>
  <c r="A599" i="7"/>
  <c r="E598" i="7"/>
  <c r="D598" i="7"/>
  <c r="C598" i="7"/>
  <c r="B598" i="7"/>
  <c r="A598" i="7"/>
  <c r="E597" i="7"/>
  <c r="D597" i="7"/>
  <c r="C597" i="7"/>
  <c r="B597" i="7"/>
  <c r="A597" i="7"/>
  <c r="E596" i="7"/>
  <c r="D596" i="7"/>
  <c r="C596" i="7"/>
  <c r="A596" i="7"/>
  <c r="B596" i="7" s="1"/>
  <c r="E595" i="7"/>
  <c r="D595" i="7"/>
  <c r="C595" i="7"/>
  <c r="A595" i="7"/>
  <c r="B595" i="7" s="1"/>
  <c r="E594" i="7"/>
  <c r="D594" i="7"/>
  <c r="C594" i="7"/>
  <c r="A594" i="7"/>
  <c r="B594" i="7" s="1"/>
  <c r="E593" i="7"/>
  <c r="D593" i="7"/>
  <c r="C593" i="7"/>
  <c r="A593" i="7"/>
  <c r="B593" i="7" s="1"/>
  <c r="E592" i="7"/>
  <c r="D592" i="7"/>
  <c r="C592" i="7"/>
  <c r="A592" i="7"/>
  <c r="B592" i="7" s="1"/>
  <c r="E591" i="7"/>
  <c r="D591" i="7"/>
  <c r="C591" i="7"/>
  <c r="B591" i="7"/>
  <c r="A591" i="7"/>
  <c r="E590" i="7"/>
  <c r="D590" i="7"/>
  <c r="C590" i="7"/>
  <c r="B590" i="7"/>
  <c r="A590" i="7"/>
  <c r="E589" i="7"/>
  <c r="D589" i="7"/>
  <c r="C589" i="7"/>
  <c r="B589" i="7"/>
  <c r="A589" i="7"/>
  <c r="E588" i="7"/>
  <c r="D588" i="7"/>
  <c r="C588" i="7"/>
  <c r="A588" i="7"/>
  <c r="B588" i="7" s="1"/>
  <c r="E587" i="7"/>
  <c r="D587" i="7"/>
  <c r="C587" i="7"/>
  <c r="B587" i="7"/>
  <c r="A587" i="7"/>
  <c r="E586" i="7"/>
  <c r="D586" i="7"/>
  <c r="C586" i="7"/>
  <c r="A586" i="7"/>
  <c r="B586" i="7" s="1"/>
  <c r="E585" i="7"/>
  <c r="D585" i="7"/>
  <c r="C585" i="7"/>
  <c r="A585" i="7"/>
  <c r="B585" i="7" s="1"/>
  <c r="E584" i="7"/>
  <c r="D584" i="7"/>
  <c r="C584" i="7"/>
  <c r="A584" i="7"/>
  <c r="B584" i="7" s="1"/>
  <c r="E583" i="7"/>
  <c r="D583" i="7"/>
  <c r="C583" i="7"/>
  <c r="A583" i="7"/>
  <c r="B583" i="7" s="1"/>
  <c r="E582" i="7"/>
  <c r="D582" i="7"/>
  <c r="C582" i="7"/>
  <c r="B582" i="7"/>
  <c r="A582" i="7"/>
  <c r="E581" i="7"/>
  <c r="D581" i="7"/>
  <c r="C581" i="7"/>
  <c r="B581" i="7"/>
  <c r="A581" i="7"/>
  <c r="E580" i="7"/>
  <c r="D580" i="7"/>
  <c r="C580" i="7"/>
  <c r="B580" i="7"/>
  <c r="A580" i="7"/>
  <c r="E579" i="7"/>
  <c r="D579" i="7"/>
  <c r="C579" i="7"/>
  <c r="B579" i="7"/>
  <c r="A579" i="7"/>
  <c r="E578" i="7"/>
  <c r="D578" i="7"/>
  <c r="C578" i="7"/>
  <c r="A578" i="7"/>
  <c r="B578" i="7" s="1"/>
  <c r="E577" i="7"/>
  <c r="D577" i="7"/>
  <c r="C577" i="7"/>
  <c r="A577" i="7"/>
  <c r="B577" i="7" s="1"/>
  <c r="E576" i="7"/>
  <c r="D576" i="7"/>
  <c r="C576" i="7"/>
  <c r="A576" i="7"/>
  <c r="B576" i="7" s="1"/>
  <c r="E575" i="7"/>
  <c r="D575" i="7"/>
  <c r="C575" i="7"/>
  <c r="B575" i="7"/>
  <c r="A575" i="7"/>
  <c r="E574" i="7"/>
  <c r="D574" i="7"/>
  <c r="C574" i="7"/>
  <c r="B574" i="7"/>
  <c r="A574" i="7"/>
  <c r="E573" i="7"/>
  <c r="D573" i="7"/>
  <c r="C573" i="7"/>
  <c r="B573" i="7"/>
  <c r="A573" i="7"/>
  <c r="E572" i="7"/>
  <c r="D572" i="7"/>
  <c r="C572" i="7"/>
  <c r="A572" i="7"/>
  <c r="B572" i="7" s="1"/>
  <c r="E571" i="7"/>
  <c r="D571" i="7"/>
  <c r="C571" i="7"/>
  <c r="B571" i="7"/>
  <c r="A571" i="7"/>
  <c r="E570" i="7"/>
  <c r="D570" i="7"/>
  <c r="C570" i="7"/>
  <c r="B570" i="7"/>
  <c r="A570" i="7"/>
  <c r="E569" i="7"/>
  <c r="D569" i="7"/>
  <c r="C569" i="7"/>
  <c r="A569" i="7"/>
  <c r="B569" i="7" s="1"/>
  <c r="E568" i="7"/>
  <c r="D568" i="7"/>
  <c r="C568" i="7"/>
  <c r="A568" i="7"/>
  <c r="B568" i="7" s="1"/>
  <c r="E567" i="7"/>
  <c r="D567" i="7"/>
  <c r="C567" i="7"/>
  <c r="B567" i="7"/>
  <c r="A567" i="7"/>
  <c r="E566" i="7"/>
  <c r="D566" i="7"/>
  <c r="C566" i="7"/>
  <c r="B566" i="7"/>
  <c r="A566" i="7"/>
  <c r="E565" i="7"/>
  <c r="D565" i="7"/>
  <c r="C565" i="7"/>
  <c r="B565" i="7"/>
  <c r="A565" i="7"/>
  <c r="E564" i="7"/>
  <c r="D564" i="7"/>
  <c r="C564" i="7"/>
  <c r="A564" i="7"/>
  <c r="B564" i="7" s="1"/>
  <c r="E563" i="7"/>
  <c r="D563" i="7"/>
  <c r="C563" i="7"/>
  <c r="A563" i="7"/>
  <c r="B563" i="7" s="1"/>
  <c r="E562" i="7"/>
  <c r="D562" i="7"/>
  <c r="C562" i="7"/>
  <c r="A562" i="7"/>
  <c r="B562" i="7" s="1"/>
  <c r="E561" i="7"/>
  <c r="D561" i="7"/>
  <c r="C561" i="7"/>
  <c r="A561" i="7"/>
  <c r="B561" i="7" s="1"/>
  <c r="E560" i="7"/>
  <c r="D560" i="7"/>
  <c r="C560" i="7"/>
  <c r="A560" i="7"/>
  <c r="B560" i="7" s="1"/>
  <c r="E559" i="7"/>
  <c r="D559" i="7"/>
  <c r="C559" i="7"/>
  <c r="B559" i="7"/>
  <c r="A559" i="7"/>
  <c r="E558" i="7"/>
  <c r="D558" i="7"/>
  <c r="C558" i="7"/>
  <c r="B558" i="7"/>
  <c r="A558" i="7"/>
  <c r="E557" i="7"/>
  <c r="D557" i="7"/>
  <c r="C557" i="7"/>
  <c r="B557" i="7"/>
  <c r="A557" i="7"/>
  <c r="E556" i="7"/>
  <c r="D556" i="7"/>
  <c r="C556" i="7"/>
  <c r="A556" i="7"/>
  <c r="B556" i="7" s="1"/>
  <c r="E555" i="7"/>
  <c r="D555" i="7"/>
  <c r="C555" i="7"/>
  <c r="B555" i="7"/>
  <c r="A555" i="7"/>
  <c r="E554" i="7"/>
  <c r="D554" i="7"/>
  <c r="C554" i="7"/>
  <c r="A554" i="7"/>
  <c r="B554" i="7" s="1"/>
  <c r="E553" i="7"/>
  <c r="D553" i="7"/>
  <c r="C553" i="7"/>
  <c r="A553" i="7"/>
  <c r="B553" i="7" s="1"/>
  <c r="E552" i="7"/>
  <c r="D552" i="7"/>
  <c r="C552" i="7"/>
  <c r="A552" i="7"/>
  <c r="B552" i="7" s="1"/>
  <c r="E551" i="7"/>
  <c r="D551" i="7"/>
  <c r="C551" i="7"/>
  <c r="A551" i="7"/>
  <c r="B551" i="7" s="1"/>
  <c r="E550" i="7"/>
  <c r="D550" i="7"/>
  <c r="C550" i="7"/>
  <c r="B550" i="7"/>
  <c r="A550" i="7"/>
  <c r="E549" i="7"/>
  <c r="D549" i="7"/>
  <c r="C549" i="7"/>
  <c r="B549" i="7"/>
  <c r="A549" i="7"/>
  <c r="E548" i="7"/>
  <c r="D548" i="7"/>
  <c r="C548" i="7"/>
  <c r="B548" i="7"/>
  <c r="A548" i="7"/>
  <c r="E547" i="7"/>
  <c r="D547" i="7"/>
  <c r="C547" i="7"/>
  <c r="B547" i="7"/>
  <c r="A547" i="7"/>
  <c r="E546" i="7"/>
  <c r="D546" i="7"/>
  <c r="C546" i="7"/>
  <c r="A546" i="7"/>
  <c r="B546" i="7" s="1"/>
  <c r="E545" i="7"/>
  <c r="D545" i="7"/>
  <c r="C545" i="7"/>
  <c r="A545" i="7"/>
  <c r="B545" i="7" s="1"/>
  <c r="E544" i="7"/>
  <c r="D544" i="7"/>
  <c r="C544" i="7"/>
  <c r="A544" i="7"/>
  <c r="B544" i="7" s="1"/>
  <c r="E543" i="7"/>
  <c r="D543" i="7"/>
  <c r="C543" i="7"/>
  <c r="B543" i="7"/>
  <c r="A543" i="7"/>
  <c r="E542" i="7"/>
  <c r="D542" i="7"/>
  <c r="C542" i="7"/>
  <c r="B542" i="7"/>
  <c r="A542" i="7"/>
  <c r="E541" i="7"/>
  <c r="D541" i="7"/>
  <c r="C541" i="7"/>
  <c r="B541" i="7"/>
  <c r="A541" i="7"/>
  <c r="E540" i="7"/>
  <c r="D540" i="7"/>
  <c r="C540" i="7"/>
  <c r="A540" i="7"/>
  <c r="B540" i="7" s="1"/>
  <c r="E539" i="7"/>
  <c r="D539" i="7"/>
  <c r="C539" i="7"/>
  <c r="B539" i="7"/>
  <c r="A539" i="7"/>
  <c r="E538" i="7"/>
  <c r="D538" i="7"/>
  <c r="C538" i="7"/>
  <c r="B538" i="7"/>
  <c r="A538" i="7"/>
  <c r="E537" i="7"/>
  <c r="D537" i="7"/>
  <c r="C537" i="7"/>
  <c r="A537" i="7"/>
  <c r="B537" i="7" s="1"/>
  <c r="E536" i="7"/>
  <c r="D536" i="7"/>
  <c r="C536" i="7"/>
  <c r="A536" i="7"/>
  <c r="B536" i="7" s="1"/>
  <c r="E535" i="7"/>
  <c r="D535" i="7"/>
  <c r="C535" i="7"/>
  <c r="B535" i="7"/>
  <c r="A535" i="7"/>
  <c r="E534" i="7"/>
  <c r="D534" i="7"/>
  <c r="C534" i="7"/>
  <c r="B534" i="7"/>
  <c r="A534" i="7"/>
  <c r="E533" i="7"/>
  <c r="D533" i="7"/>
  <c r="C533" i="7"/>
  <c r="B533" i="7"/>
  <c r="A533" i="7"/>
  <c r="E532" i="7"/>
  <c r="D532" i="7"/>
  <c r="C532" i="7"/>
  <c r="A532" i="7"/>
  <c r="B532" i="7" s="1"/>
  <c r="E531" i="7"/>
  <c r="D531" i="7"/>
  <c r="C531" i="7"/>
  <c r="A531" i="7"/>
  <c r="B531" i="7" s="1"/>
  <c r="E530" i="7"/>
  <c r="D530" i="7"/>
  <c r="C530" i="7"/>
  <c r="A530" i="7"/>
  <c r="B530" i="7" s="1"/>
  <c r="E529" i="7"/>
  <c r="D529" i="7"/>
  <c r="C529" i="7"/>
  <c r="A529" i="7"/>
  <c r="B529" i="7" s="1"/>
  <c r="E528" i="7"/>
  <c r="D528" i="7"/>
  <c r="C528" i="7"/>
  <c r="A528" i="7"/>
  <c r="B528" i="7" s="1"/>
  <c r="E527" i="7"/>
  <c r="D527" i="7"/>
  <c r="C527" i="7"/>
  <c r="B527" i="7"/>
  <c r="A527" i="7"/>
  <c r="E526" i="7"/>
  <c r="D526" i="7"/>
  <c r="C526" i="7"/>
  <c r="B526" i="7"/>
  <c r="A526" i="7"/>
  <c r="E525" i="7"/>
  <c r="D525" i="7"/>
  <c r="C525" i="7"/>
  <c r="B525" i="7"/>
  <c r="A525" i="7"/>
  <c r="E524" i="7"/>
  <c r="D524" i="7"/>
  <c r="C524" i="7"/>
  <c r="A524" i="7"/>
  <c r="B524" i="7" s="1"/>
  <c r="E523" i="7"/>
  <c r="D523" i="7"/>
  <c r="C523" i="7"/>
  <c r="B523" i="7"/>
  <c r="A523" i="7"/>
  <c r="E522" i="7"/>
  <c r="D522" i="7"/>
  <c r="C522" i="7"/>
  <c r="A522" i="7"/>
  <c r="B522" i="7" s="1"/>
  <c r="E521" i="7"/>
  <c r="D521" i="7"/>
  <c r="C521" i="7"/>
  <c r="A521" i="7"/>
  <c r="B521" i="7" s="1"/>
  <c r="E520" i="7"/>
  <c r="D520" i="7"/>
  <c r="C520" i="7"/>
  <c r="A520" i="7"/>
  <c r="B520" i="7" s="1"/>
  <c r="E519" i="7"/>
  <c r="D519" i="7"/>
  <c r="C519" i="7"/>
  <c r="A519" i="7"/>
  <c r="B519" i="7" s="1"/>
  <c r="E518" i="7"/>
  <c r="D518" i="7"/>
  <c r="C518" i="7"/>
  <c r="B518" i="7"/>
  <c r="A518" i="7"/>
  <c r="E517" i="7"/>
  <c r="D517" i="7"/>
  <c r="C517" i="7"/>
  <c r="B517" i="7"/>
  <c r="A517" i="7"/>
  <c r="E516" i="7"/>
  <c r="D516" i="7"/>
  <c r="C516" i="7"/>
  <c r="B516" i="7"/>
  <c r="A516" i="7"/>
  <c r="E515" i="7"/>
  <c r="D515" i="7"/>
  <c r="C515" i="7"/>
  <c r="B515" i="7"/>
  <c r="A515" i="7"/>
  <c r="E514" i="7"/>
  <c r="D514" i="7"/>
  <c r="C514" i="7"/>
  <c r="A514" i="7"/>
  <c r="B514" i="7" s="1"/>
  <c r="E513" i="7"/>
  <c r="D513" i="7"/>
  <c r="C513" i="7"/>
  <c r="A513" i="7"/>
  <c r="B513" i="7" s="1"/>
  <c r="E512" i="7"/>
  <c r="D512" i="7"/>
  <c r="C512" i="7"/>
  <c r="A512" i="7"/>
  <c r="B512" i="7" s="1"/>
  <c r="E511" i="7"/>
  <c r="D511" i="7"/>
  <c r="C511" i="7"/>
  <c r="B511" i="7"/>
  <c r="A511" i="7"/>
  <c r="E510" i="7"/>
  <c r="D510" i="7"/>
  <c r="C510" i="7"/>
  <c r="B510" i="7"/>
  <c r="A510" i="7"/>
  <c r="E509" i="7"/>
  <c r="D509" i="7"/>
  <c r="C509" i="7"/>
  <c r="B509" i="7"/>
  <c r="A509" i="7"/>
  <c r="E508" i="7"/>
  <c r="D508" i="7"/>
  <c r="C508" i="7"/>
  <c r="A508" i="7"/>
  <c r="B508" i="7" s="1"/>
  <c r="E507" i="7"/>
  <c r="D507" i="7"/>
  <c r="C507" i="7"/>
  <c r="B507" i="7"/>
  <c r="A507" i="7"/>
  <c r="E506" i="7"/>
  <c r="D506" i="7"/>
  <c r="C506" i="7"/>
  <c r="B506" i="7"/>
  <c r="A506" i="7"/>
  <c r="E505" i="7"/>
  <c r="D505" i="7"/>
  <c r="C505" i="7"/>
  <c r="A505" i="7"/>
  <c r="B505" i="7" s="1"/>
  <c r="E504" i="7"/>
  <c r="D504" i="7"/>
  <c r="C504" i="7"/>
  <c r="A504" i="7"/>
  <c r="B504" i="7" s="1"/>
  <c r="E503" i="7"/>
  <c r="D503" i="7"/>
  <c r="C503" i="7"/>
  <c r="B503" i="7"/>
  <c r="A503" i="7"/>
  <c r="E502" i="7"/>
  <c r="D502" i="7"/>
  <c r="C502" i="7"/>
  <c r="B502" i="7"/>
  <c r="A502" i="7"/>
  <c r="E501" i="7"/>
  <c r="D501" i="7"/>
  <c r="C501" i="7"/>
  <c r="B501" i="7"/>
  <c r="A501" i="7"/>
  <c r="E500" i="7"/>
  <c r="D500" i="7"/>
  <c r="C500" i="7"/>
  <c r="A500" i="7"/>
  <c r="B500" i="7" s="1"/>
  <c r="E499" i="7"/>
  <c r="D499" i="7"/>
  <c r="C499" i="7"/>
  <c r="A499" i="7"/>
  <c r="B499" i="7" s="1"/>
  <c r="E498" i="7"/>
  <c r="D498" i="7"/>
  <c r="C498" i="7"/>
  <c r="A498" i="7"/>
  <c r="B498" i="7" s="1"/>
  <c r="E497" i="7"/>
  <c r="D497" i="7"/>
  <c r="C497" i="7"/>
  <c r="A497" i="7"/>
  <c r="B497" i="7" s="1"/>
  <c r="E496" i="7"/>
  <c r="D496" i="7"/>
  <c r="C496" i="7"/>
  <c r="A496" i="7"/>
  <c r="B496" i="7" s="1"/>
  <c r="E495" i="7"/>
  <c r="D495" i="7"/>
  <c r="C495" i="7"/>
  <c r="B495" i="7"/>
  <c r="A495" i="7"/>
  <c r="E494" i="7"/>
  <c r="D494" i="7"/>
  <c r="C494" i="7"/>
  <c r="B494" i="7"/>
  <c r="A494" i="7"/>
  <c r="E493" i="7"/>
  <c r="D493" i="7"/>
  <c r="C493" i="7"/>
  <c r="B493" i="7"/>
  <c r="A493" i="7"/>
  <c r="E492" i="7"/>
  <c r="D492" i="7"/>
  <c r="C492" i="7"/>
  <c r="A492" i="7"/>
  <c r="B492" i="7" s="1"/>
  <c r="E491" i="7"/>
  <c r="D491" i="7"/>
  <c r="C491" i="7"/>
  <c r="B491" i="7"/>
  <c r="A491" i="7"/>
  <c r="E490" i="7"/>
  <c r="D490" i="7"/>
  <c r="C490" i="7"/>
  <c r="A490" i="7"/>
  <c r="B490" i="7" s="1"/>
  <c r="E489" i="7"/>
  <c r="D489" i="7"/>
  <c r="C489" i="7"/>
  <c r="A489" i="7"/>
  <c r="B489" i="7" s="1"/>
  <c r="E488" i="7"/>
  <c r="D488" i="7"/>
  <c r="C488" i="7"/>
  <c r="A488" i="7"/>
  <c r="B488" i="7" s="1"/>
  <c r="E487" i="7"/>
  <c r="D487" i="7"/>
  <c r="C487" i="7"/>
  <c r="A487" i="7"/>
  <c r="B487" i="7" s="1"/>
  <c r="E486" i="7"/>
  <c r="D486" i="7"/>
  <c r="C486" i="7"/>
  <c r="B486" i="7"/>
  <c r="A486" i="7"/>
  <c r="E485" i="7"/>
  <c r="D485" i="7"/>
  <c r="C485" i="7"/>
  <c r="B485" i="7"/>
  <c r="A485" i="7"/>
  <c r="E484" i="7"/>
  <c r="D484" i="7"/>
  <c r="C484" i="7"/>
  <c r="B484" i="7"/>
  <c r="A484" i="7"/>
  <c r="E483" i="7"/>
  <c r="D483" i="7"/>
  <c r="C483" i="7"/>
  <c r="B483" i="7"/>
  <c r="A483" i="7"/>
  <c r="E482" i="7"/>
  <c r="D482" i="7"/>
  <c r="C482" i="7"/>
  <c r="A482" i="7"/>
  <c r="B482" i="7" s="1"/>
  <c r="E481" i="7"/>
  <c r="D481" i="7"/>
  <c r="C481" i="7"/>
  <c r="A481" i="7"/>
  <c r="B481" i="7" s="1"/>
  <c r="E480" i="7"/>
  <c r="D480" i="7"/>
  <c r="C480" i="7"/>
  <c r="A480" i="7"/>
  <c r="B480" i="7" s="1"/>
  <c r="E479" i="7"/>
  <c r="D479" i="7"/>
  <c r="C479" i="7"/>
  <c r="B479" i="7"/>
  <c r="A479" i="7"/>
  <c r="E478" i="7"/>
  <c r="D478" i="7"/>
  <c r="C478" i="7"/>
  <c r="B478" i="7"/>
  <c r="A478" i="7"/>
  <c r="E477" i="7"/>
  <c r="D477" i="7"/>
  <c r="C477" i="7"/>
  <c r="B477" i="7"/>
  <c r="A477" i="7"/>
  <c r="E476" i="7"/>
  <c r="D476" i="7"/>
  <c r="C476" i="7"/>
  <c r="A476" i="7"/>
  <c r="B476" i="7" s="1"/>
  <c r="E475" i="7"/>
  <c r="D475" i="7"/>
  <c r="C475" i="7"/>
  <c r="B475" i="7"/>
  <c r="A475" i="7"/>
  <c r="E474" i="7"/>
  <c r="D474" i="7"/>
  <c r="C474" i="7"/>
  <c r="B474" i="7"/>
  <c r="A474" i="7"/>
  <c r="E473" i="7"/>
  <c r="D473" i="7"/>
  <c r="C473" i="7"/>
  <c r="A473" i="7"/>
  <c r="B473" i="7" s="1"/>
  <c r="E472" i="7"/>
  <c r="D472" i="7"/>
  <c r="C472" i="7"/>
  <c r="A472" i="7"/>
  <c r="B472" i="7" s="1"/>
  <c r="E471" i="7"/>
  <c r="D471" i="7"/>
  <c r="C471" i="7"/>
  <c r="B471" i="7"/>
  <c r="A471" i="7"/>
  <c r="E470" i="7"/>
  <c r="D470" i="7"/>
  <c r="C470" i="7"/>
  <c r="B470" i="7"/>
  <c r="A470" i="7"/>
  <c r="E469" i="7"/>
  <c r="D469" i="7"/>
  <c r="C469" i="7"/>
  <c r="B469" i="7"/>
  <c r="A469" i="7"/>
  <c r="E468" i="7"/>
  <c r="D468" i="7"/>
  <c r="C468" i="7"/>
  <c r="A468" i="7"/>
  <c r="B468" i="7" s="1"/>
  <c r="E467" i="7"/>
  <c r="D467" i="7"/>
  <c r="C467" i="7"/>
  <c r="A467" i="7"/>
  <c r="B467" i="7" s="1"/>
  <c r="E466" i="7"/>
  <c r="D466" i="7"/>
  <c r="C466" i="7"/>
  <c r="A466" i="7"/>
  <c r="B466" i="7" s="1"/>
  <c r="E465" i="7"/>
  <c r="D465" i="7"/>
  <c r="C465" i="7"/>
  <c r="A465" i="7"/>
  <c r="B465" i="7" s="1"/>
  <c r="E464" i="7"/>
  <c r="D464" i="7"/>
  <c r="C464" i="7"/>
  <c r="A464" i="7"/>
  <c r="B464" i="7" s="1"/>
  <c r="E463" i="7"/>
  <c r="D463" i="7"/>
  <c r="C463" i="7"/>
  <c r="B463" i="7"/>
  <c r="A463" i="7"/>
  <c r="E462" i="7"/>
  <c r="D462" i="7"/>
  <c r="C462" i="7"/>
  <c r="B462" i="7"/>
  <c r="A462" i="7"/>
  <c r="E461" i="7"/>
  <c r="D461" i="7"/>
  <c r="C461" i="7"/>
  <c r="B461" i="7"/>
  <c r="A461" i="7"/>
  <c r="E460" i="7"/>
  <c r="D460" i="7"/>
  <c r="C460" i="7"/>
  <c r="A460" i="7"/>
  <c r="B460" i="7" s="1"/>
  <c r="E459" i="7"/>
  <c r="D459" i="7"/>
  <c r="C459" i="7"/>
  <c r="B459" i="7"/>
  <c r="A459" i="7"/>
  <c r="E458" i="7"/>
  <c r="D458" i="7"/>
  <c r="C458" i="7"/>
  <c r="A458" i="7"/>
  <c r="B458" i="7" s="1"/>
  <c r="E457" i="7"/>
  <c r="D457" i="7"/>
  <c r="C457" i="7"/>
  <c r="A457" i="7"/>
  <c r="B457" i="7" s="1"/>
  <c r="E456" i="7"/>
  <c r="D456" i="7"/>
  <c r="C456" i="7"/>
  <c r="A456" i="7"/>
  <c r="B456" i="7" s="1"/>
  <c r="E455" i="7"/>
  <c r="D455" i="7"/>
  <c r="C455" i="7"/>
  <c r="A455" i="7"/>
  <c r="B455" i="7" s="1"/>
  <c r="E454" i="7"/>
  <c r="D454" i="7"/>
  <c r="C454" i="7"/>
  <c r="B454" i="7"/>
  <c r="A454" i="7"/>
  <c r="E453" i="7"/>
  <c r="D453" i="7"/>
  <c r="C453" i="7"/>
  <c r="B453" i="7"/>
  <c r="A453" i="7"/>
  <c r="E452" i="7"/>
  <c r="D452" i="7"/>
  <c r="C452" i="7"/>
  <c r="B452" i="7"/>
  <c r="A452" i="7"/>
  <c r="E451" i="7"/>
  <c r="D451" i="7"/>
  <c r="C451" i="7"/>
  <c r="B451" i="7"/>
  <c r="A451" i="7"/>
  <c r="E450" i="7"/>
  <c r="D450" i="7"/>
  <c r="C450" i="7"/>
  <c r="A450" i="7"/>
  <c r="B450" i="7" s="1"/>
  <c r="E449" i="7"/>
  <c r="D449" i="7"/>
  <c r="C449" i="7"/>
  <c r="A449" i="7"/>
  <c r="B449" i="7" s="1"/>
  <c r="E448" i="7"/>
  <c r="D448" i="7"/>
  <c r="C448" i="7"/>
  <c r="A448" i="7"/>
  <c r="B448" i="7" s="1"/>
  <c r="E447" i="7"/>
  <c r="D447" i="7"/>
  <c r="C447" i="7"/>
  <c r="B447" i="7"/>
  <c r="A447" i="7"/>
  <c r="E446" i="7"/>
  <c r="D446" i="7"/>
  <c r="C446" i="7"/>
  <c r="B446" i="7"/>
  <c r="A446" i="7"/>
  <c r="E445" i="7"/>
  <c r="D445" i="7"/>
  <c r="C445" i="7"/>
  <c r="B445" i="7"/>
  <c r="A445" i="7"/>
  <c r="E444" i="7"/>
  <c r="D444" i="7"/>
  <c r="C444" i="7"/>
  <c r="A444" i="7"/>
  <c r="B444" i="7" s="1"/>
  <c r="E443" i="7"/>
  <c r="D443" i="7"/>
  <c r="C443" i="7"/>
  <c r="B443" i="7"/>
  <c r="A443" i="7"/>
  <c r="E442" i="7"/>
  <c r="D442" i="7"/>
  <c r="C442" i="7"/>
  <c r="B442" i="7"/>
  <c r="A442" i="7"/>
  <c r="E441" i="7"/>
  <c r="D441" i="7"/>
  <c r="C441" i="7"/>
  <c r="B441" i="7"/>
  <c r="A441" i="7"/>
  <c r="E440" i="7"/>
  <c r="D440" i="7"/>
  <c r="C440" i="7"/>
  <c r="A440" i="7"/>
  <c r="B440" i="7" s="1"/>
  <c r="E439" i="7"/>
  <c r="D439" i="7"/>
  <c r="C439" i="7"/>
  <c r="A439" i="7"/>
  <c r="B439" i="7" s="1"/>
  <c r="E438" i="7"/>
  <c r="D438" i="7"/>
  <c r="C438" i="7"/>
  <c r="B438" i="7"/>
  <c r="A438" i="7"/>
  <c r="E437" i="7"/>
  <c r="D437" i="7"/>
  <c r="C437" i="7"/>
  <c r="B437" i="7"/>
  <c r="A437" i="7"/>
  <c r="E436" i="7"/>
  <c r="D436" i="7"/>
  <c r="C436" i="7"/>
  <c r="B436" i="7"/>
  <c r="A436" i="7"/>
  <c r="E435" i="7"/>
  <c r="D435" i="7"/>
  <c r="C435" i="7"/>
  <c r="A435" i="7"/>
  <c r="B435" i="7" s="1"/>
  <c r="E434" i="7"/>
  <c r="D434" i="7"/>
  <c r="C434" i="7"/>
  <c r="B434" i="7"/>
  <c r="A434" i="7"/>
  <c r="E433" i="7"/>
  <c r="D433" i="7"/>
  <c r="C433" i="7"/>
  <c r="A433" i="7"/>
  <c r="B433" i="7" s="1"/>
  <c r="E432" i="7"/>
  <c r="D432" i="7"/>
  <c r="C432" i="7"/>
  <c r="A432" i="7"/>
  <c r="B432" i="7" s="1"/>
  <c r="E431" i="7"/>
  <c r="D431" i="7"/>
  <c r="C431" i="7"/>
  <c r="B431" i="7"/>
  <c r="A431" i="7"/>
  <c r="E430" i="7"/>
  <c r="D430" i="7"/>
  <c r="C430" i="7"/>
  <c r="A430" i="7"/>
  <c r="B430" i="7" s="1"/>
  <c r="E429" i="7"/>
  <c r="D429" i="7"/>
  <c r="C429" i="7"/>
  <c r="B429" i="7"/>
  <c r="A429" i="7"/>
  <c r="E428" i="7"/>
  <c r="D428" i="7"/>
  <c r="C428" i="7"/>
  <c r="A428" i="7"/>
  <c r="B428" i="7" s="1"/>
  <c r="E427" i="7"/>
  <c r="D427" i="7"/>
  <c r="C427" i="7"/>
  <c r="A427" i="7"/>
  <c r="B427" i="7" s="1"/>
  <c r="E426" i="7"/>
  <c r="D426" i="7"/>
  <c r="C426" i="7"/>
  <c r="A426" i="7"/>
  <c r="B426" i="7" s="1"/>
  <c r="E425" i="7"/>
  <c r="D425" i="7"/>
  <c r="C425" i="7"/>
  <c r="B425" i="7"/>
  <c r="A425" i="7"/>
  <c r="E424" i="7"/>
  <c r="D424" i="7"/>
  <c r="C424" i="7"/>
  <c r="A424" i="7"/>
  <c r="B424" i="7" s="1"/>
  <c r="E423" i="7"/>
  <c r="D423" i="7"/>
  <c r="C423" i="7"/>
  <c r="A423" i="7"/>
  <c r="B423" i="7" s="1"/>
  <c r="E422" i="7"/>
  <c r="D422" i="7"/>
  <c r="C422" i="7"/>
  <c r="A422" i="7"/>
  <c r="B422" i="7" s="1"/>
  <c r="E421" i="7"/>
  <c r="D421" i="7"/>
  <c r="C421" i="7"/>
  <c r="B421" i="7"/>
  <c r="A421" i="7"/>
  <c r="E420" i="7"/>
  <c r="D420" i="7"/>
  <c r="C420" i="7"/>
  <c r="B420" i="7"/>
  <c r="A420" i="7"/>
  <c r="E419" i="7"/>
  <c r="D419" i="7"/>
  <c r="C419" i="7"/>
  <c r="B419" i="7"/>
  <c r="A419" i="7"/>
  <c r="E418" i="7"/>
  <c r="D418" i="7"/>
  <c r="C418" i="7"/>
  <c r="B418" i="7"/>
  <c r="A418" i="7"/>
  <c r="E417" i="7"/>
  <c r="D417" i="7"/>
  <c r="C417" i="7"/>
  <c r="A417" i="7"/>
  <c r="B417" i="7" s="1"/>
  <c r="E416" i="7"/>
  <c r="D416" i="7"/>
  <c r="C416" i="7"/>
  <c r="A416" i="7"/>
  <c r="B416" i="7" s="1"/>
  <c r="E415" i="7"/>
  <c r="D415" i="7"/>
  <c r="C415" i="7"/>
  <c r="B415" i="7"/>
  <c r="A415" i="7"/>
  <c r="E414" i="7"/>
  <c r="D414" i="7"/>
  <c r="C414" i="7"/>
  <c r="B414" i="7"/>
  <c r="A414" i="7"/>
  <c r="E413" i="7"/>
  <c r="D413" i="7"/>
  <c r="C413" i="7"/>
  <c r="B413" i="7"/>
  <c r="A413" i="7"/>
  <c r="E412" i="7"/>
  <c r="D412" i="7"/>
  <c r="C412" i="7"/>
  <c r="A412" i="7"/>
  <c r="B412" i="7" s="1"/>
  <c r="E411" i="7"/>
  <c r="D411" i="7"/>
  <c r="C411" i="7"/>
  <c r="B411" i="7"/>
  <c r="A411" i="7"/>
  <c r="E410" i="7"/>
  <c r="D410" i="7"/>
  <c r="C410" i="7"/>
  <c r="A410" i="7"/>
  <c r="B410" i="7" s="1"/>
  <c r="E409" i="7"/>
  <c r="D409" i="7"/>
  <c r="C409" i="7"/>
  <c r="A409" i="7"/>
  <c r="B409" i="7" s="1"/>
  <c r="E408" i="7"/>
  <c r="D408" i="7"/>
  <c r="C408" i="7"/>
  <c r="A408" i="7"/>
  <c r="B408" i="7" s="1"/>
  <c r="E407" i="7"/>
  <c r="D407" i="7"/>
  <c r="C407" i="7"/>
  <c r="A407" i="7"/>
  <c r="B407" i="7" s="1"/>
  <c r="E406" i="7"/>
  <c r="D406" i="7"/>
  <c r="C406" i="7"/>
  <c r="B406" i="7"/>
  <c r="A406" i="7"/>
  <c r="E405" i="7"/>
  <c r="D405" i="7"/>
  <c r="C405" i="7"/>
  <c r="B405" i="7"/>
  <c r="A405" i="7"/>
  <c r="E404" i="7"/>
  <c r="D404" i="7"/>
  <c r="C404" i="7"/>
  <c r="A404" i="7"/>
  <c r="B404" i="7" s="1"/>
  <c r="E403" i="7"/>
  <c r="D403" i="7"/>
  <c r="C403" i="7"/>
  <c r="A403" i="7"/>
  <c r="B403" i="7" s="1"/>
  <c r="E402" i="7"/>
  <c r="D402" i="7"/>
  <c r="C402" i="7"/>
  <c r="B402" i="7"/>
  <c r="A402" i="7"/>
  <c r="E401" i="7"/>
  <c r="D401" i="7"/>
  <c r="C401" i="7"/>
  <c r="B401" i="7"/>
  <c r="A401" i="7"/>
  <c r="E400" i="7"/>
  <c r="D400" i="7"/>
  <c r="C400" i="7"/>
  <c r="A400" i="7"/>
  <c r="B400" i="7" s="1"/>
  <c r="E399" i="7"/>
  <c r="D399" i="7"/>
  <c r="C399" i="7"/>
  <c r="A399" i="7"/>
  <c r="B399" i="7" s="1"/>
  <c r="E398" i="7"/>
  <c r="D398" i="7"/>
  <c r="C398" i="7"/>
  <c r="A398" i="7"/>
  <c r="B398" i="7" s="1"/>
  <c r="E397" i="7"/>
  <c r="D397" i="7"/>
  <c r="C397" i="7"/>
  <c r="B397" i="7"/>
  <c r="A397" i="7"/>
  <c r="E396" i="7"/>
  <c r="D396" i="7"/>
  <c r="C396" i="7"/>
  <c r="B396" i="7"/>
  <c r="A396" i="7"/>
  <c r="E395" i="7"/>
  <c r="D395" i="7"/>
  <c r="C395" i="7"/>
  <c r="B395" i="7"/>
  <c r="A395" i="7"/>
  <c r="E394" i="7"/>
  <c r="D394" i="7"/>
  <c r="C394" i="7"/>
  <c r="A394" i="7"/>
  <c r="B394" i="7" s="1"/>
  <c r="E393" i="7"/>
  <c r="D393" i="7"/>
  <c r="C393" i="7"/>
  <c r="B393" i="7"/>
  <c r="A393" i="7"/>
  <c r="E392" i="7"/>
  <c r="D392" i="7"/>
  <c r="C392" i="7"/>
  <c r="A392" i="7"/>
  <c r="B392" i="7" s="1"/>
  <c r="E391" i="7"/>
  <c r="D391" i="7"/>
  <c r="C391" i="7"/>
  <c r="B391" i="7"/>
  <c r="A391" i="7"/>
  <c r="E390" i="7"/>
  <c r="D390" i="7"/>
  <c r="C390" i="7"/>
  <c r="B390" i="7"/>
  <c r="A390" i="7"/>
  <c r="E389" i="7"/>
  <c r="D389" i="7"/>
  <c r="C389" i="7"/>
  <c r="B389" i="7"/>
  <c r="A389" i="7"/>
  <c r="E388" i="7"/>
  <c r="D388" i="7"/>
  <c r="C388" i="7"/>
  <c r="B388" i="7"/>
  <c r="A388" i="7"/>
  <c r="E387" i="7"/>
  <c r="D387" i="7"/>
  <c r="C387" i="7"/>
  <c r="A387" i="7"/>
  <c r="B387" i="7" s="1"/>
  <c r="E386" i="7"/>
  <c r="D386" i="7"/>
  <c r="C386" i="7"/>
  <c r="A386" i="7"/>
  <c r="B386" i="7" s="1"/>
  <c r="E385" i="7"/>
  <c r="D385" i="7"/>
  <c r="C385" i="7"/>
  <c r="A385" i="7"/>
  <c r="B385" i="7" s="1"/>
  <c r="E384" i="7"/>
  <c r="D384" i="7"/>
  <c r="C384" i="7"/>
  <c r="A384" i="7"/>
  <c r="B384" i="7" s="1"/>
  <c r="E383" i="7"/>
  <c r="D383" i="7"/>
  <c r="C383" i="7"/>
  <c r="B383" i="7"/>
  <c r="A383" i="7"/>
  <c r="E382" i="7"/>
  <c r="D382" i="7"/>
  <c r="C382" i="7"/>
  <c r="A382" i="7"/>
  <c r="B382" i="7" s="1"/>
  <c r="E381" i="7"/>
  <c r="D381" i="7"/>
  <c r="C381" i="7"/>
  <c r="B381" i="7"/>
  <c r="A381" i="7"/>
  <c r="E380" i="7"/>
  <c r="D380" i="7"/>
  <c r="C380" i="7"/>
  <c r="A380" i="7"/>
  <c r="B380" i="7" s="1"/>
  <c r="E379" i="7"/>
  <c r="D379" i="7"/>
  <c r="C379" i="7"/>
  <c r="B379" i="7"/>
  <c r="A379" i="7"/>
  <c r="E378" i="7"/>
  <c r="D378" i="7"/>
  <c r="C378" i="7"/>
  <c r="B378" i="7"/>
  <c r="A378" i="7"/>
  <c r="E377" i="7"/>
  <c r="D377" i="7"/>
  <c r="C377" i="7"/>
  <c r="B377" i="7"/>
  <c r="A377" i="7"/>
  <c r="E376" i="7"/>
  <c r="D376" i="7"/>
  <c r="C376" i="7"/>
  <c r="A376" i="7"/>
  <c r="B376" i="7" s="1"/>
  <c r="E375" i="7"/>
  <c r="D375" i="7"/>
  <c r="C375" i="7"/>
  <c r="A375" i="7"/>
  <c r="B375" i="7" s="1"/>
  <c r="E374" i="7"/>
  <c r="D374" i="7"/>
  <c r="C374" i="7"/>
  <c r="B374" i="7"/>
  <c r="A374" i="7"/>
  <c r="E373" i="7"/>
  <c r="D373" i="7"/>
  <c r="C373" i="7"/>
  <c r="B373" i="7"/>
  <c r="A373" i="7"/>
  <c r="E372" i="7"/>
  <c r="D372" i="7"/>
  <c r="C372" i="7"/>
  <c r="B372" i="7"/>
  <c r="A372" i="7"/>
  <c r="E371" i="7"/>
  <c r="D371" i="7"/>
  <c r="C371" i="7"/>
  <c r="A371" i="7"/>
  <c r="B371" i="7" s="1"/>
  <c r="E370" i="7"/>
  <c r="D370" i="7"/>
  <c r="C370" i="7"/>
  <c r="B370" i="7"/>
  <c r="A370" i="7"/>
  <c r="E369" i="7"/>
  <c r="D369" i="7"/>
  <c r="C369" i="7"/>
  <c r="A369" i="7"/>
  <c r="B369" i="7" s="1"/>
  <c r="E368" i="7"/>
  <c r="D368" i="7"/>
  <c r="C368" i="7"/>
  <c r="A368" i="7"/>
  <c r="B368" i="7" s="1"/>
  <c r="E367" i="7"/>
  <c r="D367" i="7"/>
  <c r="C367" i="7"/>
  <c r="B367" i="7"/>
  <c r="A367" i="7"/>
  <c r="E366" i="7"/>
  <c r="D366" i="7"/>
  <c r="C366" i="7"/>
  <c r="A366" i="7"/>
  <c r="B366" i="7" s="1"/>
  <c r="E365" i="7"/>
  <c r="D365" i="7"/>
  <c r="C365" i="7"/>
  <c r="B365" i="7"/>
  <c r="A365" i="7"/>
  <c r="E364" i="7"/>
  <c r="D364" i="7"/>
  <c r="C364" i="7"/>
  <c r="A364" i="7"/>
  <c r="B364" i="7" s="1"/>
  <c r="E363" i="7"/>
  <c r="D363" i="7"/>
  <c r="C363" i="7"/>
  <c r="A363" i="7"/>
  <c r="B363" i="7" s="1"/>
  <c r="E362" i="7"/>
  <c r="D362" i="7"/>
  <c r="C362" i="7"/>
  <c r="A362" i="7"/>
  <c r="B362" i="7" s="1"/>
  <c r="E361" i="7"/>
  <c r="D361" i="7"/>
  <c r="C361" i="7"/>
  <c r="B361" i="7"/>
  <c r="A361" i="7"/>
  <c r="E360" i="7"/>
  <c r="D360" i="7"/>
  <c r="C360" i="7"/>
  <c r="A360" i="7"/>
  <c r="B360" i="7" s="1"/>
  <c r="E359" i="7"/>
  <c r="D359" i="7"/>
  <c r="C359" i="7"/>
  <c r="A359" i="7"/>
  <c r="B359" i="7" s="1"/>
  <c r="E358" i="7"/>
  <c r="D358" i="7"/>
  <c r="C358" i="7"/>
  <c r="A358" i="7"/>
  <c r="B358" i="7" s="1"/>
  <c r="E357" i="7"/>
  <c r="D357" i="7"/>
  <c r="C357" i="7"/>
  <c r="B357" i="7"/>
  <c r="A357" i="7"/>
  <c r="E356" i="7"/>
  <c r="D356" i="7"/>
  <c r="C356" i="7"/>
  <c r="B356" i="7"/>
  <c r="A356" i="7"/>
  <c r="E355" i="7"/>
  <c r="D355" i="7"/>
  <c r="C355" i="7"/>
  <c r="B355" i="7"/>
  <c r="A355" i="7"/>
  <c r="E354" i="7"/>
  <c r="D354" i="7"/>
  <c r="C354" i="7"/>
  <c r="B354" i="7"/>
  <c r="A354" i="7"/>
  <c r="E353" i="7"/>
  <c r="D353" i="7"/>
  <c r="C353" i="7"/>
  <c r="A353" i="7"/>
  <c r="B353" i="7" s="1"/>
  <c r="E352" i="7"/>
  <c r="D352" i="7"/>
  <c r="C352" i="7"/>
  <c r="A352" i="7"/>
  <c r="B352" i="7" s="1"/>
  <c r="E351" i="7"/>
  <c r="D351" i="7"/>
  <c r="C351" i="7"/>
  <c r="B351" i="7"/>
  <c r="A351" i="7"/>
  <c r="E350" i="7"/>
  <c r="D350" i="7"/>
  <c r="C350" i="7"/>
  <c r="B350" i="7"/>
  <c r="A350" i="7"/>
  <c r="E349" i="7"/>
  <c r="D349" i="7"/>
  <c r="C349" i="7"/>
  <c r="B349" i="7"/>
  <c r="A349" i="7"/>
  <c r="E348" i="7"/>
  <c r="D348" i="7"/>
  <c r="C348" i="7"/>
  <c r="A348" i="7"/>
  <c r="B348" i="7" s="1"/>
  <c r="E347" i="7"/>
  <c r="D347" i="7"/>
  <c r="C347" i="7"/>
  <c r="B347" i="7"/>
  <c r="A347" i="7"/>
  <c r="E346" i="7"/>
  <c r="D346" i="7"/>
  <c r="C346" i="7"/>
  <c r="A346" i="7"/>
  <c r="B346" i="7" s="1"/>
  <c r="E345" i="7"/>
  <c r="D345" i="7"/>
  <c r="C345" i="7"/>
  <c r="A345" i="7"/>
  <c r="B345" i="7" s="1"/>
  <c r="E344" i="7"/>
  <c r="D344" i="7"/>
  <c r="C344" i="7"/>
  <c r="A344" i="7"/>
  <c r="B344" i="7" s="1"/>
  <c r="E343" i="7"/>
  <c r="D343" i="7"/>
  <c r="C343" i="7"/>
  <c r="A343" i="7"/>
  <c r="B343" i="7" s="1"/>
  <c r="E342" i="7"/>
  <c r="D342" i="7"/>
  <c r="C342" i="7"/>
  <c r="B342" i="7"/>
  <c r="A342" i="7"/>
  <c r="E341" i="7"/>
  <c r="D341" i="7"/>
  <c r="C341" i="7"/>
  <c r="A341" i="7"/>
  <c r="B341" i="7" s="1"/>
  <c r="E340" i="7"/>
  <c r="D340" i="7"/>
  <c r="C340" i="7"/>
  <c r="A340" i="7"/>
  <c r="B340" i="7" s="1"/>
  <c r="E339" i="7"/>
  <c r="D339" i="7"/>
  <c r="C339" i="7"/>
  <c r="A339" i="7"/>
  <c r="B339" i="7" s="1"/>
  <c r="E338" i="7"/>
  <c r="D338" i="7"/>
  <c r="C338" i="7"/>
  <c r="B338" i="7"/>
  <c r="A338" i="7"/>
  <c r="E337" i="7"/>
  <c r="D337" i="7"/>
  <c r="C337" i="7"/>
  <c r="B337" i="7"/>
  <c r="A337" i="7"/>
  <c r="E336" i="7"/>
  <c r="D336" i="7"/>
  <c r="C336" i="7"/>
  <c r="B336" i="7"/>
  <c r="A336" i="7"/>
  <c r="E335" i="7"/>
  <c r="D335" i="7"/>
  <c r="C335" i="7"/>
  <c r="A335" i="7"/>
  <c r="B335" i="7" s="1"/>
  <c r="E334" i="7"/>
  <c r="D334" i="7"/>
  <c r="C334" i="7"/>
  <c r="B334" i="7"/>
  <c r="A334" i="7"/>
  <c r="E333" i="7"/>
  <c r="D333" i="7"/>
  <c r="C333" i="7"/>
  <c r="A333" i="7"/>
  <c r="B333" i="7" s="1"/>
  <c r="E332" i="7"/>
  <c r="D332" i="7"/>
  <c r="C332" i="7"/>
  <c r="A332" i="7"/>
  <c r="B332" i="7" s="1"/>
  <c r="E331" i="7"/>
  <c r="D331" i="7"/>
  <c r="C331" i="7"/>
  <c r="A331" i="7"/>
  <c r="B331" i="7" s="1"/>
  <c r="E330" i="7"/>
  <c r="D330" i="7"/>
  <c r="C330" i="7"/>
  <c r="B330" i="7"/>
  <c r="A330" i="7"/>
  <c r="E329" i="7"/>
  <c r="D329" i="7"/>
  <c r="C329" i="7"/>
  <c r="B329" i="7"/>
  <c r="A329" i="7"/>
  <c r="E328" i="7"/>
  <c r="D328" i="7"/>
  <c r="C328" i="7"/>
  <c r="B328" i="7"/>
  <c r="A328" i="7"/>
  <c r="E327" i="7"/>
  <c r="D327" i="7"/>
  <c r="C327" i="7"/>
  <c r="A327" i="7"/>
  <c r="B327" i="7" s="1"/>
  <c r="E326" i="7"/>
  <c r="D326" i="7"/>
  <c r="C326" i="7"/>
  <c r="B326" i="7"/>
  <c r="A326" i="7"/>
  <c r="E325" i="7"/>
  <c r="D325" i="7"/>
  <c r="C325" i="7"/>
  <c r="A325" i="7"/>
  <c r="B325" i="7" s="1"/>
  <c r="E324" i="7"/>
  <c r="D324" i="7"/>
  <c r="C324" i="7"/>
  <c r="A324" i="7"/>
  <c r="B324" i="7" s="1"/>
  <c r="E323" i="7"/>
  <c r="D323" i="7"/>
  <c r="C323" i="7"/>
  <c r="A323" i="7"/>
  <c r="B323" i="7" s="1"/>
  <c r="E322" i="7"/>
  <c r="D322" i="7"/>
  <c r="C322" i="7"/>
  <c r="B322" i="7"/>
  <c r="A322" i="7"/>
  <c r="E321" i="7"/>
  <c r="D321" i="7"/>
  <c r="C321" i="7"/>
  <c r="B321" i="7"/>
  <c r="A321" i="7"/>
  <c r="E320" i="7"/>
  <c r="D320" i="7"/>
  <c r="C320" i="7"/>
  <c r="B320" i="7"/>
  <c r="A320" i="7"/>
  <c r="E319" i="7"/>
  <c r="D319" i="7"/>
  <c r="C319" i="7"/>
  <c r="A319" i="7"/>
  <c r="B319" i="7" s="1"/>
  <c r="E318" i="7"/>
  <c r="D318" i="7"/>
  <c r="C318" i="7"/>
  <c r="B318" i="7"/>
  <c r="A318" i="7"/>
  <c r="E317" i="7"/>
  <c r="D317" i="7"/>
  <c r="C317" i="7"/>
  <c r="A317" i="7"/>
  <c r="B317" i="7" s="1"/>
  <c r="E316" i="7"/>
  <c r="D316" i="7"/>
  <c r="C316" i="7"/>
  <c r="A316" i="7"/>
  <c r="B316" i="7" s="1"/>
  <c r="E315" i="7"/>
  <c r="D315" i="7"/>
  <c r="C315" i="7"/>
  <c r="A315" i="7"/>
  <c r="B315" i="7" s="1"/>
  <c r="E314" i="7"/>
  <c r="D314" i="7"/>
  <c r="C314" i="7"/>
  <c r="B314" i="7"/>
  <c r="A314" i="7"/>
  <c r="E313" i="7"/>
  <c r="D313" i="7"/>
  <c r="C313" i="7"/>
  <c r="B313" i="7"/>
  <c r="A313" i="7"/>
  <c r="E312" i="7"/>
  <c r="D312" i="7"/>
  <c r="C312" i="7"/>
  <c r="B312" i="7"/>
  <c r="A312" i="7"/>
  <c r="E311" i="7"/>
  <c r="D311" i="7"/>
  <c r="C311" i="7"/>
  <c r="A311" i="7"/>
  <c r="B311" i="7" s="1"/>
  <c r="E310" i="7"/>
  <c r="D310" i="7"/>
  <c r="C310" i="7"/>
  <c r="B310" i="7"/>
  <c r="A310" i="7"/>
  <c r="E309" i="7"/>
  <c r="D309" i="7"/>
  <c r="C309" i="7"/>
  <c r="A309" i="7"/>
  <c r="B309" i="7" s="1"/>
  <c r="E308" i="7"/>
  <c r="D308" i="7"/>
  <c r="C308" i="7"/>
  <c r="A308" i="7"/>
  <c r="B308" i="7" s="1"/>
  <c r="E307" i="7"/>
  <c r="D307" i="7"/>
  <c r="C307" i="7"/>
  <c r="A307" i="7"/>
  <c r="B307" i="7" s="1"/>
  <c r="E306" i="7"/>
  <c r="D306" i="7"/>
  <c r="C306" i="7"/>
  <c r="B306" i="7"/>
  <c r="A306" i="7"/>
  <c r="E305" i="7"/>
  <c r="D305" i="7"/>
  <c r="C305" i="7"/>
  <c r="B305" i="7"/>
  <c r="A305" i="7"/>
  <c r="E304" i="7"/>
  <c r="D304" i="7"/>
  <c r="C304" i="7"/>
  <c r="B304" i="7"/>
  <c r="A304" i="7"/>
  <c r="E303" i="7"/>
  <c r="D303" i="7"/>
  <c r="C303" i="7"/>
  <c r="A303" i="7"/>
  <c r="B303" i="7" s="1"/>
  <c r="E302" i="7"/>
  <c r="D302" i="7"/>
  <c r="C302" i="7"/>
  <c r="B302" i="7"/>
  <c r="A302" i="7"/>
  <c r="E301" i="7"/>
  <c r="D301" i="7"/>
  <c r="C301" i="7"/>
  <c r="A301" i="7"/>
  <c r="B301" i="7" s="1"/>
  <c r="E300" i="7"/>
  <c r="D300" i="7"/>
  <c r="C300" i="7"/>
  <c r="A300" i="7"/>
  <c r="B300" i="7" s="1"/>
  <c r="E299" i="7"/>
  <c r="D299" i="7"/>
  <c r="C299" i="7"/>
  <c r="A299" i="7"/>
  <c r="B299" i="7" s="1"/>
  <c r="E298" i="7"/>
  <c r="D298" i="7"/>
  <c r="C298" i="7"/>
  <c r="B298" i="7"/>
  <c r="A298" i="7"/>
  <c r="E297" i="7"/>
  <c r="D297" i="7"/>
  <c r="C297" i="7"/>
  <c r="B297" i="7"/>
  <c r="A297" i="7"/>
  <c r="E296" i="7"/>
  <c r="D296" i="7"/>
  <c r="C296" i="7"/>
  <c r="B296" i="7"/>
  <c r="A296" i="7"/>
  <c r="E295" i="7"/>
  <c r="D295" i="7"/>
  <c r="C295" i="7"/>
  <c r="A295" i="7"/>
  <c r="B295" i="7" s="1"/>
  <c r="E294" i="7"/>
  <c r="D294" i="7"/>
  <c r="C294" i="7"/>
  <c r="B294" i="7"/>
  <c r="A294" i="7"/>
  <c r="E293" i="7"/>
  <c r="D293" i="7"/>
  <c r="C293" i="7"/>
  <c r="A293" i="7"/>
  <c r="B293" i="7" s="1"/>
  <c r="E292" i="7"/>
  <c r="D292" i="7"/>
  <c r="C292" i="7"/>
  <c r="A292" i="7"/>
  <c r="B292" i="7" s="1"/>
  <c r="E291" i="7"/>
  <c r="D291" i="7"/>
  <c r="C291" i="7"/>
  <c r="A291" i="7"/>
  <c r="B291" i="7" s="1"/>
  <c r="E290" i="7"/>
  <c r="D290" i="7"/>
  <c r="C290" i="7"/>
  <c r="B290" i="7"/>
  <c r="A290" i="7"/>
  <c r="E289" i="7"/>
  <c r="D289" i="7"/>
  <c r="C289" i="7"/>
  <c r="B289" i="7"/>
  <c r="A289" i="7"/>
  <c r="E288" i="7"/>
  <c r="D288" i="7"/>
  <c r="C288" i="7"/>
  <c r="B288" i="7"/>
  <c r="A288" i="7"/>
  <c r="E287" i="7"/>
  <c r="D287" i="7"/>
  <c r="C287" i="7"/>
  <c r="A287" i="7"/>
  <c r="B287" i="7" s="1"/>
  <c r="E286" i="7"/>
  <c r="D286" i="7"/>
  <c r="C286" i="7"/>
  <c r="B286" i="7"/>
  <c r="A286" i="7"/>
  <c r="E285" i="7"/>
  <c r="D285" i="7"/>
  <c r="C285" i="7"/>
  <c r="A285" i="7"/>
  <c r="B285" i="7" s="1"/>
  <c r="E284" i="7"/>
  <c r="D284" i="7"/>
  <c r="C284" i="7"/>
  <c r="A284" i="7"/>
  <c r="B284" i="7" s="1"/>
  <c r="E283" i="7"/>
  <c r="D283" i="7"/>
  <c r="C283" i="7"/>
  <c r="A283" i="7"/>
  <c r="B283" i="7" s="1"/>
  <c r="E282" i="7"/>
  <c r="D282" i="7"/>
  <c r="C282" i="7"/>
  <c r="B282" i="7"/>
  <c r="A282" i="7"/>
  <c r="E281" i="7"/>
  <c r="D281" i="7"/>
  <c r="C281" i="7"/>
  <c r="B281" i="7"/>
  <c r="A281" i="7"/>
  <c r="E280" i="7"/>
  <c r="D280" i="7"/>
  <c r="C280" i="7"/>
  <c r="B280" i="7"/>
  <c r="A280" i="7"/>
  <c r="E279" i="7"/>
  <c r="D279" i="7"/>
  <c r="C279" i="7"/>
  <c r="A279" i="7"/>
  <c r="B279" i="7" s="1"/>
  <c r="E278" i="7"/>
  <c r="D278" i="7"/>
  <c r="C278" i="7"/>
  <c r="B278" i="7"/>
  <c r="A278" i="7"/>
  <c r="E277" i="7"/>
  <c r="D277" i="7"/>
  <c r="C277" i="7"/>
  <c r="A277" i="7"/>
  <c r="B277" i="7" s="1"/>
  <c r="E276" i="7"/>
  <c r="D276" i="7"/>
  <c r="C276" i="7"/>
  <c r="A276" i="7"/>
  <c r="B276" i="7" s="1"/>
  <c r="E275" i="7"/>
  <c r="D275" i="7"/>
  <c r="C275" i="7"/>
  <c r="A275" i="7"/>
  <c r="B275" i="7" s="1"/>
  <c r="E274" i="7"/>
  <c r="D274" i="7"/>
  <c r="C274" i="7"/>
  <c r="B274" i="7"/>
  <c r="A274" i="7"/>
  <c r="E273" i="7"/>
  <c r="D273" i="7"/>
  <c r="C273" i="7"/>
  <c r="B273" i="7"/>
  <c r="A273" i="7"/>
  <c r="E272" i="7"/>
  <c r="D272" i="7"/>
  <c r="C272" i="7"/>
  <c r="B272" i="7"/>
  <c r="A272" i="7"/>
  <c r="E271" i="7"/>
  <c r="D271" i="7"/>
  <c r="C271" i="7"/>
  <c r="A271" i="7"/>
  <c r="B271" i="7" s="1"/>
  <c r="E270" i="7"/>
  <c r="D270" i="7"/>
  <c r="C270" i="7"/>
  <c r="B270" i="7"/>
  <c r="A270" i="7"/>
  <c r="E269" i="7"/>
  <c r="D269" i="7"/>
  <c r="C269" i="7"/>
  <c r="A269" i="7"/>
  <c r="B269" i="7" s="1"/>
  <c r="E268" i="7"/>
  <c r="D268" i="7"/>
  <c r="C268" i="7"/>
  <c r="A268" i="7"/>
  <c r="B268" i="7" s="1"/>
  <c r="E267" i="7"/>
  <c r="D267" i="7"/>
  <c r="C267" i="7"/>
  <c r="A267" i="7"/>
  <c r="B267" i="7" s="1"/>
  <c r="E266" i="7"/>
  <c r="D266" i="7"/>
  <c r="C266" i="7"/>
  <c r="B266" i="7"/>
  <c r="A266" i="7"/>
  <c r="E265" i="7"/>
  <c r="D265" i="7"/>
  <c r="C265" i="7"/>
  <c r="B265" i="7"/>
  <c r="A265" i="7"/>
  <c r="E264" i="7"/>
  <c r="D264" i="7"/>
  <c r="C264" i="7"/>
  <c r="B264" i="7"/>
  <c r="A264" i="7"/>
  <c r="E263" i="7"/>
  <c r="D263" i="7"/>
  <c r="C263" i="7"/>
  <c r="A263" i="7"/>
  <c r="B263" i="7" s="1"/>
  <c r="E262" i="7"/>
  <c r="D262" i="7"/>
  <c r="C262" i="7"/>
  <c r="B262" i="7"/>
  <c r="A262" i="7"/>
  <c r="E261" i="7"/>
  <c r="D261" i="7"/>
  <c r="C261" i="7"/>
  <c r="A261" i="7"/>
  <c r="B261" i="7" s="1"/>
  <c r="E260" i="7"/>
  <c r="D260" i="7"/>
  <c r="C260" i="7"/>
  <c r="A260" i="7"/>
  <c r="B260" i="7" s="1"/>
  <c r="E259" i="7"/>
  <c r="D259" i="7"/>
  <c r="C259" i="7"/>
  <c r="A259" i="7"/>
  <c r="B259" i="7" s="1"/>
  <c r="E258" i="7"/>
  <c r="D258" i="7"/>
  <c r="C258" i="7"/>
  <c r="B258" i="7"/>
  <c r="A258" i="7"/>
  <c r="E257" i="7"/>
  <c r="D257" i="7"/>
  <c r="C257" i="7"/>
  <c r="B257" i="7"/>
  <c r="A257" i="7"/>
  <c r="E256" i="7"/>
  <c r="D256" i="7"/>
  <c r="C256" i="7"/>
  <c r="B256" i="7"/>
  <c r="A256" i="7"/>
  <c r="E255" i="7"/>
  <c r="D255" i="7"/>
  <c r="C255" i="7"/>
  <c r="A255" i="7"/>
  <c r="B255" i="7" s="1"/>
  <c r="E254" i="7"/>
  <c r="D254" i="7"/>
  <c r="C254" i="7"/>
  <c r="B254" i="7"/>
  <c r="A254" i="7"/>
  <c r="E253" i="7"/>
  <c r="D253" i="7"/>
  <c r="C253" i="7"/>
  <c r="A253" i="7"/>
  <c r="B253" i="7" s="1"/>
  <c r="E252" i="7"/>
  <c r="D252" i="7"/>
  <c r="C252" i="7"/>
  <c r="A252" i="7"/>
  <c r="B252" i="7" s="1"/>
  <c r="E251" i="7"/>
  <c r="D251" i="7"/>
  <c r="C251" i="7"/>
  <c r="A251" i="7"/>
  <c r="B251" i="7" s="1"/>
  <c r="E250" i="7"/>
  <c r="D250" i="7"/>
  <c r="C250" i="7"/>
  <c r="B250" i="7"/>
  <c r="A250" i="7"/>
  <c r="E249" i="7"/>
  <c r="D249" i="7"/>
  <c r="C249" i="7"/>
  <c r="B249" i="7"/>
  <c r="A249" i="7"/>
  <c r="E248" i="7"/>
  <c r="D248" i="7"/>
  <c r="C248" i="7"/>
  <c r="B248" i="7"/>
  <c r="A248" i="7"/>
  <c r="E247" i="7"/>
  <c r="D247" i="7"/>
  <c r="C247" i="7"/>
  <c r="A247" i="7"/>
  <c r="B247" i="7" s="1"/>
  <c r="E246" i="7"/>
  <c r="D246" i="7"/>
  <c r="C246" i="7"/>
  <c r="B246" i="7"/>
  <c r="A246" i="7"/>
  <c r="E245" i="7"/>
  <c r="D245" i="7"/>
  <c r="C245" i="7"/>
  <c r="A245" i="7"/>
  <c r="B245" i="7" s="1"/>
  <c r="E244" i="7"/>
  <c r="D244" i="7"/>
  <c r="C244" i="7"/>
  <c r="A244" i="7"/>
  <c r="B244" i="7" s="1"/>
  <c r="E243" i="7"/>
  <c r="D243" i="7"/>
  <c r="C243" i="7"/>
  <c r="A243" i="7"/>
  <c r="B243" i="7" s="1"/>
  <c r="E242" i="7"/>
  <c r="D242" i="7"/>
  <c r="C242" i="7"/>
  <c r="B242" i="7"/>
  <c r="A242" i="7"/>
  <c r="E241" i="7"/>
  <c r="D241" i="7"/>
  <c r="C241" i="7"/>
  <c r="B241" i="7"/>
  <c r="A241" i="7"/>
  <c r="E240" i="7"/>
  <c r="D240" i="7"/>
  <c r="C240" i="7"/>
  <c r="B240" i="7"/>
  <c r="A240" i="7"/>
  <c r="E239" i="7"/>
  <c r="D239" i="7"/>
  <c r="C239" i="7"/>
  <c r="A239" i="7"/>
  <c r="B239" i="7" s="1"/>
  <c r="E238" i="7"/>
  <c r="D238" i="7"/>
  <c r="C238" i="7"/>
  <c r="B238" i="7"/>
  <c r="A238" i="7"/>
  <c r="E237" i="7"/>
  <c r="D237" i="7"/>
  <c r="C237" i="7"/>
  <c r="A237" i="7"/>
  <c r="B237" i="7" s="1"/>
  <c r="E236" i="7"/>
  <c r="D236" i="7"/>
  <c r="C236" i="7"/>
  <c r="A236" i="7"/>
  <c r="B236" i="7" s="1"/>
  <c r="E235" i="7"/>
  <c r="D235" i="7"/>
  <c r="C235" i="7"/>
  <c r="A235" i="7"/>
  <c r="B235" i="7" s="1"/>
  <c r="E234" i="7"/>
  <c r="D234" i="7"/>
  <c r="C234" i="7"/>
  <c r="B234" i="7"/>
  <c r="A234" i="7"/>
  <c r="E233" i="7"/>
  <c r="D233" i="7"/>
  <c r="C233" i="7"/>
  <c r="B233" i="7"/>
  <c r="A233" i="7"/>
  <c r="E232" i="7"/>
  <c r="D232" i="7"/>
  <c r="C232" i="7"/>
  <c r="B232" i="7"/>
  <c r="A232" i="7"/>
  <c r="E231" i="7"/>
  <c r="D231" i="7"/>
  <c r="C231" i="7"/>
  <c r="A231" i="7"/>
  <c r="B231" i="7" s="1"/>
  <c r="E230" i="7"/>
  <c r="D230" i="7"/>
  <c r="C230" i="7"/>
  <c r="B230" i="7"/>
  <c r="A230" i="7"/>
  <c r="E229" i="7"/>
  <c r="D229" i="7"/>
  <c r="C229" i="7"/>
  <c r="A229" i="7"/>
  <c r="B229" i="7" s="1"/>
  <c r="E228" i="7"/>
  <c r="D228" i="7"/>
  <c r="C228" i="7"/>
  <c r="A228" i="7"/>
  <c r="B228" i="7" s="1"/>
  <c r="E227" i="7"/>
  <c r="D227" i="7"/>
  <c r="C227" i="7"/>
  <c r="A227" i="7"/>
  <c r="B227" i="7" s="1"/>
  <c r="E226" i="7"/>
  <c r="D226" i="7"/>
  <c r="C226" i="7"/>
  <c r="B226" i="7"/>
  <c r="A226" i="7"/>
  <c r="E225" i="7"/>
  <c r="D225" i="7"/>
  <c r="C225" i="7"/>
  <c r="B225" i="7"/>
  <c r="A225" i="7"/>
  <c r="E224" i="7"/>
  <c r="D224" i="7"/>
  <c r="C224" i="7"/>
  <c r="B224" i="7"/>
  <c r="A224" i="7"/>
  <c r="E223" i="7"/>
  <c r="D223" i="7"/>
  <c r="C223" i="7"/>
  <c r="A223" i="7"/>
  <c r="B223" i="7" s="1"/>
  <c r="E222" i="7"/>
  <c r="D222" i="7"/>
  <c r="C222" i="7"/>
  <c r="B222" i="7"/>
  <c r="A222" i="7"/>
  <c r="E221" i="7"/>
  <c r="D221" i="7"/>
  <c r="C221" i="7"/>
  <c r="A221" i="7"/>
  <c r="B221" i="7" s="1"/>
  <c r="E220" i="7"/>
  <c r="D220" i="7"/>
  <c r="C220" i="7"/>
  <c r="A220" i="7"/>
  <c r="B220" i="7" s="1"/>
  <c r="E219" i="7"/>
  <c r="D219" i="7"/>
  <c r="C219" i="7"/>
  <c r="A219" i="7"/>
  <c r="B219" i="7" s="1"/>
  <c r="E218" i="7"/>
  <c r="D218" i="7"/>
  <c r="C218" i="7"/>
  <c r="B218" i="7"/>
  <c r="A218" i="7"/>
  <c r="E217" i="7"/>
  <c r="D217" i="7"/>
  <c r="C217" i="7"/>
  <c r="B217" i="7"/>
  <c r="A217" i="7"/>
  <c r="E216" i="7"/>
  <c r="D216" i="7"/>
  <c r="C216" i="7"/>
  <c r="B216" i="7"/>
  <c r="A216" i="7"/>
  <c r="E215" i="7"/>
  <c r="D215" i="7"/>
  <c r="C215" i="7"/>
  <c r="A215" i="7"/>
  <c r="B215" i="7" s="1"/>
  <c r="E214" i="7"/>
  <c r="D214" i="7"/>
  <c r="C214" i="7"/>
  <c r="B214" i="7"/>
  <c r="A214" i="7"/>
  <c r="E213" i="7"/>
  <c r="D213" i="7"/>
  <c r="C213" i="7"/>
  <c r="A213" i="7"/>
  <c r="B213" i="7" s="1"/>
  <c r="E212" i="7"/>
  <c r="D212" i="7"/>
  <c r="C212" i="7"/>
  <c r="A212" i="7"/>
  <c r="B212" i="7" s="1"/>
  <c r="E211" i="7"/>
  <c r="D211" i="7"/>
  <c r="C211" i="7"/>
  <c r="A211" i="7"/>
  <c r="B211" i="7" s="1"/>
  <c r="E210" i="7"/>
  <c r="D210" i="7"/>
  <c r="C210" i="7"/>
  <c r="B210" i="7"/>
  <c r="A210" i="7"/>
  <c r="E209" i="7"/>
  <c r="D209" i="7"/>
  <c r="C209" i="7"/>
  <c r="B209" i="7"/>
  <c r="A209" i="7"/>
  <c r="E208" i="7"/>
  <c r="D208" i="7"/>
  <c r="C208" i="7"/>
  <c r="B208" i="7"/>
  <c r="A208" i="7"/>
  <c r="E207" i="7"/>
  <c r="D207" i="7"/>
  <c r="C207" i="7"/>
  <c r="A207" i="7"/>
  <c r="B207" i="7" s="1"/>
  <c r="E206" i="7"/>
  <c r="D206" i="7"/>
  <c r="C206" i="7"/>
  <c r="B206" i="7"/>
  <c r="A206" i="7"/>
  <c r="E205" i="7"/>
  <c r="D205" i="7"/>
  <c r="C205" i="7"/>
  <c r="A205" i="7"/>
  <c r="B205" i="7" s="1"/>
  <c r="E204" i="7"/>
  <c r="D204" i="7"/>
  <c r="C204" i="7"/>
  <c r="A204" i="7"/>
  <c r="B204" i="7" s="1"/>
  <c r="E203" i="7"/>
  <c r="D203" i="7"/>
  <c r="C203" i="7"/>
  <c r="A203" i="7"/>
  <c r="B203" i="7" s="1"/>
  <c r="E202" i="7"/>
  <c r="D202" i="7"/>
  <c r="C202" i="7"/>
  <c r="B202" i="7"/>
  <c r="A202" i="7"/>
  <c r="E201" i="7"/>
  <c r="D201" i="7"/>
  <c r="C201" i="7"/>
  <c r="B201" i="7"/>
  <c r="A201" i="7"/>
  <c r="E200" i="7"/>
  <c r="D200" i="7"/>
  <c r="C200" i="7"/>
  <c r="B200" i="7"/>
  <c r="A200" i="7"/>
  <c r="E199" i="7"/>
  <c r="D199" i="7"/>
  <c r="C199" i="7"/>
  <c r="A199" i="7"/>
  <c r="B199" i="7" s="1"/>
  <c r="E198" i="7"/>
  <c r="D198" i="7"/>
  <c r="C198" i="7"/>
  <c r="B198" i="7"/>
  <c r="A198" i="7"/>
  <c r="E197" i="7"/>
  <c r="D197" i="7"/>
  <c r="C197" i="7"/>
  <c r="A197" i="7"/>
  <c r="B197" i="7" s="1"/>
  <c r="E196" i="7"/>
  <c r="D196" i="7"/>
  <c r="C196" i="7"/>
  <c r="A196" i="7"/>
  <c r="B196" i="7" s="1"/>
  <c r="E195" i="7"/>
  <c r="D195" i="7"/>
  <c r="C195" i="7"/>
  <c r="A195" i="7"/>
  <c r="B195" i="7" s="1"/>
  <c r="E194" i="7"/>
  <c r="D194" i="7"/>
  <c r="C194" i="7"/>
  <c r="B194" i="7"/>
  <c r="A194" i="7"/>
  <c r="E193" i="7"/>
  <c r="D193" i="7"/>
  <c r="C193" i="7"/>
  <c r="B193" i="7"/>
  <c r="A193" i="7"/>
  <c r="E192" i="7"/>
  <c r="D192" i="7"/>
  <c r="C192" i="7"/>
  <c r="B192" i="7"/>
  <c r="A192" i="7"/>
  <c r="E191" i="7"/>
  <c r="D191" i="7"/>
  <c r="C191" i="7"/>
  <c r="A191" i="7"/>
  <c r="B191" i="7" s="1"/>
  <c r="E190" i="7"/>
  <c r="D190" i="7"/>
  <c r="C190" i="7"/>
  <c r="B190" i="7"/>
  <c r="A190" i="7"/>
  <c r="E189" i="7"/>
  <c r="D189" i="7"/>
  <c r="C189" i="7"/>
  <c r="A189" i="7"/>
  <c r="B189" i="7" s="1"/>
  <c r="E188" i="7"/>
  <c r="D188" i="7"/>
  <c r="C188" i="7"/>
  <c r="A188" i="7"/>
  <c r="B188" i="7" s="1"/>
  <c r="E187" i="7"/>
  <c r="D187" i="7"/>
  <c r="C187" i="7"/>
  <c r="A187" i="7"/>
  <c r="B187" i="7" s="1"/>
  <c r="E186" i="7"/>
  <c r="D186" i="7"/>
  <c r="C186" i="7"/>
  <c r="B186" i="7"/>
  <c r="A186" i="7"/>
  <c r="E185" i="7"/>
  <c r="D185" i="7"/>
  <c r="C185" i="7"/>
  <c r="B185" i="7"/>
  <c r="A185" i="7"/>
  <c r="E184" i="7"/>
  <c r="D184" i="7"/>
  <c r="C184" i="7"/>
  <c r="B184" i="7"/>
  <c r="A184" i="7"/>
  <c r="E183" i="7"/>
  <c r="D183" i="7"/>
  <c r="C183" i="7"/>
  <c r="A183" i="7"/>
  <c r="B183" i="7" s="1"/>
  <c r="E182" i="7"/>
  <c r="D182" i="7"/>
  <c r="C182" i="7"/>
  <c r="B182" i="7"/>
  <c r="A182" i="7"/>
  <c r="E181" i="7"/>
  <c r="D181" i="7"/>
  <c r="C181" i="7"/>
  <c r="A181" i="7"/>
  <c r="B181" i="7" s="1"/>
  <c r="E180" i="7"/>
  <c r="D180" i="7"/>
  <c r="C180" i="7"/>
  <c r="A180" i="7"/>
  <c r="B180" i="7" s="1"/>
  <c r="E179" i="7"/>
  <c r="D179" i="7"/>
  <c r="C179" i="7"/>
  <c r="A179" i="7"/>
  <c r="B179" i="7" s="1"/>
  <c r="E178" i="7"/>
  <c r="D178" i="7"/>
  <c r="C178" i="7"/>
  <c r="B178" i="7"/>
  <c r="A178" i="7"/>
  <c r="E177" i="7"/>
  <c r="D177" i="7"/>
  <c r="C177" i="7"/>
  <c r="B177" i="7"/>
  <c r="A177" i="7"/>
  <c r="E176" i="7"/>
  <c r="D176" i="7"/>
  <c r="C176" i="7"/>
  <c r="B176" i="7"/>
  <c r="A176" i="7"/>
  <c r="E175" i="7"/>
  <c r="D175" i="7"/>
  <c r="C175" i="7"/>
  <c r="A175" i="7"/>
  <c r="B175" i="7" s="1"/>
  <c r="E174" i="7"/>
  <c r="D174" i="7"/>
  <c r="C174" i="7"/>
  <c r="B174" i="7"/>
  <c r="A174" i="7"/>
  <c r="E173" i="7"/>
  <c r="D173" i="7"/>
  <c r="C173" i="7"/>
  <c r="A173" i="7"/>
  <c r="B173" i="7" s="1"/>
  <c r="E172" i="7"/>
  <c r="D172" i="7"/>
  <c r="C172" i="7"/>
  <c r="A172" i="7"/>
  <c r="B172" i="7" s="1"/>
  <c r="E171" i="7"/>
  <c r="D171" i="7"/>
  <c r="C171" i="7"/>
  <c r="A171" i="7"/>
  <c r="B171" i="7" s="1"/>
  <c r="E170" i="7"/>
  <c r="D170" i="7"/>
  <c r="C170" i="7"/>
  <c r="B170" i="7"/>
  <c r="A170" i="7"/>
  <c r="E169" i="7"/>
  <c r="D169" i="7"/>
  <c r="C169" i="7"/>
  <c r="B169" i="7"/>
  <c r="A169" i="7"/>
  <c r="E168" i="7"/>
  <c r="D168" i="7"/>
  <c r="C168" i="7"/>
  <c r="B168" i="7"/>
  <c r="A168" i="7"/>
  <c r="E167" i="7"/>
  <c r="D167" i="7"/>
  <c r="C167" i="7"/>
  <c r="A167" i="7"/>
  <c r="B167" i="7" s="1"/>
  <c r="E166" i="7"/>
  <c r="D166" i="7"/>
  <c r="C166" i="7"/>
  <c r="B166" i="7"/>
  <c r="A166" i="7"/>
  <c r="E165" i="7"/>
  <c r="D165" i="7"/>
  <c r="C165" i="7"/>
  <c r="A165" i="7"/>
  <c r="B165" i="7" s="1"/>
  <c r="E164" i="7"/>
  <c r="D164" i="7"/>
  <c r="C164" i="7"/>
  <c r="A164" i="7"/>
  <c r="B164" i="7" s="1"/>
  <c r="E163" i="7"/>
  <c r="D163" i="7"/>
  <c r="C163" i="7"/>
  <c r="A163" i="7"/>
  <c r="B163" i="7" s="1"/>
  <c r="E162" i="7"/>
  <c r="D162" i="7"/>
  <c r="C162" i="7"/>
  <c r="B162" i="7"/>
  <c r="A162" i="7"/>
  <c r="E161" i="7"/>
  <c r="D161" i="7"/>
  <c r="C161" i="7"/>
  <c r="B161" i="7"/>
  <c r="A161" i="7"/>
  <c r="E160" i="7"/>
  <c r="D160" i="7"/>
  <c r="C160" i="7"/>
  <c r="B160" i="7"/>
  <c r="A160" i="7"/>
  <c r="E159" i="7"/>
  <c r="D159" i="7"/>
  <c r="C159" i="7"/>
  <c r="A159" i="7"/>
  <c r="B159" i="7" s="1"/>
  <c r="E158" i="7"/>
  <c r="D158" i="7"/>
  <c r="C158" i="7"/>
  <c r="B158" i="7"/>
  <c r="A158" i="7"/>
  <c r="E157" i="7"/>
  <c r="D157" i="7"/>
  <c r="C157" i="7"/>
  <c r="A157" i="7"/>
  <c r="B157" i="7" s="1"/>
  <c r="E156" i="7"/>
  <c r="D156" i="7"/>
  <c r="C156" i="7"/>
  <c r="A156" i="7"/>
  <c r="B156" i="7" s="1"/>
  <c r="E155" i="7"/>
  <c r="D155" i="7"/>
  <c r="C155" i="7"/>
  <c r="A155" i="7"/>
  <c r="B155" i="7" s="1"/>
  <c r="E154" i="7"/>
  <c r="D154" i="7"/>
  <c r="C154" i="7"/>
  <c r="B154" i="7"/>
  <c r="A154" i="7"/>
  <c r="E153" i="7"/>
  <c r="D153" i="7"/>
  <c r="C153" i="7"/>
  <c r="B153" i="7"/>
  <c r="A153" i="7"/>
  <c r="E152" i="7"/>
  <c r="D152" i="7"/>
  <c r="C152" i="7"/>
  <c r="B152" i="7"/>
  <c r="A152" i="7"/>
  <c r="E151" i="7"/>
  <c r="D151" i="7"/>
  <c r="C151" i="7"/>
  <c r="A151" i="7"/>
  <c r="B151" i="7" s="1"/>
  <c r="E150" i="7"/>
  <c r="D150" i="7"/>
  <c r="C150" i="7"/>
  <c r="B150" i="7"/>
  <c r="A150" i="7"/>
  <c r="E149" i="7"/>
  <c r="D149" i="7"/>
  <c r="C149" i="7"/>
  <c r="A149" i="7"/>
  <c r="B149" i="7" s="1"/>
  <c r="E148" i="7"/>
  <c r="D148" i="7"/>
  <c r="C148" i="7"/>
  <c r="A148" i="7"/>
  <c r="B148" i="7" s="1"/>
  <c r="E147" i="7"/>
  <c r="D147" i="7"/>
  <c r="C147" i="7"/>
  <c r="A147" i="7"/>
  <c r="B147" i="7" s="1"/>
  <c r="E146" i="7"/>
  <c r="D146" i="7"/>
  <c r="C146" i="7"/>
  <c r="B146" i="7"/>
  <c r="A146" i="7"/>
  <c r="E145" i="7"/>
  <c r="D145" i="7"/>
  <c r="C145" i="7"/>
  <c r="B145" i="7"/>
  <c r="A145" i="7"/>
  <c r="E144" i="7"/>
  <c r="D144" i="7"/>
  <c r="C144" i="7"/>
  <c r="B144" i="7"/>
  <c r="A144" i="7"/>
  <c r="E143" i="7"/>
  <c r="D143" i="7"/>
  <c r="C143" i="7"/>
  <c r="A143" i="7"/>
  <c r="B143" i="7" s="1"/>
  <c r="E142" i="7"/>
  <c r="D142" i="7"/>
  <c r="C142" i="7"/>
  <c r="B142" i="7"/>
  <c r="A142" i="7"/>
  <c r="E141" i="7"/>
  <c r="D141" i="7"/>
  <c r="C141" i="7"/>
  <c r="A141" i="7"/>
  <c r="B141" i="7" s="1"/>
  <c r="E140" i="7"/>
  <c r="D140" i="7"/>
  <c r="C140" i="7"/>
  <c r="A140" i="7"/>
  <c r="B140" i="7" s="1"/>
  <c r="E139" i="7"/>
  <c r="D139" i="7"/>
  <c r="C139" i="7"/>
  <c r="A139" i="7"/>
  <c r="B139" i="7" s="1"/>
  <c r="E138" i="7"/>
  <c r="D138" i="7"/>
  <c r="C138" i="7"/>
  <c r="B138" i="7"/>
  <c r="A138" i="7"/>
  <c r="E137" i="7"/>
  <c r="D137" i="7"/>
  <c r="C137" i="7"/>
  <c r="B137" i="7"/>
  <c r="A137" i="7"/>
  <c r="E136" i="7"/>
  <c r="D136" i="7"/>
  <c r="C136" i="7"/>
  <c r="B136" i="7"/>
  <c r="A136" i="7"/>
  <c r="E135" i="7"/>
  <c r="D135" i="7"/>
  <c r="C135" i="7"/>
  <c r="A135" i="7"/>
  <c r="B135" i="7" s="1"/>
  <c r="E134" i="7"/>
  <c r="D134" i="7"/>
  <c r="C134" i="7"/>
  <c r="B134" i="7"/>
  <c r="A134" i="7"/>
  <c r="E133" i="7"/>
  <c r="D133" i="7"/>
  <c r="C133" i="7"/>
  <c r="A133" i="7"/>
  <c r="B133" i="7" s="1"/>
  <c r="E132" i="7"/>
  <c r="D132" i="7"/>
  <c r="C132" i="7"/>
  <c r="A132" i="7"/>
  <c r="B132" i="7" s="1"/>
  <c r="E131" i="7"/>
  <c r="D131" i="7"/>
  <c r="C131" i="7"/>
  <c r="A131" i="7"/>
  <c r="B131" i="7" s="1"/>
  <c r="E130" i="7"/>
  <c r="D130" i="7"/>
  <c r="C130" i="7"/>
  <c r="B130" i="7"/>
  <c r="A130" i="7"/>
  <c r="E129" i="7"/>
  <c r="D129" i="7"/>
  <c r="C129" i="7"/>
  <c r="B129" i="7"/>
  <c r="A129" i="7"/>
  <c r="E128" i="7"/>
  <c r="D128" i="7"/>
  <c r="C128" i="7"/>
  <c r="B128" i="7"/>
  <c r="A128" i="7"/>
  <c r="E127" i="7"/>
  <c r="D127" i="7"/>
  <c r="C127" i="7"/>
  <c r="A127" i="7"/>
  <c r="B127" i="7" s="1"/>
  <c r="E126" i="7"/>
  <c r="D126" i="7"/>
  <c r="C126" i="7"/>
  <c r="B126" i="7"/>
  <c r="A126" i="7"/>
  <c r="E125" i="7"/>
  <c r="D125" i="7"/>
  <c r="C125" i="7"/>
  <c r="A125" i="7"/>
  <c r="B125" i="7" s="1"/>
  <c r="E124" i="7"/>
  <c r="D124" i="7"/>
  <c r="C124" i="7"/>
  <c r="A124" i="7"/>
  <c r="B124" i="7" s="1"/>
  <c r="E123" i="7"/>
  <c r="D123" i="7"/>
  <c r="C123" i="7"/>
  <c r="A123" i="7"/>
  <c r="B123" i="7" s="1"/>
  <c r="E122" i="7"/>
  <c r="D122" i="7"/>
  <c r="C122" i="7"/>
  <c r="B122" i="7"/>
  <c r="A122" i="7"/>
  <c r="E121" i="7"/>
  <c r="D121" i="7"/>
  <c r="C121" i="7"/>
  <c r="B121" i="7"/>
  <c r="A121" i="7"/>
  <c r="E120" i="7"/>
  <c r="D120" i="7"/>
  <c r="C120" i="7"/>
  <c r="B120" i="7"/>
  <c r="A120" i="7"/>
  <c r="E119" i="7"/>
  <c r="D119" i="7"/>
  <c r="C119" i="7"/>
  <c r="A119" i="7"/>
  <c r="B119" i="7" s="1"/>
  <c r="E118" i="7"/>
  <c r="D118" i="7"/>
  <c r="C118" i="7"/>
  <c r="B118" i="7"/>
  <c r="A118" i="7"/>
  <c r="E117" i="7"/>
  <c r="D117" i="7"/>
  <c r="C117" i="7"/>
  <c r="A117" i="7"/>
  <c r="B117" i="7" s="1"/>
  <c r="E116" i="7"/>
  <c r="D116" i="7"/>
  <c r="C116" i="7"/>
  <c r="A116" i="7"/>
  <c r="B116" i="7" s="1"/>
  <c r="E115" i="7"/>
  <c r="D115" i="7"/>
  <c r="C115" i="7"/>
  <c r="A115" i="7"/>
  <c r="B115" i="7" s="1"/>
  <c r="E114" i="7"/>
  <c r="D114" i="7"/>
  <c r="C114" i="7"/>
  <c r="B114" i="7"/>
  <c r="A114" i="7"/>
  <c r="E113" i="7"/>
  <c r="D113" i="7"/>
  <c r="C113" i="7"/>
  <c r="B113" i="7"/>
  <c r="A113" i="7"/>
  <c r="E112" i="7"/>
  <c r="D112" i="7"/>
  <c r="C112" i="7"/>
  <c r="B112" i="7"/>
  <c r="A112" i="7"/>
  <c r="E111" i="7"/>
  <c r="D111" i="7"/>
  <c r="C111" i="7"/>
  <c r="A111" i="7"/>
  <c r="B111" i="7" s="1"/>
  <c r="E110" i="7"/>
  <c r="D110" i="7"/>
  <c r="C110" i="7"/>
  <c r="B110" i="7"/>
  <c r="A110" i="7"/>
  <c r="E109" i="7"/>
  <c r="D109" i="7"/>
  <c r="C109" i="7"/>
  <c r="A109" i="7"/>
  <c r="B109" i="7" s="1"/>
  <c r="E108" i="7"/>
  <c r="D108" i="7"/>
  <c r="C108" i="7"/>
  <c r="A108" i="7"/>
  <c r="B108" i="7" s="1"/>
  <c r="E107" i="7"/>
  <c r="D107" i="7"/>
  <c r="C107" i="7"/>
  <c r="A107" i="7"/>
  <c r="B107" i="7" s="1"/>
  <c r="E106" i="7"/>
  <c r="D106" i="7"/>
  <c r="C106" i="7"/>
  <c r="B106" i="7"/>
  <c r="A106" i="7"/>
  <c r="E105" i="7"/>
  <c r="D105" i="7"/>
  <c r="C105" i="7"/>
  <c r="B105" i="7"/>
  <c r="A105" i="7"/>
  <c r="E104" i="7"/>
  <c r="D104" i="7"/>
  <c r="C104" i="7"/>
  <c r="B104" i="7"/>
  <c r="A104" i="7"/>
  <c r="E103" i="7"/>
  <c r="D103" i="7"/>
  <c r="C103" i="7"/>
  <c r="A103" i="7"/>
  <c r="B103" i="7" s="1"/>
  <c r="E102" i="7"/>
  <c r="D102" i="7"/>
  <c r="C102" i="7"/>
  <c r="B102" i="7"/>
  <c r="A102" i="7"/>
  <c r="E101" i="7"/>
  <c r="D101" i="7"/>
  <c r="C101" i="7"/>
  <c r="A101" i="7"/>
  <c r="B101" i="7" s="1"/>
  <c r="E100" i="7"/>
  <c r="D100" i="7"/>
  <c r="C100" i="7"/>
  <c r="A100" i="7"/>
  <c r="B100" i="7" s="1"/>
  <c r="E99" i="7"/>
  <c r="D99" i="7"/>
  <c r="C99" i="7"/>
  <c r="A99" i="7"/>
  <c r="B99" i="7" s="1"/>
  <c r="E98" i="7"/>
  <c r="D98" i="7"/>
  <c r="C98" i="7"/>
  <c r="B98" i="7"/>
  <c r="A98" i="7"/>
  <c r="E97" i="7"/>
  <c r="D97" i="7"/>
  <c r="C97" i="7"/>
  <c r="B97" i="7"/>
  <c r="A97" i="7"/>
  <c r="E96" i="7"/>
  <c r="D96" i="7"/>
  <c r="C96" i="7"/>
  <c r="B96" i="7"/>
  <c r="A96" i="7"/>
  <c r="E95" i="7"/>
  <c r="D95" i="7"/>
  <c r="C95" i="7"/>
  <c r="A95" i="7"/>
  <c r="B95" i="7" s="1"/>
  <c r="E94" i="7"/>
  <c r="D94" i="7"/>
  <c r="C94" i="7"/>
  <c r="B94" i="7"/>
  <c r="A94" i="7"/>
  <c r="E93" i="7"/>
  <c r="D93" i="7"/>
  <c r="C93" i="7"/>
  <c r="A93" i="7"/>
  <c r="B93" i="7" s="1"/>
  <c r="E92" i="7"/>
  <c r="D92" i="7"/>
  <c r="C92" i="7"/>
  <c r="A92" i="7"/>
  <c r="B92" i="7" s="1"/>
  <c r="E91" i="7"/>
  <c r="D91" i="7"/>
  <c r="C91" i="7"/>
  <c r="A91" i="7"/>
  <c r="B91" i="7" s="1"/>
  <c r="E90" i="7"/>
  <c r="D90" i="7"/>
  <c r="C90" i="7"/>
  <c r="B90" i="7"/>
  <c r="A90" i="7"/>
  <c r="E89" i="7"/>
  <c r="D89" i="7"/>
  <c r="C89" i="7"/>
  <c r="B89" i="7"/>
  <c r="A89" i="7"/>
  <c r="E88" i="7"/>
  <c r="D88" i="7"/>
  <c r="C88" i="7"/>
  <c r="B88" i="7"/>
  <c r="A88" i="7"/>
  <c r="E87" i="7"/>
  <c r="D87" i="7"/>
  <c r="C87" i="7"/>
  <c r="A87" i="7"/>
  <c r="B87" i="7" s="1"/>
  <c r="E86" i="7"/>
  <c r="D86" i="7"/>
  <c r="C86" i="7"/>
  <c r="B86" i="7"/>
  <c r="A86" i="7"/>
  <c r="E85" i="7"/>
  <c r="D85" i="7"/>
  <c r="C85" i="7"/>
  <c r="A85" i="7"/>
  <c r="B85" i="7" s="1"/>
  <c r="E84" i="7"/>
  <c r="D84" i="7"/>
  <c r="C84" i="7"/>
  <c r="A84" i="7"/>
  <c r="B84" i="7" s="1"/>
  <c r="E83" i="7"/>
  <c r="D83" i="7"/>
  <c r="C83" i="7"/>
  <c r="A83" i="7"/>
  <c r="B83" i="7" s="1"/>
  <c r="E82" i="7"/>
  <c r="D82" i="7"/>
  <c r="C82" i="7"/>
  <c r="B82" i="7"/>
  <c r="A82" i="7"/>
  <c r="E81" i="7"/>
  <c r="D81" i="7"/>
  <c r="C81" i="7"/>
  <c r="B81" i="7"/>
  <c r="A81" i="7"/>
  <c r="E80" i="7"/>
  <c r="D80" i="7"/>
  <c r="C80" i="7"/>
  <c r="B80" i="7"/>
  <c r="A80" i="7"/>
  <c r="E79" i="7"/>
  <c r="D79" i="7"/>
  <c r="C79" i="7"/>
  <c r="A79" i="7"/>
  <c r="B79" i="7" s="1"/>
  <c r="E78" i="7"/>
  <c r="D78" i="7"/>
  <c r="C78" i="7"/>
  <c r="B78" i="7"/>
  <c r="A78" i="7"/>
  <c r="E77" i="7"/>
  <c r="D77" i="7"/>
  <c r="C77" i="7"/>
  <c r="A77" i="7"/>
  <c r="B77" i="7" s="1"/>
  <c r="E76" i="7"/>
  <c r="D76" i="7"/>
  <c r="C76" i="7"/>
  <c r="A76" i="7"/>
  <c r="B76" i="7" s="1"/>
  <c r="E75" i="7"/>
  <c r="D75" i="7"/>
  <c r="C75" i="7"/>
  <c r="A75" i="7"/>
  <c r="B75" i="7" s="1"/>
  <c r="E74" i="7"/>
  <c r="D74" i="7"/>
  <c r="C74" i="7"/>
  <c r="B74" i="7"/>
  <c r="A74" i="7"/>
  <c r="E73" i="7"/>
  <c r="D73" i="7"/>
  <c r="C73" i="7"/>
  <c r="B73" i="7"/>
  <c r="A73" i="7"/>
  <c r="E72" i="7"/>
  <c r="D72" i="7"/>
  <c r="C72" i="7"/>
  <c r="B72" i="7"/>
  <c r="A72" i="7"/>
  <c r="E71" i="7"/>
  <c r="D71" i="7"/>
  <c r="C71" i="7"/>
  <c r="A71" i="7"/>
  <c r="B71" i="7" s="1"/>
  <c r="E70" i="7"/>
  <c r="D70" i="7"/>
  <c r="C70" i="7"/>
  <c r="B70" i="7"/>
  <c r="A70" i="7"/>
  <c r="E69" i="7"/>
  <c r="D69" i="7"/>
  <c r="C69" i="7"/>
  <c r="A69" i="7"/>
  <c r="B69" i="7" s="1"/>
  <c r="E68" i="7"/>
  <c r="D68" i="7"/>
  <c r="C68" i="7"/>
  <c r="A68" i="7"/>
  <c r="B68" i="7" s="1"/>
  <c r="E67" i="7"/>
  <c r="D67" i="7"/>
  <c r="C67" i="7"/>
  <c r="B67" i="7"/>
  <c r="A67" i="7"/>
  <c r="E66" i="7"/>
  <c r="D66" i="7"/>
  <c r="C66" i="7"/>
  <c r="B66" i="7"/>
  <c r="A66" i="7"/>
  <c r="E65" i="7"/>
  <c r="D65" i="7"/>
  <c r="C65" i="7"/>
  <c r="B65" i="7"/>
  <c r="A65" i="7"/>
  <c r="E64" i="7"/>
  <c r="D64" i="7"/>
  <c r="C64" i="7"/>
  <c r="B64" i="7"/>
  <c r="A64" i="7"/>
  <c r="E63" i="7"/>
  <c r="D63" i="7"/>
  <c r="C63" i="7"/>
  <c r="A63" i="7"/>
  <c r="B63" i="7" s="1"/>
  <c r="E62" i="7"/>
  <c r="D62" i="7"/>
  <c r="C62" i="7"/>
  <c r="B62" i="7"/>
  <c r="A62" i="7"/>
  <c r="E61" i="7"/>
  <c r="D61" i="7"/>
  <c r="C61" i="7"/>
  <c r="A61" i="7"/>
  <c r="B61" i="7" s="1"/>
  <c r="E60" i="7"/>
  <c r="D60" i="7"/>
  <c r="C60" i="7"/>
  <c r="A60" i="7"/>
  <c r="B60" i="7" s="1"/>
  <c r="E59" i="7"/>
  <c r="D59" i="7"/>
  <c r="C59" i="7"/>
  <c r="A59" i="7"/>
  <c r="B59" i="7" s="1"/>
  <c r="E58" i="7"/>
  <c r="D58" i="7"/>
  <c r="C58" i="7"/>
  <c r="B58" i="7"/>
  <c r="A58" i="7"/>
  <c r="E57" i="7"/>
  <c r="D57" i="7"/>
  <c r="C57" i="7"/>
  <c r="B57" i="7"/>
  <c r="A57" i="7"/>
  <c r="E56" i="7"/>
  <c r="D56" i="7"/>
  <c r="C56" i="7"/>
  <c r="B56" i="7"/>
  <c r="A56" i="7"/>
  <c r="E55" i="7"/>
  <c r="D55" i="7"/>
  <c r="C55" i="7"/>
  <c r="A55" i="7"/>
  <c r="B55" i="7" s="1"/>
  <c r="E54" i="7"/>
  <c r="D54" i="7"/>
  <c r="C54" i="7"/>
  <c r="B54" i="7"/>
  <c r="A54" i="7"/>
  <c r="E53" i="7"/>
  <c r="D53" i="7"/>
  <c r="C53" i="7"/>
  <c r="A53" i="7"/>
  <c r="B53" i="7" s="1"/>
  <c r="E52" i="7"/>
  <c r="D52" i="7"/>
  <c r="C52" i="7"/>
  <c r="A52" i="7"/>
  <c r="B52" i="7" s="1"/>
  <c r="E51" i="7"/>
  <c r="D51" i="7"/>
  <c r="C51" i="7"/>
  <c r="B51" i="7"/>
  <c r="A51" i="7"/>
  <c r="E50" i="7"/>
  <c r="D50" i="7"/>
  <c r="C50" i="7"/>
  <c r="B50" i="7"/>
  <c r="A50" i="7"/>
  <c r="E49" i="7"/>
  <c r="D49" i="7"/>
  <c r="C49" i="7"/>
  <c r="B49" i="7"/>
  <c r="A49" i="7"/>
  <c r="E48" i="7"/>
  <c r="D48" i="7"/>
  <c r="C48" i="7"/>
  <c r="A48" i="7"/>
  <c r="B48" i="7" s="1"/>
  <c r="E47" i="7"/>
  <c r="D47" i="7"/>
  <c r="C47" i="7"/>
  <c r="A47" i="7"/>
  <c r="B47" i="7" s="1"/>
  <c r="E46" i="7"/>
  <c r="D46" i="7"/>
  <c r="C46" i="7"/>
  <c r="B46" i="7"/>
  <c r="A46" i="7"/>
  <c r="E45" i="7"/>
  <c r="D45" i="7"/>
  <c r="C45" i="7"/>
  <c r="A45" i="7"/>
  <c r="B45" i="7" s="1"/>
  <c r="E44" i="7"/>
  <c r="D44" i="7"/>
  <c r="C44" i="7"/>
  <c r="A44" i="7"/>
  <c r="B44" i="7" s="1"/>
  <c r="E43" i="7"/>
  <c r="D43" i="7"/>
  <c r="C43" i="7"/>
  <c r="B43" i="7"/>
  <c r="A43" i="7"/>
  <c r="E42" i="7"/>
  <c r="D42" i="7"/>
  <c r="C42" i="7"/>
  <c r="B42" i="7"/>
  <c r="A42" i="7"/>
  <c r="E41" i="7"/>
  <c r="D41" i="7"/>
  <c r="C41" i="7"/>
  <c r="B41" i="7"/>
  <c r="A41" i="7"/>
  <c r="E40" i="7"/>
  <c r="D40" i="7"/>
  <c r="C40" i="7"/>
  <c r="A40" i="7"/>
  <c r="B40" i="7" s="1"/>
  <c r="E39" i="7"/>
  <c r="D39" i="7"/>
  <c r="C39" i="7"/>
  <c r="A39" i="7"/>
  <c r="B39" i="7" s="1"/>
  <c r="E38" i="7"/>
  <c r="D38" i="7"/>
  <c r="C38" i="7"/>
  <c r="B38" i="7"/>
  <c r="A38" i="7"/>
  <c r="E37" i="7"/>
  <c r="D37" i="7"/>
  <c r="C37" i="7"/>
  <c r="A37" i="7"/>
  <c r="B37" i="7" s="1"/>
  <c r="E36" i="7"/>
  <c r="D36" i="7"/>
  <c r="C36" i="7"/>
  <c r="A36" i="7"/>
  <c r="B36" i="7" s="1"/>
  <c r="E35" i="7"/>
  <c r="D35" i="7"/>
  <c r="C35" i="7"/>
  <c r="B35" i="7"/>
  <c r="A35" i="7"/>
  <c r="E34" i="7"/>
  <c r="D34" i="7"/>
  <c r="C34" i="7"/>
  <c r="B34" i="7"/>
  <c r="A34" i="7"/>
  <c r="E33" i="7"/>
  <c r="D33" i="7"/>
  <c r="C33" i="7"/>
  <c r="B33" i="7"/>
  <c r="A33" i="7"/>
  <c r="E32" i="7"/>
  <c r="D32" i="7"/>
  <c r="C32" i="7"/>
  <c r="B32" i="7"/>
  <c r="A32" i="7"/>
  <c r="E31" i="7"/>
  <c r="D31" i="7"/>
  <c r="C31" i="7"/>
  <c r="A31" i="7"/>
  <c r="B31" i="7" s="1"/>
  <c r="E30" i="7"/>
  <c r="D30" i="7"/>
  <c r="C30" i="7"/>
  <c r="B30" i="7"/>
  <c r="A30" i="7"/>
  <c r="E29" i="7"/>
  <c r="D29" i="7"/>
  <c r="C29" i="7"/>
  <c r="A29" i="7"/>
  <c r="B29" i="7" s="1"/>
  <c r="E28" i="7"/>
  <c r="D28" i="7"/>
  <c r="C28" i="7"/>
  <c r="A28" i="7"/>
  <c r="B28" i="7" s="1"/>
  <c r="E27" i="7"/>
  <c r="D27" i="7"/>
  <c r="C27" i="7"/>
  <c r="A27" i="7"/>
  <c r="B27" i="7" s="1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A23" i="7"/>
  <c r="B23" i="7" s="1"/>
  <c r="E22" i="7"/>
  <c r="D22" i="7"/>
  <c r="C22" i="7"/>
  <c r="B22" i="7"/>
  <c r="A22" i="7"/>
  <c r="E21" i="7"/>
  <c r="D21" i="7"/>
  <c r="C21" i="7"/>
  <c r="A21" i="7"/>
  <c r="B21" i="7" s="1"/>
  <c r="E20" i="7"/>
  <c r="D20" i="7"/>
  <c r="C20" i="7"/>
  <c r="A20" i="7"/>
  <c r="B20" i="7" s="1"/>
  <c r="E19" i="7"/>
  <c r="D19" i="7"/>
  <c r="C19" i="7"/>
  <c r="A19" i="7"/>
  <c r="B19" i="7" s="1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A16" i="7"/>
  <c r="B16" i="7" s="1"/>
  <c r="E15" i="7"/>
  <c r="D15" i="7"/>
  <c r="C15" i="7"/>
  <c r="A15" i="7"/>
  <c r="B15" i="7" s="1"/>
  <c r="E14" i="7"/>
  <c r="D14" i="7"/>
  <c r="C14" i="7"/>
  <c r="B14" i="7"/>
  <c r="A14" i="7"/>
  <c r="E13" i="7"/>
  <c r="D13" i="7"/>
  <c r="C13" i="7"/>
  <c r="A13" i="7"/>
  <c r="B13" i="7" s="1"/>
  <c r="E12" i="7"/>
  <c r="D12" i="7"/>
  <c r="C12" i="7"/>
  <c r="A12" i="7"/>
  <c r="B12" i="7" s="1"/>
  <c r="E11" i="7"/>
  <c r="D11" i="7"/>
  <c r="C11" i="7"/>
  <c r="B11" i="7"/>
  <c r="A11" i="7"/>
  <c r="N10" i="7"/>
  <c r="E10" i="7"/>
  <c r="D10" i="7"/>
  <c r="C10" i="7"/>
  <c r="A10" i="7"/>
  <c r="B10" i="7" s="1"/>
  <c r="N9" i="7"/>
  <c r="O9" i="7" s="1"/>
  <c r="E9" i="7"/>
  <c r="D9" i="7"/>
  <c r="C9" i="7"/>
  <c r="B9" i="7"/>
  <c r="A9" i="7"/>
  <c r="N8" i="7"/>
  <c r="O8" i="7" s="1"/>
  <c r="E8" i="7"/>
  <c r="D8" i="7"/>
  <c r="C8" i="7"/>
  <c r="A8" i="7"/>
  <c r="B8" i="7" s="1"/>
  <c r="N7" i="7"/>
  <c r="O7" i="7" s="1"/>
  <c r="E7" i="7"/>
  <c r="D7" i="7"/>
  <c r="C7" i="7"/>
  <c r="A7" i="7"/>
  <c r="B7" i="7" s="1"/>
  <c r="N6" i="7"/>
  <c r="E6" i="7"/>
  <c r="D6" i="7"/>
  <c r="C6" i="7"/>
  <c r="B6" i="7"/>
  <c r="A6" i="7"/>
  <c r="E718" i="6"/>
  <c r="D718" i="6"/>
  <c r="C718" i="6"/>
  <c r="A718" i="6"/>
  <c r="B718" i="6" s="1"/>
  <c r="E717" i="6"/>
  <c r="D717" i="6"/>
  <c r="C717" i="6"/>
  <c r="A717" i="6"/>
  <c r="B717" i="6" s="1"/>
  <c r="E716" i="6"/>
  <c r="D716" i="6"/>
  <c r="C716" i="6"/>
  <c r="B716" i="6"/>
  <c r="A716" i="6"/>
  <c r="E715" i="6"/>
  <c r="D715" i="6"/>
  <c r="C715" i="6"/>
  <c r="A715" i="6"/>
  <c r="B715" i="6" s="1"/>
  <c r="E714" i="6"/>
  <c r="D714" i="6"/>
  <c r="C714" i="6"/>
  <c r="A714" i="6"/>
  <c r="B714" i="6" s="1"/>
  <c r="E713" i="6"/>
  <c r="D713" i="6"/>
  <c r="C713" i="6"/>
  <c r="B713" i="6"/>
  <c r="A713" i="6"/>
  <c r="E712" i="6"/>
  <c r="D712" i="6"/>
  <c r="C712" i="6"/>
  <c r="B712" i="6"/>
  <c r="A712" i="6"/>
  <c r="E711" i="6"/>
  <c r="D711" i="6"/>
  <c r="C711" i="6"/>
  <c r="B711" i="6"/>
  <c r="A711" i="6"/>
  <c r="E710" i="6"/>
  <c r="D710" i="6"/>
  <c r="C710" i="6"/>
  <c r="B710" i="6"/>
  <c r="A710" i="6"/>
  <c r="E709" i="6"/>
  <c r="D709" i="6"/>
  <c r="C709" i="6"/>
  <c r="A709" i="6"/>
  <c r="B709" i="6" s="1"/>
  <c r="E708" i="6"/>
  <c r="D708" i="6"/>
  <c r="C708" i="6"/>
  <c r="B708" i="6"/>
  <c r="A708" i="6"/>
  <c r="E707" i="6"/>
  <c r="D707" i="6"/>
  <c r="C707" i="6"/>
  <c r="A707" i="6"/>
  <c r="B707" i="6" s="1"/>
  <c r="E706" i="6"/>
  <c r="D706" i="6"/>
  <c r="C706" i="6"/>
  <c r="A706" i="6"/>
  <c r="B706" i="6" s="1"/>
  <c r="E705" i="6"/>
  <c r="D705" i="6"/>
  <c r="C705" i="6"/>
  <c r="A705" i="6"/>
  <c r="B705" i="6" s="1"/>
  <c r="E704" i="6"/>
  <c r="D704" i="6"/>
  <c r="C704" i="6"/>
  <c r="B704" i="6"/>
  <c r="A704" i="6"/>
  <c r="E703" i="6"/>
  <c r="D703" i="6"/>
  <c r="C703" i="6"/>
  <c r="B703" i="6"/>
  <c r="A703" i="6"/>
  <c r="E702" i="6"/>
  <c r="D702" i="6"/>
  <c r="C702" i="6"/>
  <c r="B702" i="6"/>
  <c r="A702" i="6"/>
  <c r="E701" i="6"/>
  <c r="D701" i="6"/>
  <c r="C701" i="6"/>
  <c r="A701" i="6"/>
  <c r="B701" i="6" s="1"/>
  <c r="E700" i="6"/>
  <c r="D700" i="6"/>
  <c r="C700" i="6"/>
  <c r="B700" i="6"/>
  <c r="A700" i="6"/>
  <c r="E699" i="6"/>
  <c r="D699" i="6"/>
  <c r="C699" i="6"/>
  <c r="A699" i="6"/>
  <c r="B699" i="6" s="1"/>
  <c r="E698" i="6"/>
  <c r="D698" i="6"/>
  <c r="C698" i="6"/>
  <c r="A698" i="6"/>
  <c r="B698" i="6" s="1"/>
  <c r="E697" i="6"/>
  <c r="D697" i="6"/>
  <c r="C697" i="6"/>
  <c r="A697" i="6"/>
  <c r="B697" i="6" s="1"/>
  <c r="E696" i="6"/>
  <c r="D696" i="6"/>
  <c r="C696" i="6"/>
  <c r="B696" i="6"/>
  <c r="A696" i="6"/>
  <c r="E695" i="6"/>
  <c r="D695" i="6"/>
  <c r="C695" i="6"/>
  <c r="B695" i="6"/>
  <c r="A695" i="6"/>
  <c r="E694" i="6"/>
  <c r="D694" i="6"/>
  <c r="C694" i="6"/>
  <c r="A694" i="6"/>
  <c r="B694" i="6" s="1"/>
  <c r="E693" i="6"/>
  <c r="D693" i="6"/>
  <c r="C693" i="6"/>
  <c r="A693" i="6"/>
  <c r="B693" i="6" s="1"/>
  <c r="E692" i="6"/>
  <c r="D692" i="6"/>
  <c r="C692" i="6"/>
  <c r="B692" i="6"/>
  <c r="A692" i="6"/>
  <c r="E691" i="6"/>
  <c r="D691" i="6"/>
  <c r="C691" i="6"/>
  <c r="A691" i="6"/>
  <c r="B691" i="6" s="1"/>
  <c r="E690" i="6"/>
  <c r="D690" i="6"/>
  <c r="C690" i="6"/>
  <c r="A690" i="6"/>
  <c r="B690" i="6" s="1"/>
  <c r="E689" i="6"/>
  <c r="D689" i="6"/>
  <c r="C689" i="6"/>
  <c r="B689" i="6"/>
  <c r="A689" i="6"/>
  <c r="E688" i="6"/>
  <c r="D688" i="6"/>
  <c r="C688" i="6"/>
  <c r="B688" i="6"/>
  <c r="A688" i="6"/>
  <c r="E687" i="6"/>
  <c r="D687" i="6"/>
  <c r="C687" i="6"/>
  <c r="B687" i="6"/>
  <c r="A687" i="6"/>
  <c r="E686" i="6"/>
  <c r="D686" i="6"/>
  <c r="C686" i="6"/>
  <c r="A686" i="6"/>
  <c r="B686" i="6" s="1"/>
  <c r="E685" i="6"/>
  <c r="D685" i="6"/>
  <c r="C685" i="6"/>
  <c r="A685" i="6"/>
  <c r="B685" i="6" s="1"/>
  <c r="E684" i="6"/>
  <c r="D684" i="6"/>
  <c r="C684" i="6"/>
  <c r="B684" i="6"/>
  <c r="A684" i="6"/>
  <c r="E683" i="6"/>
  <c r="D683" i="6"/>
  <c r="C683" i="6"/>
  <c r="A683" i="6"/>
  <c r="B683" i="6" s="1"/>
  <c r="E682" i="6"/>
  <c r="D682" i="6"/>
  <c r="C682" i="6"/>
  <c r="A682" i="6"/>
  <c r="B682" i="6" s="1"/>
  <c r="E681" i="6"/>
  <c r="D681" i="6"/>
  <c r="C681" i="6"/>
  <c r="B681" i="6"/>
  <c r="A681" i="6"/>
  <c r="E680" i="6"/>
  <c r="D680" i="6"/>
  <c r="C680" i="6"/>
  <c r="B680" i="6"/>
  <c r="A680" i="6"/>
  <c r="E679" i="6"/>
  <c r="D679" i="6"/>
  <c r="C679" i="6"/>
  <c r="B679" i="6"/>
  <c r="A679" i="6"/>
  <c r="E678" i="6"/>
  <c r="D678" i="6"/>
  <c r="C678" i="6"/>
  <c r="B678" i="6"/>
  <c r="A678" i="6"/>
  <c r="E677" i="6"/>
  <c r="D677" i="6"/>
  <c r="C677" i="6"/>
  <c r="A677" i="6"/>
  <c r="B677" i="6" s="1"/>
  <c r="E676" i="6"/>
  <c r="D676" i="6"/>
  <c r="C676" i="6"/>
  <c r="B676" i="6"/>
  <c r="A676" i="6"/>
  <c r="E675" i="6"/>
  <c r="D675" i="6"/>
  <c r="C675" i="6"/>
  <c r="A675" i="6"/>
  <c r="B675" i="6" s="1"/>
  <c r="E674" i="6"/>
  <c r="D674" i="6"/>
  <c r="C674" i="6"/>
  <c r="A674" i="6"/>
  <c r="B674" i="6" s="1"/>
  <c r="E673" i="6"/>
  <c r="D673" i="6"/>
  <c r="C673" i="6"/>
  <c r="A673" i="6"/>
  <c r="B673" i="6" s="1"/>
  <c r="E672" i="6"/>
  <c r="D672" i="6"/>
  <c r="C672" i="6"/>
  <c r="B672" i="6"/>
  <c r="A672" i="6"/>
  <c r="E671" i="6"/>
  <c r="D671" i="6"/>
  <c r="C671" i="6"/>
  <c r="B671" i="6"/>
  <c r="A671" i="6"/>
  <c r="E670" i="6"/>
  <c r="D670" i="6"/>
  <c r="C670" i="6"/>
  <c r="B670" i="6"/>
  <c r="A670" i="6"/>
  <c r="E669" i="6"/>
  <c r="D669" i="6"/>
  <c r="C669" i="6"/>
  <c r="A669" i="6"/>
  <c r="B669" i="6" s="1"/>
  <c r="E668" i="6"/>
  <c r="D668" i="6"/>
  <c r="C668" i="6"/>
  <c r="B668" i="6"/>
  <c r="A668" i="6"/>
  <c r="E667" i="6"/>
  <c r="D667" i="6"/>
  <c r="C667" i="6"/>
  <c r="A667" i="6"/>
  <c r="B667" i="6" s="1"/>
  <c r="E666" i="6"/>
  <c r="D666" i="6"/>
  <c r="C666" i="6"/>
  <c r="A666" i="6"/>
  <c r="B666" i="6" s="1"/>
  <c r="E665" i="6"/>
  <c r="D665" i="6"/>
  <c r="C665" i="6"/>
  <c r="A665" i="6"/>
  <c r="B665" i="6" s="1"/>
  <c r="E664" i="6"/>
  <c r="D664" i="6"/>
  <c r="C664" i="6"/>
  <c r="B664" i="6"/>
  <c r="A664" i="6"/>
  <c r="E663" i="6"/>
  <c r="D663" i="6"/>
  <c r="C663" i="6"/>
  <c r="B663" i="6"/>
  <c r="A663" i="6"/>
  <c r="E662" i="6"/>
  <c r="D662" i="6"/>
  <c r="C662" i="6"/>
  <c r="A662" i="6"/>
  <c r="B662" i="6" s="1"/>
  <c r="E661" i="6"/>
  <c r="D661" i="6"/>
  <c r="C661" i="6"/>
  <c r="A661" i="6"/>
  <c r="B661" i="6" s="1"/>
  <c r="E660" i="6"/>
  <c r="D660" i="6"/>
  <c r="C660" i="6"/>
  <c r="B660" i="6"/>
  <c r="A660" i="6"/>
  <c r="E659" i="6"/>
  <c r="D659" i="6"/>
  <c r="C659" i="6"/>
  <c r="A659" i="6"/>
  <c r="B659" i="6" s="1"/>
  <c r="E658" i="6"/>
  <c r="D658" i="6"/>
  <c r="C658" i="6"/>
  <c r="A658" i="6"/>
  <c r="B658" i="6" s="1"/>
  <c r="E657" i="6"/>
  <c r="D657" i="6"/>
  <c r="C657" i="6"/>
  <c r="B657" i="6"/>
  <c r="A657" i="6"/>
  <c r="E656" i="6"/>
  <c r="D656" i="6"/>
  <c r="C656" i="6"/>
  <c r="B656" i="6"/>
  <c r="A656" i="6"/>
  <c r="E655" i="6"/>
  <c r="D655" i="6"/>
  <c r="C655" i="6"/>
  <c r="B655" i="6"/>
  <c r="A655" i="6"/>
  <c r="E654" i="6"/>
  <c r="D654" i="6"/>
  <c r="C654" i="6"/>
  <c r="A654" i="6"/>
  <c r="B654" i="6" s="1"/>
  <c r="E653" i="6"/>
  <c r="D653" i="6"/>
  <c r="C653" i="6"/>
  <c r="A653" i="6"/>
  <c r="B653" i="6" s="1"/>
  <c r="E652" i="6"/>
  <c r="D652" i="6"/>
  <c r="C652" i="6"/>
  <c r="B652" i="6"/>
  <c r="A652" i="6"/>
  <c r="E651" i="6"/>
  <c r="D651" i="6"/>
  <c r="C651" i="6"/>
  <c r="A651" i="6"/>
  <c r="B651" i="6" s="1"/>
  <c r="E650" i="6"/>
  <c r="D650" i="6"/>
  <c r="C650" i="6"/>
  <c r="A650" i="6"/>
  <c r="B650" i="6" s="1"/>
  <c r="E649" i="6"/>
  <c r="D649" i="6"/>
  <c r="C649" i="6"/>
  <c r="B649" i="6"/>
  <c r="A649" i="6"/>
  <c r="E648" i="6"/>
  <c r="D648" i="6"/>
  <c r="C648" i="6"/>
  <c r="B648" i="6"/>
  <c r="A648" i="6"/>
  <c r="E647" i="6"/>
  <c r="D647" i="6"/>
  <c r="C647" i="6"/>
  <c r="B647" i="6"/>
  <c r="A647" i="6"/>
  <c r="E646" i="6"/>
  <c r="D646" i="6"/>
  <c r="C646" i="6"/>
  <c r="B646" i="6"/>
  <c r="A646" i="6"/>
  <c r="E645" i="6"/>
  <c r="D645" i="6"/>
  <c r="C645" i="6"/>
  <c r="A645" i="6"/>
  <c r="B645" i="6" s="1"/>
  <c r="E644" i="6"/>
  <c r="D644" i="6"/>
  <c r="C644" i="6"/>
  <c r="B644" i="6"/>
  <c r="A644" i="6"/>
  <c r="E643" i="6"/>
  <c r="D643" i="6"/>
  <c r="C643" i="6"/>
  <c r="A643" i="6"/>
  <c r="B643" i="6" s="1"/>
  <c r="E642" i="6"/>
  <c r="D642" i="6"/>
  <c r="C642" i="6"/>
  <c r="A642" i="6"/>
  <c r="B642" i="6" s="1"/>
  <c r="E641" i="6"/>
  <c r="D641" i="6"/>
  <c r="C641" i="6"/>
  <c r="A641" i="6"/>
  <c r="B641" i="6" s="1"/>
  <c r="E640" i="6"/>
  <c r="D640" i="6"/>
  <c r="C640" i="6"/>
  <c r="B640" i="6"/>
  <c r="A640" i="6"/>
  <c r="E639" i="6"/>
  <c r="D639" i="6"/>
  <c r="C639" i="6"/>
  <c r="B639" i="6"/>
  <c r="A639" i="6"/>
  <c r="E638" i="6"/>
  <c r="D638" i="6"/>
  <c r="C638" i="6"/>
  <c r="B638" i="6"/>
  <c r="A638" i="6"/>
  <c r="E637" i="6"/>
  <c r="D637" i="6"/>
  <c r="C637" i="6"/>
  <c r="A637" i="6"/>
  <c r="B637" i="6" s="1"/>
  <c r="E636" i="6"/>
  <c r="D636" i="6"/>
  <c r="C636" i="6"/>
  <c r="B636" i="6"/>
  <c r="A636" i="6"/>
  <c r="E635" i="6"/>
  <c r="D635" i="6"/>
  <c r="C635" i="6"/>
  <c r="A635" i="6"/>
  <c r="B635" i="6" s="1"/>
  <c r="E634" i="6"/>
  <c r="D634" i="6"/>
  <c r="C634" i="6"/>
  <c r="A634" i="6"/>
  <c r="B634" i="6" s="1"/>
  <c r="E633" i="6"/>
  <c r="D633" i="6"/>
  <c r="C633" i="6"/>
  <c r="A633" i="6"/>
  <c r="B633" i="6" s="1"/>
  <c r="E632" i="6"/>
  <c r="D632" i="6"/>
  <c r="C632" i="6"/>
  <c r="B632" i="6"/>
  <c r="A632" i="6"/>
  <c r="E631" i="6"/>
  <c r="D631" i="6"/>
  <c r="C631" i="6"/>
  <c r="B631" i="6"/>
  <c r="A631" i="6"/>
  <c r="E630" i="6"/>
  <c r="D630" i="6"/>
  <c r="C630" i="6"/>
  <c r="A630" i="6"/>
  <c r="B630" i="6" s="1"/>
  <c r="E629" i="6"/>
  <c r="D629" i="6"/>
  <c r="C629" i="6"/>
  <c r="A629" i="6"/>
  <c r="B629" i="6" s="1"/>
  <c r="E628" i="6"/>
  <c r="D628" i="6"/>
  <c r="C628" i="6"/>
  <c r="B628" i="6"/>
  <c r="A628" i="6"/>
  <c r="E627" i="6"/>
  <c r="D627" i="6"/>
  <c r="C627" i="6"/>
  <c r="A627" i="6"/>
  <c r="B627" i="6" s="1"/>
  <c r="E626" i="6"/>
  <c r="D626" i="6"/>
  <c r="C626" i="6"/>
  <c r="A626" i="6"/>
  <c r="B626" i="6" s="1"/>
  <c r="E625" i="6"/>
  <c r="D625" i="6"/>
  <c r="C625" i="6"/>
  <c r="B625" i="6"/>
  <c r="A625" i="6"/>
  <c r="E624" i="6"/>
  <c r="D624" i="6"/>
  <c r="C624" i="6"/>
  <c r="B624" i="6"/>
  <c r="A624" i="6"/>
  <c r="E623" i="6"/>
  <c r="D623" i="6"/>
  <c r="C623" i="6"/>
  <c r="B623" i="6"/>
  <c r="A623" i="6"/>
  <c r="E622" i="6"/>
  <c r="D622" i="6"/>
  <c r="C622" i="6"/>
  <c r="A622" i="6"/>
  <c r="B622" i="6" s="1"/>
  <c r="E621" i="6"/>
  <c r="D621" i="6"/>
  <c r="C621" i="6"/>
  <c r="A621" i="6"/>
  <c r="B621" i="6" s="1"/>
  <c r="E620" i="6"/>
  <c r="D620" i="6"/>
  <c r="C620" i="6"/>
  <c r="B620" i="6"/>
  <c r="A620" i="6"/>
  <c r="E619" i="6"/>
  <c r="D619" i="6"/>
  <c r="C619" i="6"/>
  <c r="A619" i="6"/>
  <c r="B619" i="6" s="1"/>
  <c r="E618" i="6"/>
  <c r="D618" i="6"/>
  <c r="C618" i="6"/>
  <c r="A618" i="6"/>
  <c r="B618" i="6" s="1"/>
  <c r="E617" i="6"/>
  <c r="D617" i="6"/>
  <c r="C617" i="6"/>
  <c r="B617" i="6"/>
  <c r="A617" i="6"/>
  <c r="E616" i="6"/>
  <c r="D616" i="6"/>
  <c r="C616" i="6"/>
  <c r="B616" i="6"/>
  <c r="A616" i="6"/>
  <c r="E615" i="6"/>
  <c r="D615" i="6"/>
  <c r="C615" i="6"/>
  <c r="B615" i="6"/>
  <c r="A615" i="6"/>
  <c r="E614" i="6"/>
  <c r="D614" i="6"/>
  <c r="C614" i="6"/>
  <c r="B614" i="6"/>
  <c r="A614" i="6"/>
  <c r="E613" i="6"/>
  <c r="D613" i="6"/>
  <c r="C613" i="6"/>
  <c r="A613" i="6"/>
  <c r="B613" i="6" s="1"/>
  <c r="E612" i="6"/>
  <c r="D612" i="6"/>
  <c r="C612" i="6"/>
  <c r="B612" i="6"/>
  <c r="A612" i="6"/>
  <c r="E611" i="6"/>
  <c r="D611" i="6"/>
  <c r="C611" i="6"/>
  <c r="A611" i="6"/>
  <c r="B611" i="6" s="1"/>
  <c r="E610" i="6"/>
  <c r="D610" i="6"/>
  <c r="C610" i="6"/>
  <c r="A610" i="6"/>
  <c r="B610" i="6" s="1"/>
  <c r="E609" i="6"/>
  <c r="D609" i="6"/>
  <c r="C609" i="6"/>
  <c r="A609" i="6"/>
  <c r="B609" i="6" s="1"/>
  <c r="E608" i="6"/>
  <c r="D608" i="6"/>
  <c r="C608" i="6"/>
  <c r="B608" i="6"/>
  <c r="A608" i="6"/>
  <c r="E607" i="6"/>
  <c r="D607" i="6"/>
  <c r="C607" i="6"/>
  <c r="B607" i="6"/>
  <c r="A607" i="6"/>
  <c r="E606" i="6"/>
  <c r="D606" i="6"/>
  <c r="C606" i="6"/>
  <c r="B606" i="6"/>
  <c r="A606" i="6"/>
  <c r="E605" i="6"/>
  <c r="D605" i="6"/>
  <c r="C605" i="6"/>
  <c r="A605" i="6"/>
  <c r="B605" i="6" s="1"/>
  <c r="E604" i="6"/>
  <c r="D604" i="6"/>
  <c r="C604" i="6"/>
  <c r="B604" i="6"/>
  <c r="A604" i="6"/>
  <c r="E603" i="6"/>
  <c r="D603" i="6"/>
  <c r="C603" i="6"/>
  <c r="A603" i="6"/>
  <c r="B603" i="6" s="1"/>
  <c r="E602" i="6"/>
  <c r="D602" i="6"/>
  <c r="C602" i="6"/>
  <c r="A602" i="6"/>
  <c r="B602" i="6" s="1"/>
  <c r="E601" i="6"/>
  <c r="D601" i="6"/>
  <c r="C601" i="6"/>
  <c r="A601" i="6"/>
  <c r="B601" i="6" s="1"/>
  <c r="E600" i="6"/>
  <c r="D600" i="6"/>
  <c r="C600" i="6"/>
  <c r="B600" i="6"/>
  <c r="A600" i="6"/>
  <c r="E599" i="6"/>
  <c r="D599" i="6"/>
  <c r="C599" i="6"/>
  <c r="B599" i="6"/>
  <c r="A599" i="6"/>
  <c r="E598" i="6"/>
  <c r="D598" i="6"/>
  <c r="C598" i="6"/>
  <c r="A598" i="6"/>
  <c r="B598" i="6" s="1"/>
  <c r="E597" i="6"/>
  <c r="D597" i="6"/>
  <c r="C597" i="6"/>
  <c r="A597" i="6"/>
  <c r="B597" i="6" s="1"/>
  <c r="E596" i="6"/>
  <c r="D596" i="6"/>
  <c r="C596" i="6"/>
  <c r="B596" i="6"/>
  <c r="A596" i="6"/>
  <c r="E595" i="6"/>
  <c r="D595" i="6"/>
  <c r="C595" i="6"/>
  <c r="A595" i="6"/>
  <c r="B595" i="6" s="1"/>
  <c r="E594" i="6"/>
  <c r="D594" i="6"/>
  <c r="C594" i="6"/>
  <c r="A594" i="6"/>
  <c r="B594" i="6" s="1"/>
  <c r="E593" i="6"/>
  <c r="D593" i="6"/>
  <c r="C593" i="6"/>
  <c r="B593" i="6"/>
  <c r="A593" i="6"/>
  <c r="E592" i="6"/>
  <c r="D592" i="6"/>
  <c r="C592" i="6"/>
  <c r="B592" i="6"/>
  <c r="A592" i="6"/>
  <c r="E591" i="6"/>
  <c r="D591" i="6"/>
  <c r="C591" i="6"/>
  <c r="B591" i="6"/>
  <c r="A591" i="6"/>
  <c r="E590" i="6"/>
  <c r="D590" i="6"/>
  <c r="C590" i="6"/>
  <c r="A590" i="6"/>
  <c r="B590" i="6" s="1"/>
  <c r="E589" i="6"/>
  <c r="D589" i="6"/>
  <c r="C589" i="6"/>
  <c r="A589" i="6"/>
  <c r="B589" i="6" s="1"/>
  <c r="E588" i="6"/>
  <c r="D588" i="6"/>
  <c r="C588" i="6"/>
  <c r="B588" i="6"/>
  <c r="A588" i="6"/>
  <c r="E587" i="6"/>
  <c r="D587" i="6"/>
  <c r="C587" i="6"/>
  <c r="A587" i="6"/>
  <c r="B587" i="6" s="1"/>
  <c r="E586" i="6"/>
  <c r="D586" i="6"/>
  <c r="C586" i="6"/>
  <c r="A586" i="6"/>
  <c r="B586" i="6" s="1"/>
  <c r="E585" i="6"/>
  <c r="D585" i="6"/>
  <c r="C585" i="6"/>
  <c r="B585" i="6"/>
  <c r="A585" i="6"/>
  <c r="E584" i="6"/>
  <c r="D584" i="6"/>
  <c r="C584" i="6"/>
  <c r="B584" i="6"/>
  <c r="A584" i="6"/>
  <c r="E583" i="6"/>
  <c r="D583" i="6"/>
  <c r="C583" i="6"/>
  <c r="B583" i="6"/>
  <c r="A583" i="6"/>
  <c r="E582" i="6"/>
  <c r="D582" i="6"/>
  <c r="C582" i="6"/>
  <c r="B582" i="6"/>
  <c r="A582" i="6"/>
  <c r="E581" i="6"/>
  <c r="D581" i="6"/>
  <c r="C581" i="6"/>
  <c r="A581" i="6"/>
  <c r="B581" i="6" s="1"/>
  <c r="E580" i="6"/>
  <c r="D580" i="6"/>
  <c r="C580" i="6"/>
  <c r="B580" i="6"/>
  <c r="A580" i="6"/>
  <c r="E579" i="6"/>
  <c r="D579" i="6"/>
  <c r="C579" i="6"/>
  <c r="A579" i="6"/>
  <c r="B579" i="6" s="1"/>
  <c r="E578" i="6"/>
  <c r="D578" i="6"/>
  <c r="C578" i="6"/>
  <c r="A578" i="6"/>
  <c r="B578" i="6" s="1"/>
  <c r="E577" i="6"/>
  <c r="D577" i="6"/>
  <c r="C577" i="6"/>
  <c r="A577" i="6"/>
  <c r="B577" i="6" s="1"/>
  <c r="E576" i="6"/>
  <c r="D576" i="6"/>
  <c r="C576" i="6"/>
  <c r="B576" i="6"/>
  <c r="A576" i="6"/>
  <c r="E575" i="6"/>
  <c r="D575" i="6"/>
  <c r="C575" i="6"/>
  <c r="B575" i="6"/>
  <c r="A575" i="6"/>
  <c r="E574" i="6"/>
  <c r="D574" i="6"/>
  <c r="C574" i="6"/>
  <c r="B574" i="6"/>
  <c r="A574" i="6"/>
  <c r="E573" i="6"/>
  <c r="D573" i="6"/>
  <c r="C573" i="6"/>
  <c r="A573" i="6"/>
  <c r="B573" i="6" s="1"/>
  <c r="E572" i="6"/>
  <c r="D572" i="6"/>
  <c r="C572" i="6"/>
  <c r="B572" i="6"/>
  <c r="A572" i="6"/>
  <c r="E571" i="6"/>
  <c r="D571" i="6"/>
  <c r="C571" i="6"/>
  <c r="A571" i="6"/>
  <c r="B571" i="6" s="1"/>
  <c r="E570" i="6"/>
  <c r="D570" i="6"/>
  <c r="C570" i="6"/>
  <c r="A570" i="6"/>
  <c r="B570" i="6" s="1"/>
  <c r="E569" i="6"/>
  <c r="D569" i="6"/>
  <c r="C569" i="6"/>
  <c r="A569" i="6"/>
  <c r="B569" i="6" s="1"/>
  <c r="E568" i="6"/>
  <c r="D568" i="6"/>
  <c r="C568" i="6"/>
  <c r="B568" i="6"/>
  <c r="A568" i="6"/>
  <c r="E567" i="6"/>
  <c r="D567" i="6"/>
  <c r="C567" i="6"/>
  <c r="B567" i="6"/>
  <c r="A567" i="6"/>
  <c r="E566" i="6"/>
  <c r="D566" i="6"/>
  <c r="C566" i="6"/>
  <c r="A566" i="6"/>
  <c r="B566" i="6" s="1"/>
  <c r="E565" i="6"/>
  <c r="D565" i="6"/>
  <c r="C565" i="6"/>
  <c r="A565" i="6"/>
  <c r="B565" i="6" s="1"/>
  <c r="E564" i="6"/>
  <c r="D564" i="6"/>
  <c r="C564" i="6"/>
  <c r="B564" i="6"/>
  <c r="A564" i="6"/>
  <c r="E563" i="6"/>
  <c r="D563" i="6"/>
  <c r="C563" i="6"/>
  <c r="A563" i="6"/>
  <c r="B563" i="6" s="1"/>
  <c r="E562" i="6"/>
  <c r="D562" i="6"/>
  <c r="C562" i="6"/>
  <c r="A562" i="6"/>
  <c r="B562" i="6" s="1"/>
  <c r="E561" i="6"/>
  <c r="D561" i="6"/>
  <c r="C561" i="6"/>
  <c r="B561" i="6"/>
  <c r="A561" i="6"/>
  <c r="E560" i="6"/>
  <c r="D560" i="6"/>
  <c r="C560" i="6"/>
  <c r="B560" i="6"/>
  <c r="A560" i="6"/>
  <c r="E559" i="6"/>
  <c r="D559" i="6"/>
  <c r="C559" i="6"/>
  <c r="B559" i="6"/>
  <c r="A559" i="6"/>
  <c r="E558" i="6"/>
  <c r="D558" i="6"/>
  <c r="C558" i="6"/>
  <c r="A558" i="6"/>
  <c r="B558" i="6" s="1"/>
  <c r="E557" i="6"/>
  <c r="D557" i="6"/>
  <c r="C557" i="6"/>
  <c r="A557" i="6"/>
  <c r="B557" i="6" s="1"/>
  <c r="E556" i="6"/>
  <c r="D556" i="6"/>
  <c r="C556" i="6"/>
  <c r="B556" i="6"/>
  <c r="A556" i="6"/>
  <c r="E555" i="6"/>
  <c r="D555" i="6"/>
  <c r="C555" i="6"/>
  <c r="A555" i="6"/>
  <c r="B555" i="6" s="1"/>
  <c r="E554" i="6"/>
  <c r="D554" i="6"/>
  <c r="C554" i="6"/>
  <c r="A554" i="6"/>
  <c r="B554" i="6" s="1"/>
  <c r="E553" i="6"/>
  <c r="D553" i="6"/>
  <c r="C553" i="6"/>
  <c r="B553" i="6"/>
  <c r="A553" i="6"/>
  <c r="E552" i="6"/>
  <c r="D552" i="6"/>
  <c r="C552" i="6"/>
  <c r="B552" i="6"/>
  <c r="A552" i="6"/>
  <c r="E551" i="6"/>
  <c r="D551" i="6"/>
  <c r="C551" i="6"/>
  <c r="B551" i="6"/>
  <c r="A551" i="6"/>
  <c r="E550" i="6"/>
  <c r="D550" i="6"/>
  <c r="C550" i="6"/>
  <c r="B550" i="6"/>
  <c r="A550" i="6"/>
  <c r="E549" i="6"/>
  <c r="D549" i="6"/>
  <c r="C549" i="6"/>
  <c r="A549" i="6"/>
  <c r="B549" i="6" s="1"/>
  <c r="E548" i="6"/>
  <c r="D548" i="6"/>
  <c r="C548" i="6"/>
  <c r="B548" i="6"/>
  <c r="A548" i="6"/>
  <c r="E547" i="6"/>
  <c r="D547" i="6"/>
  <c r="C547" i="6"/>
  <c r="A547" i="6"/>
  <c r="B547" i="6" s="1"/>
  <c r="E546" i="6"/>
  <c r="D546" i="6"/>
  <c r="C546" i="6"/>
  <c r="A546" i="6"/>
  <c r="B546" i="6" s="1"/>
  <c r="E545" i="6"/>
  <c r="D545" i="6"/>
  <c r="C545" i="6"/>
  <c r="A545" i="6"/>
  <c r="B545" i="6" s="1"/>
  <c r="E544" i="6"/>
  <c r="D544" i="6"/>
  <c r="C544" i="6"/>
  <c r="B544" i="6"/>
  <c r="A544" i="6"/>
  <c r="E543" i="6"/>
  <c r="D543" i="6"/>
  <c r="C543" i="6"/>
  <c r="B543" i="6"/>
  <c r="A543" i="6"/>
  <c r="E542" i="6"/>
  <c r="D542" i="6"/>
  <c r="C542" i="6"/>
  <c r="B542" i="6"/>
  <c r="A542" i="6"/>
  <c r="E541" i="6"/>
  <c r="D541" i="6"/>
  <c r="C541" i="6"/>
  <c r="A541" i="6"/>
  <c r="B541" i="6" s="1"/>
  <c r="E540" i="6"/>
  <c r="D540" i="6"/>
  <c r="C540" i="6"/>
  <c r="B540" i="6"/>
  <c r="A540" i="6"/>
  <c r="E539" i="6"/>
  <c r="D539" i="6"/>
  <c r="C539" i="6"/>
  <c r="A539" i="6"/>
  <c r="B539" i="6" s="1"/>
  <c r="E538" i="6"/>
  <c r="D538" i="6"/>
  <c r="C538" i="6"/>
  <c r="A538" i="6"/>
  <c r="B538" i="6" s="1"/>
  <c r="E537" i="6"/>
  <c r="D537" i="6"/>
  <c r="C537" i="6"/>
  <c r="A537" i="6"/>
  <c r="B537" i="6" s="1"/>
  <c r="E536" i="6"/>
  <c r="D536" i="6"/>
  <c r="C536" i="6"/>
  <c r="B536" i="6"/>
  <c r="A536" i="6"/>
  <c r="E535" i="6"/>
  <c r="D535" i="6"/>
  <c r="C535" i="6"/>
  <c r="B535" i="6"/>
  <c r="A535" i="6"/>
  <c r="E534" i="6"/>
  <c r="D534" i="6"/>
  <c r="C534" i="6"/>
  <c r="A534" i="6"/>
  <c r="B534" i="6" s="1"/>
  <c r="E533" i="6"/>
  <c r="D533" i="6"/>
  <c r="C533" i="6"/>
  <c r="A533" i="6"/>
  <c r="B533" i="6" s="1"/>
  <c r="E532" i="6"/>
  <c r="D532" i="6"/>
  <c r="C532" i="6"/>
  <c r="B532" i="6"/>
  <c r="A532" i="6"/>
  <c r="E531" i="6"/>
  <c r="D531" i="6"/>
  <c r="C531" i="6"/>
  <c r="A531" i="6"/>
  <c r="B531" i="6" s="1"/>
  <c r="E530" i="6"/>
  <c r="D530" i="6"/>
  <c r="C530" i="6"/>
  <c r="A530" i="6"/>
  <c r="B530" i="6" s="1"/>
  <c r="E529" i="6"/>
  <c r="D529" i="6"/>
  <c r="C529" i="6"/>
  <c r="B529" i="6"/>
  <c r="A529" i="6"/>
  <c r="E528" i="6"/>
  <c r="D528" i="6"/>
  <c r="C528" i="6"/>
  <c r="B528" i="6"/>
  <c r="A528" i="6"/>
  <c r="E527" i="6"/>
  <c r="D527" i="6"/>
  <c r="C527" i="6"/>
  <c r="B527" i="6"/>
  <c r="A527" i="6"/>
  <c r="E526" i="6"/>
  <c r="D526" i="6"/>
  <c r="C526" i="6"/>
  <c r="A526" i="6"/>
  <c r="B526" i="6" s="1"/>
  <c r="E525" i="6"/>
  <c r="D525" i="6"/>
  <c r="C525" i="6"/>
  <c r="A525" i="6"/>
  <c r="B525" i="6" s="1"/>
  <c r="E524" i="6"/>
  <c r="D524" i="6"/>
  <c r="C524" i="6"/>
  <c r="B524" i="6"/>
  <c r="A524" i="6"/>
  <c r="E523" i="6"/>
  <c r="D523" i="6"/>
  <c r="C523" i="6"/>
  <c r="A523" i="6"/>
  <c r="B523" i="6" s="1"/>
  <c r="E522" i="6"/>
  <c r="D522" i="6"/>
  <c r="C522" i="6"/>
  <c r="A522" i="6"/>
  <c r="B522" i="6" s="1"/>
  <c r="E521" i="6"/>
  <c r="D521" i="6"/>
  <c r="C521" i="6"/>
  <c r="B521" i="6"/>
  <c r="A521" i="6"/>
  <c r="E520" i="6"/>
  <c r="D520" i="6"/>
  <c r="C520" i="6"/>
  <c r="B520" i="6"/>
  <c r="A520" i="6"/>
  <c r="E519" i="6"/>
  <c r="D519" i="6"/>
  <c r="C519" i="6"/>
  <c r="B519" i="6"/>
  <c r="A519" i="6"/>
  <c r="E518" i="6"/>
  <c r="D518" i="6"/>
  <c r="C518" i="6"/>
  <c r="B518" i="6"/>
  <c r="A518" i="6"/>
  <c r="E517" i="6"/>
  <c r="D517" i="6"/>
  <c r="C517" i="6"/>
  <c r="A517" i="6"/>
  <c r="B517" i="6" s="1"/>
  <c r="E516" i="6"/>
  <c r="D516" i="6"/>
  <c r="C516" i="6"/>
  <c r="B516" i="6"/>
  <c r="A516" i="6"/>
  <c r="E515" i="6"/>
  <c r="D515" i="6"/>
  <c r="C515" i="6"/>
  <c r="A515" i="6"/>
  <c r="B515" i="6" s="1"/>
  <c r="E514" i="6"/>
  <c r="D514" i="6"/>
  <c r="C514" i="6"/>
  <c r="A514" i="6"/>
  <c r="B514" i="6" s="1"/>
  <c r="E513" i="6"/>
  <c r="D513" i="6"/>
  <c r="C513" i="6"/>
  <c r="A513" i="6"/>
  <c r="B513" i="6" s="1"/>
  <c r="E512" i="6"/>
  <c r="D512" i="6"/>
  <c r="C512" i="6"/>
  <c r="B512" i="6"/>
  <c r="A512" i="6"/>
  <c r="E511" i="6"/>
  <c r="D511" i="6"/>
  <c r="C511" i="6"/>
  <c r="B511" i="6"/>
  <c r="A511" i="6"/>
  <c r="E510" i="6"/>
  <c r="D510" i="6"/>
  <c r="C510" i="6"/>
  <c r="B510" i="6"/>
  <c r="A510" i="6"/>
  <c r="E509" i="6"/>
  <c r="D509" i="6"/>
  <c r="C509" i="6"/>
  <c r="A509" i="6"/>
  <c r="B509" i="6" s="1"/>
  <c r="E508" i="6"/>
  <c r="D508" i="6"/>
  <c r="C508" i="6"/>
  <c r="B508" i="6"/>
  <c r="A508" i="6"/>
  <c r="E507" i="6"/>
  <c r="D507" i="6"/>
  <c r="C507" i="6"/>
  <c r="A507" i="6"/>
  <c r="B507" i="6" s="1"/>
  <c r="E506" i="6"/>
  <c r="D506" i="6"/>
  <c r="C506" i="6"/>
  <c r="A506" i="6"/>
  <c r="B506" i="6" s="1"/>
  <c r="E505" i="6"/>
  <c r="D505" i="6"/>
  <c r="C505" i="6"/>
  <c r="A505" i="6"/>
  <c r="B505" i="6" s="1"/>
  <c r="E504" i="6"/>
  <c r="D504" i="6"/>
  <c r="C504" i="6"/>
  <c r="B504" i="6"/>
  <c r="A504" i="6"/>
  <c r="E503" i="6"/>
  <c r="D503" i="6"/>
  <c r="C503" i="6"/>
  <c r="B503" i="6"/>
  <c r="A503" i="6"/>
  <c r="E502" i="6"/>
  <c r="D502" i="6"/>
  <c r="C502" i="6"/>
  <c r="A502" i="6"/>
  <c r="B502" i="6" s="1"/>
  <c r="E501" i="6"/>
  <c r="D501" i="6"/>
  <c r="C501" i="6"/>
  <c r="A501" i="6"/>
  <c r="B501" i="6" s="1"/>
  <c r="E500" i="6"/>
  <c r="D500" i="6"/>
  <c r="C500" i="6"/>
  <c r="B500" i="6"/>
  <c r="A500" i="6"/>
  <c r="E499" i="6"/>
  <c r="D499" i="6"/>
  <c r="C499" i="6"/>
  <c r="A499" i="6"/>
  <c r="B499" i="6" s="1"/>
  <c r="E498" i="6"/>
  <c r="D498" i="6"/>
  <c r="C498" i="6"/>
  <c r="A498" i="6"/>
  <c r="B498" i="6" s="1"/>
  <c r="E497" i="6"/>
  <c r="D497" i="6"/>
  <c r="C497" i="6"/>
  <c r="B497" i="6"/>
  <c r="A497" i="6"/>
  <c r="E496" i="6"/>
  <c r="D496" i="6"/>
  <c r="C496" i="6"/>
  <c r="B496" i="6"/>
  <c r="A496" i="6"/>
  <c r="E495" i="6"/>
  <c r="D495" i="6"/>
  <c r="C495" i="6"/>
  <c r="B495" i="6"/>
  <c r="A495" i="6"/>
  <c r="E494" i="6"/>
  <c r="D494" i="6"/>
  <c r="C494" i="6"/>
  <c r="A494" i="6"/>
  <c r="B494" i="6" s="1"/>
  <c r="E493" i="6"/>
  <c r="D493" i="6"/>
  <c r="C493" i="6"/>
  <c r="A493" i="6"/>
  <c r="B493" i="6" s="1"/>
  <c r="E492" i="6"/>
  <c r="D492" i="6"/>
  <c r="C492" i="6"/>
  <c r="B492" i="6"/>
  <c r="A492" i="6"/>
  <c r="E491" i="6"/>
  <c r="D491" i="6"/>
  <c r="C491" i="6"/>
  <c r="A491" i="6"/>
  <c r="B491" i="6" s="1"/>
  <c r="E490" i="6"/>
  <c r="D490" i="6"/>
  <c r="C490" i="6"/>
  <c r="A490" i="6"/>
  <c r="B490" i="6" s="1"/>
  <c r="E489" i="6"/>
  <c r="D489" i="6"/>
  <c r="C489" i="6"/>
  <c r="B489" i="6"/>
  <c r="A489" i="6"/>
  <c r="E488" i="6"/>
  <c r="D488" i="6"/>
  <c r="C488" i="6"/>
  <c r="B488" i="6"/>
  <c r="A488" i="6"/>
  <c r="E487" i="6"/>
  <c r="D487" i="6"/>
  <c r="C487" i="6"/>
  <c r="B487" i="6"/>
  <c r="A487" i="6"/>
  <c r="E486" i="6"/>
  <c r="D486" i="6"/>
  <c r="C486" i="6"/>
  <c r="B486" i="6"/>
  <c r="A486" i="6"/>
  <c r="E485" i="6"/>
  <c r="D485" i="6"/>
  <c r="C485" i="6"/>
  <c r="A485" i="6"/>
  <c r="B485" i="6" s="1"/>
  <c r="E484" i="6"/>
  <c r="D484" i="6"/>
  <c r="C484" i="6"/>
  <c r="B484" i="6"/>
  <c r="A484" i="6"/>
  <c r="E483" i="6"/>
  <c r="D483" i="6"/>
  <c r="C483" i="6"/>
  <c r="A483" i="6"/>
  <c r="B483" i="6" s="1"/>
  <c r="E482" i="6"/>
  <c r="D482" i="6"/>
  <c r="C482" i="6"/>
  <c r="A482" i="6"/>
  <c r="B482" i="6" s="1"/>
  <c r="E481" i="6"/>
  <c r="D481" i="6"/>
  <c r="C481" i="6"/>
  <c r="A481" i="6"/>
  <c r="B481" i="6" s="1"/>
  <c r="E480" i="6"/>
  <c r="D480" i="6"/>
  <c r="C480" i="6"/>
  <c r="B480" i="6"/>
  <c r="A480" i="6"/>
  <c r="E479" i="6"/>
  <c r="D479" i="6"/>
  <c r="C479" i="6"/>
  <c r="A479" i="6"/>
  <c r="B479" i="6" s="1"/>
  <c r="E478" i="6"/>
  <c r="D478" i="6"/>
  <c r="C478" i="6"/>
  <c r="B478" i="6"/>
  <c r="A478" i="6"/>
  <c r="E477" i="6"/>
  <c r="D477" i="6"/>
  <c r="C477" i="6"/>
  <c r="A477" i="6"/>
  <c r="B477" i="6" s="1"/>
  <c r="E476" i="6"/>
  <c r="D476" i="6"/>
  <c r="C476" i="6"/>
  <c r="B476" i="6"/>
  <c r="A476" i="6"/>
  <c r="E475" i="6"/>
  <c r="D475" i="6"/>
  <c r="C475" i="6"/>
  <c r="A475" i="6"/>
  <c r="B475" i="6" s="1"/>
  <c r="E474" i="6"/>
  <c r="D474" i="6"/>
  <c r="C474" i="6"/>
  <c r="A474" i="6"/>
  <c r="B474" i="6" s="1"/>
  <c r="E473" i="6"/>
  <c r="D473" i="6"/>
  <c r="C473" i="6"/>
  <c r="A473" i="6"/>
  <c r="B473" i="6" s="1"/>
  <c r="E472" i="6"/>
  <c r="D472" i="6"/>
  <c r="C472" i="6"/>
  <c r="B472" i="6"/>
  <c r="A472" i="6"/>
  <c r="E471" i="6"/>
  <c r="D471" i="6"/>
  <c r="C471" i="6"/>
  <c r="A471" i="6"/>
  <c r="B471" i="6" s="1"/>
  <c r="E470" i="6"/>
  <c r="D470" i="6"/>
  <c r="C470" i="6"/>
  <c r="B470" i="6"/>
  <c r="A470" i="6"/>
  <c r="E469" i="6"/>
  <c r="D469" i="6"/>
  <c r="C469" i="6"/>
  <c r="A469" i="6"/>
  <c r="B469" i="6" s="1"/>
  <c r="E468" i="6"/>
  <c r="D468" i="6"/>
  <c r="C468" i="6"/>
  <c r="B468" i="6"/>
  <c r="A468" i="6"/>
  <c r="E467" i="6"/>
  <c r="D467" i="6"/>
  <c r="C467" i="6"/>
  <c r="A467" i="6"/>
  <c r="B467" i="6" s="1"/>
  <c r="E466" i="6"/>
  <c r="D466" i="6"/>
  <c r="C466" i="6"/>
  <c r="A466" i="6"/>
  <c r="B466" i="6" s="1"/>
  <c r="E465" i="6"/>
  <c r="D465" i="6"/>
  <c r="C465" i="6"/>
  <c r="A465" i="6"/>
  <c r="B465" i="6" s="1"/>
  <c r="E464" i="6"/>
  <c r="D464" i="6"/>
  <c r="C464" i="6"/>
  <c r="B464" i="6"/>
  <c r="A464" i="6"/>
  <c r="E463" i="6"/>
  <c r="D463" i="6"/>
  <c r="C463" i="6"/>
  <c r="A463" i="6"/>
  <c r="B463" i="6" s="1"/>
  <c r="E462" i="6"/>
  <c r="D462" i="6"/>
  <c r="C462" i="6"/>
  <c r="B462" i="6"/>
  <c r="A462" i="6"/>
  <c r="E461" i="6"/>
  <c r="D461" i="6"/>
  <c r="C461" i="6"/>
  <c r="A461" i="6"/>
  <c r="B461" i="6" s="1"/>
  <c r="E460" i="6"/>
  <c r="D460" i="6"/>
  <c r="C460" i="6"/>
  <c r="B460" i="6"/>
  <c r="A460" i="6"/>
  <c r="E459" i="6"/>
  <c r="D459" i="6"/>
  <c r="C459" i="6"/>
  <c r="A459" i="6"/>
  <c r="B459" i="6" s="1"/>
  <c r="E458" i="6"/>
  <c r="D458" i="6"/>
  <c r="C458" i="6"/>
  <c r="A458" i="6"/>
  <c r="B458" i="6" s="1"/>
  <c r="E457" i="6"/>
  <c r="D457" i="6"/>
  <c r="C457" i="6"/>
  <c r="A457" i="6"/>
  <c r="B457" i="6" s="1"/>
  <c r="E456" i="6"/>
  <c r="D456" i="6"/>
  <c r="C456" i="6"/>
  <c r="B456" i="6"/>
  <c r="A456" i="6"/>
  <c r="E455" i="6"/>
  <c r="D455" i="6"/>
  <c r="C455" i="6"/>
  <c r="A455" i="6"/>
  <c r="B455" i="6" s="1"/>
  <c r="E454" i="6"/>
  <c r="D454" i="6"/>
  <c r="C454" i="6"/>
  <c r="B454" i="6"/>
  <c r="A454" i="6"/>
  <c r="E453" i="6"/>
  <c r="D453" i="6"/>
  <c r="C453" i="6"/>
  <c r="A453" i="6"/>
  <c r="B453" i="6" s="1"/>
  <c r="E452" i="6"/>
  <c r="D452" i="6"/>
  <c r="C452" i="6"/>
  <c r="B452" i="6"/>
  <c r="A452" i="6"/>
  <c r="E451" i="6"/>
  <c r="D451" i="6"/>
  <c r="C451" i="6"/>
  <c r="A451" i="6"/>
  <c r="B451" i="6" s="1"/>
  <c r="E450" i="6"/>
  <c r="D450" i="6"/>
  <c r="C450" i="6"/>
  <c r="A450" i="6"/>
  <c r="B450" i="6" s="1"/>
  <c r="E449" i="6"/>
  <c r="D449" i="6"/>
  <c r="C449" i="6"/>
  <c r="A449" i="6"/>
  <c r="B449" i="6" s="1"/>
  <c r="E448" i="6"/>
  <c r="D448" i="6"/>
  <c r="C448" i="6"/>
  <c r="B448" i="6"/>
  <c r="A448" i="6"/>
  <c r="E447" i="6"/>
  <c r="D447" i="6"/>
  <c r="C447" i="6"/>
  <c r="A447" i="6"/>
  <c r="B447" i="6" s="1"/>
  <c r="E446" i="6"/>
  <c r="D446" i="6"/>
  <c r="C446" i="6"/>
  <c r="B446" i="6"/>
  <c r="A446" i="6"/>
  <c r="E445" i="6"/>
  <c r="D445" i="6"/>
  <c r="C445" i="6"/>
  <c r="A445" i="6"/>
  <c r="B445" i="6" s="1"/>
  <c r="E444" i="6"/>
  <c r="D444" i="6"/>
  <c r="C444" i="6"/>
  <c r="B444" i="6"/>
  <c r="A444" i="6"/>
  <c r="E443" i="6"/>
  <c r="D443" i="6"/>
  <c r="C443" i="6"/>
  <c r="A443" i="6"/>
  <c r="B443" i="6" s="1"/>
  <c r="E442" i="6"/>
  <c r="D442" i="6"/>
  <c r="C442" i="6"/>
  <c r="A442" i="6"/>
  <c r="B442" i="6" s="1"/>
  <c r="E441" i="6"/>
  <c r="D441" i="6"/>
  <c r="C441" i="6"/>
  <c r="A441" i="6"/>
  <c r="B441" i="6" s="1"/>
  <c r="E440" i="6"/>
  <c r="D440" i="6"/>
  <c r="C440" i="6"/>
  <c r="B440" i="6"/>
  <c r="A440" i="6"/>
  <c r="E439" i="6"/>
  <c r="D439" i="6"/>
  <c r="C439" i="6"/>
  <c r="A439" i="6"/>
  <c r="B439" i="6" s="1"/>
  <c r="E438" i="6"/>
  <c r="D438" i="6"/>
  <c r="C438" i="6"/>
  <c r="B438" i="6"/>
  <c r="A438" i="6"/>
  <c r="E437" i="6"/>
  <c r="D437" i="6"/>
  <c r="C437" i="6"/>
  <c r="A437" i="6"/>
  <c r="B437" i="6" s="1"/>
  <c r="E436" i="6"/>
  <c r="D436" i="6"/>
  <c r="C436" i="6"/>
  <c r="B436" i="6"/>
  <c r="A436" i="6"/>
  <c r="E435" i="6"/>
  <c r="D435" i="6"/>
  <c r="C435" i="6"/>
  <c r="A435" i="6"/>
  <c r="B435" i="6" s="1"/>
  <c r="E434" i="6"/>
  <c r="D434" i="6"/>
  <c r="C434" i="6"/>
  <c r="A434" i="6"/>
  <c r="B434" i="6" s="1"/>
  <c r="E433" i="6"/>
  <c r="D433" i="6"/>
  <c r="C433" i="6"/>
  <c r="A433" i="6"/>
  <c r="B433" i="6" s="1"/>
  <c r="E432" i="6"/>
  <c r="D432" i="6"/>
  <c r="C432" i="6"/>
  <c r="B432" i="6"/>
  <c r="A432" i="6"/>
  <c r="E431" i="6"/>
  <c r="D431" i="6"/>
  <c r="C431" i="6"/>
  <c r="A431" i="6"/>
  <c r="B431" i="6" s="1"/>
  <c r="E430" i="6"/>
  <c r="D430" i="6"/>
  <c r="C430" i="6"/>
  <c r="B430" i="6"/>
  <c r="A430" i="6"/>
  <c r="E429" i="6"/>
  <c r="D429" i="6"/>
  <c r="C429" i="6"/>
  <c r="A429" i="6"/>
  <c r="B429" i="6" s="1"/>
  <c r="E428" i="6"/>
  <c r="D428" i="6"/>
  <c r="C428" i="6"/>
  <c r="B428" i="6"/>
  <c r="A428" i="6"/>
  <c r="E427" i="6"/>
  <c r="D427" i="6"/>
  <c r="C427" i="6"/>
  <c r="A427" i="6"/>
  <c r="B427" i="6" s="1"/>
  <c r="E426" i="6"/>
  <c r="D426" i="6"/>
  <c r="C426" i="6"/>
  <c r="A426" i="6"/>
  <c r="B426" i="6" s="1"/>
  <c r="E425" i="6"/>
  <c r="D425" i="6"/>
  <c r="C425" i="6"/>
  <c r="A425" i="6"/>
  <c r="B425" i="6" s="1"/>
  <c r="E424" i="6"/>
  <c r="D424" i="6"/>
  <c r="C424" i="6"/>
  <c r="B424" i="6"/>
  <c r="A424" i="6"/>
  <c r="E423" i="6"/>
  <c r="D423" i="6"/>
  <c r="C423" i="6"/>
  <c r="A423" i="6"/>
  <c r="B423" i="6" s="1"/>
  <c r="E422" i="6"/>
  <c r="D422" i="6"/>
  <c r="C422" i="6"/>
  <c r="B422" i="6"/>
  <c r="A422" i="6"/>
  <c r="E421" i="6"/>
  <c r="D421" i="6"/>
  <c r="C421" i="6"/>
  <c r="A421" i="6"/>
  <c r="B421" i="6" s="1"/>
  <c r="E420" i="6"/>
  <c r="D420" i="6"/>
  <c r="C420" i="6"/>
  <c r="B420" i="6"/>
  <c r="A420" i="6"/>
  <c r="E419" i="6"/>
  <c r="D419" i="6"/>
  <c r="C419" i="6"/>
  <c r="A419" i="6"/>
  <c r="B419" i="6" s="1"/>
  <c r="E418" i="6"/>
  <c r="D418" i="6"/>
  <c r="C418" i="6"/>
  <c r="A418" i="6"/>
  <c r="B418" i="6" s="1"/>
  <c r="E417" i="6"/>
  <c r="D417" i="6"/>
  <c r="C417" i="6"/>
  <c r="A417" i="6"/>
  <c r="B417" i="6" s="1"/>
  <c r="E416" i="6"/>
  <c r="D416" i="6"/>
  <c r="C416" i="6"/>
  <c r="B416" i="6"/>
  <c r="A416" i="6"/>
  <c r="E415" i="6"/>
  <c r="D415" i="6"/>
  <c r="C415" i="6"/>
  <c r="A415" i="6"/>
  <c r="B415" i="6" s="1"/>
  <c r="E414" i="6"/>
  <c r="D414" i="6"/>
  <c r="C414" i="6"/>
  <c r="B414" i="6"/>
  <c r="A414" i="6"/>
  <c r="E413" i="6"/>
  <c r="D413" i="6"/>
  <c r="C413" i="6"/>
  <c r="A413" i="6"/>
  <c r="B413" i="6" s="1"/>
  <c r="E412" i="6"/>
  <c r="D412" i="6"/>
  <c r="C412" i="6"/>
  <c r="B412" i="6"/>
  <c r="A412" i="6"/>
  <c r="E411" i="6"/>
  <c r="D411" i="6"/>
  <c r="C411" i="6"/>
  <c r="A411" i="6"/>
  <c r="B411" i="6" s="1"/>
  <c r="E410" i="6"/>
  <c r="D410" i="6"/>
  <c r="C410" i="6"/>
  <c r="A410" i="6"/>
  <c r="B410" i="6" s="1"/>
  <c r="E409" i="6"/>
  <c r="D409" i="6"/>
  <c r="C409" i="6"/>
  <c r="A409" i="6"/>
  <c r="B409" i="6" s="1"/>
  <c r="E408" i="6"/>
  <c r="D408" i="6"/>
  <c r="C408" i="6"/>
  <c r="B408" i="6"/>
  <c r="A408" i="6"/>
  <c r="E407" i="6"/>
  <c r="D407" i="6"/>
  <c r="C407" i="6"/>
  <c r="A407" i="6"/>
  <c r="B407" i="6" s="1"/>
  <c r="E406" i="6"/>
  <c r="D406" i="6"/>
  <c r="C406" i="6"/>
  <c r="B406" i="6"/>
  <c r="A406" i="6"/>
  <c r="E405" i="6"/>
  <c r="D405" i="6"/>
  <c r="C405" i="6"/>
  <c r="A405" i="6"/>
  <c r="B405" i="6" s="1"/>
  <c r="E404" i="6"/>
  <c r="D404" i="6"/>
  <c r="C404" i="6"/>
  <c r="B404" i="6"/>
  <c r="A404" i="6"/>
  <c r="E403" i="6"/>
  <c r="D403" i="6"/>
  <c r="C403" i="6"/>
  <c r="A403" i="6"/>
  <c r="B403" i="6" s="1"/>
  <c r="E402" i="6"/>
  <c r="D402" i="6"/>
  <c r="C402" i="6"/>
  <c r="B402" i="6"/>
  <c r="A402" i="6"/>
  <c r="E401" i="6"/>
  <c r="D401" i="6"/>
  <c r="C401" i="6"/>
  <c r="A401" i="6"/>
  <c r="B401" i="6" s="1"/>
  <c r="E400" i="6"/>
  <c r="D400" i="6"/>
  <c r="C400" i="6"/>
  <c r="B400" i="6"/>
  <c r="A400" i="6"/>
  <c r="E399" i="6"/>
  <c r="D399" i="6"/>
  <c r="C399" i="6"/>
  <c r="A399" i="6"/>
  <c r="B399" i="6" s="1"/>
  <c r="E398" i="6"/>
  <c r="D398" i="6"/>
  <c r="C398" i="6"/>
  <c r="B398" i="6"/>
  <c r="A398" i="6"/>
  <c r="E397" i="6"/>
  <c r="D397" i="6"/>
  <c r="C397" i="6"/>
  <c r="A397" i="6"/>
  <c r="B397" i="6" s="1"/>
  <c r="E396" i="6"/>
  <c r="D396" i="6"/>
  <c r="C396" i="6"/>
  <c r="B396" i="6"/>
  <c r="A396" i="6"/>
  <c r="E395" i="6"/>
  <c r="D395" i="6"/>
  <c r="C395" i="6"/>
  <c r="A395" i="6"/>
  <c r="B395" i="6" s="1"/>
  <c r="E394" i="6"/>
  <c r="D394" i="6"/>
  <c r="C394" i="6"/>
  <c r="B394" i="6"/>
  <c r="A394" i="6"/>
  <c r="E393" i="6"/>
  <c r="D393" i="6"/>
  <c r="C393" i="6"/>
  <c r="B393" i="6"/>
  <c r="A393" i="6"/>
  <c r="E392" i="6"/>
  <c r="D392" i="6"/>
  <c r="C392" i="6"/>
  <c r="B392" i="6"/>
  <c r="A392" i="6"/>
  <c r="E391" i="6"/>
  <c r="D391" i="6"/>
  <c r="C391" i="6"/>
  <c r="A391" i="6"/>
  <c r="B391" i="6" s="1"/>
  <c r="E390" i="6"/>
  <c r="D390" i="6"/>
  <c r="C390" i="6"/>
  <c r="A390" i="6"/>
  <c r="B390" i="6" s="1"/>
  <c r="E389" i="6"/>
  <c r="D389" i="6"/>
  <c r="C389" i="6"/>
  <c r="A389" i="6"/>
  <c r="B389" i="6" s="1"/>
  <c r="E388" i="6"/>
  <c r="D388" i="6"/>
  <c r="C388" i="6"/>
  <c r="B388" i="6"/>
  <c r="A388" i="6"/>
  <c r="E387" i="6"/>
  <c r="D387" i="6"/>
  <c r="C387" i="6"/>
  <c r="A387" i="6"/>
  <c r="B387" i="6" s="1"/>
  <c r="E386" i="6"/>
  <c r="D386" i="6"/>
  <c r="C386" i="6"/>
  <c r="A386" i="6"/>
  <c r="B386" i="6" s="1"/>
  <c r="E385" i="6"/>
  <c r="D385" i="6"/>
  <c r="C385" i="6"/>
  <c r="B385" i="6"/>
  <c r="A385" i="6"/>
  <c r="E384" i="6"/>
  <c r="D384" i="6"/>
  <c r="C384" i="6"/>
  <c r="B384" i="6"/>
  <c r="A384" i="6"/>
  <c r="E383" i="6"/>
  <c r="D383" i="6"/>
  <c r="C383" i="6"/>
  <c r="A383" i="6"/>
  <c r="B383" i="6" s="1"/>
  <c r="E382" i="6"/>
  <c r="D382" i="6"/>
  <c r="C382" i="6"/>
  <c r="A382" i="6"/>
  <c r="B382" i="6" s="1"/>
  <c r="E381" i="6"/>
  <c r="D381" i="6"/>
  <c r="C381" i="6"/>
  <c r="A381" i="6"/>
  <c r="B381" i="6" s="1"/>
  <c r="E380" i="6"/>
  <c r="D380" i="6"/>
  <c r="C380" i="6"/>
  <c r="B380" i="6"/>
  <c r="A380" i="6"/>
  <c r="E379" i="6"/>
  <c r="D379" i="6"/>
  <c r="C379" i="6"/>
  <c r="A379" i="6"/>
  <c r="B379" i="6" s="1"/>
  <c r="E378" i="6"/>
  <c r="D378" i="6"/>
  <c r="C378" i="6"/>
  <c r="A378" i="6"/>
  <c r="B378" i="6" s="1"/>
  <c r="E377" i="6"/>
  <c r="D377" i="6"/>
  <c r="C377" i="6"/>
  <c r="B377" i="6"/>
  <c r="A377" i="6"/>
  <c r="E376" i="6"/>
  <c r="D376" i="6"/>
  <c r="C376" i="6"/>
  <c r="B376" i="6"/>
  <c r="A376" i="6"/>
  <c r="E375" i="6"/>
  <c r="D375" i="6"/>
  <c r="C375" i="6"/>
  <c r="A375" i="6"/>
  <c r="B375" i="6" s="1"/>
  <c r="E374" i="6"/>
  <c r="D374" i="6"/>
  <c r="C374" i="6"/>
  <c r="A374" i="6"/>
  <c r="B374" i="6" s="1"/>
  <c r="E373" i="6"/>
  <c r="D373" i="6"/>
  <c r="C373" i="6"/>
  <c r="A373" i="6"/>
  <c r="B373" i="6" s="1"/>
  <c r="E372" i="6"/>
  <c r="D372" i="6"/>
  <c r="C372" i="6"/>
  <c r="B372" i="6"/>
  <c r="A372" i="6"/>
  <c r="E371" i="6"/>
  <c r="D371" i="6"/>
  <c r="C371" i="6"/>
  <c r="A371" i="6"/>
  <c r="B371" i="6" s="1"/>
  <c r="E370" i="6"/>
  <c r="D370" i="6"/>
  <c r="C370" i="6"/>
  <c r="A370" i="6"/>
  <c r="B370" i="6" s="1"/>
  <c r="E369" i="6"/>
  <c r="D369" i="6"/>
  <c r="C369" i="6"/>
  <c r="B369" i="6"/>
  <c r="A369" i="6"/>
  <c r="E368" i="6"/>
  <c r="D368" i="6"/>
  <c r="C368" i="6"/>
  <c r="B368" i="6"/>
  <c r="A368" i="6"/>
  <c r="E367" i="6"/>
  <c r="D367" i="6"/>
  <c r="C367" i="6"/>
  <c r="A367" i="6"/>
  <c r="B367" i="6" s="1"/>
  <c r="E366" i="6"/>
  <c r="D366" i="6"/>
  <c r="C366" i="6"/>
  <c r="A366" i="6"/>
  <c r="B366" i="6" s="1"/>
  <c r="E365" i="6"/>
  <c r="D365" i="6"/>
  <c r="C365" i="6"/>
  <c r="A365" i="6"/>
  <c r="B365" i="6" s="1"/>
  <c r="E364" i="6"/>
  <c r="D364" i="6"/>
  <c r="C364" i="6"/>
  <c r="B364" i="6"/>
  <c r="A364" i="6"/>
  <c r="E363" i="6"/>
  <c r="D363" i="6"/>
  <c r="C363" i="6"/>
  <c r="A363" i="6"/>
  <c r="B363" i="6" s="1"/>
  <c r="E362" i="6"/>
  <c r="D362" i="6"/>
  <c r="C362" i="6"/>
  <c r="A362" i="6"/>
  <c r="B362" i="6" s="1"/>
  <c r="E361" i="6"/>
  <c r="D361" i="6"/>
  <c r="C361" i="6"/>
  <c r="B361" i="6"/>
  <c r="A361" i="6"/>
  <c r="E360" i="6"/>
  <c r="D360" i="6"/>
  <c r="C360" i="6"/>
  <c r="B360" i="6"/>
  <c r="A360" i="6"/>
  <c r="E359" i="6"/>
  <c r="D359" i="6"/>
  <c r="C359" i="6"/>
  <c r="A359" i="6"/>
  <c r="B359" i="6" s="1"/>
  <c r="E358" i="6"/>
  <c r="D358" i="6"/>
  <c r="C358" i="6"/>
  <c r="A358" i="6"/>
  <c r="B358" i="6" s="1"/>
  <c r="E357" i="6"/>
  <c r="D357" i="6"/>
  <c r="C357" i="6"/>
  <c r="A357" i="6"/>
  <c r="B357" i="6" s="1"/>
  <c r="E356" i="6"/>
  <c r="D356" i="6"/>
  <c r="C356" i="6"/>
  <c r="B356" i="6"/>
  <c r="A356" i="6"/>
  <c r="E355" i="6"/>
  <c r="D355" i="6"/>
  <c r="C355" i="6"/>
  <c r="A355" i="6"/>
  <c r="B355" i="6" s="1"/>
  <c r="E354" i="6"/>
  <c r="D354" i="6"/>
  <c r="C354" i="6"/>
  <c r="A354" i="6"/>
  <c r="B354" i="6" s="1"/>
  <c r="E353" i="6"/>
  <c r="D353" i="6"/>
  <c r="C353" i="6"/>
  <c r="B353" i="6"/>
  <c r="A353" i="6"/>
  <c r="E352" i="6"/>
  <c r="D352" i="6"/>
  <c r="C352" i="6"/>
  <c r="B352" i="6"/>
  <c r="A352" i="6"/>
  <c r="E351" i="6"/>
  <c r="D351" i="6"/>
  <c r="C351" i="6"/>
  <c r="A351" i="6"/>
  <c r="B351" i="6" s="1"/>
  <c r="E350" i="6"/>
  <c r="D350" i="6"/>
  <c r="C350" i="6"/>
  <c r="A350" i="6"/>
  <c r="B350" i="6" s="1"/>
  <c r="E349" i="6"/>
  <c r="D349" i="6"/>
  <c r="C349" i="6"/>
  <c r="A349" i="6"/>
  <c r="B349" i="6" s="1"/>
  <c r="E348" i="6"/>
  <c r="D348" i="6"/>
  <c r="C348" i="6"/>
  <c r="B348" i="6"/>
  <c r="A348" i="6"/>
  <c r="E347" i="6"/>
  <c r="D347" i="6"/>
  <c r="C347" i="6"/>
  <c r="A347" i="6"/>
  <c r="B347" i="6" s="1"/>
  <c r="E346" i="6"/>
  <c r="D346" i="6"/>
  <c r="C346" i="6"/>
  <c r="A346" i="6"/>
  <c r="B346" i="6" s="1"/>
  <c r="E345" i="6"/>
  <c r="D345" i="6"/>
  <c r="C345" i="6"/>
  <c r="B345" i="6"/>
  <c r="A345" i="6"/>
  <c r="E344" i="6"/>
  <c r="D344" i="6"/>
  <c r="C344" i="6"/>
  <c r="B344" i="6"/>
  <c r="A344" i="6"/>
  <c r="E343" i="6"/>
  <c r="D343" i="6"/>
  <c r="C343" i="6"/>
  <c r="A343" i="6"/>
  <c r="B343" i="6" s="1"/>
  <c r="E342" i="6"/>
  <c r="D342" i="6"/>
  <c r="C342" i="6"/>
  <c r="A342" i="6"/>
  <c r="B342" i="6" s="1"/>
  <c r="E341" i="6"/>
  <c r="D341" i="6"/>
  <c r="C341" i="6"/>
  <c r="A341" i="6"/>
  <c r="B341" i="6" s="1"/>
  <c r="E340" i="6"/>
  <c r="D340" i="6"/>
  <c r="C340" i="6"/>
  <c r="B340" i="6"/>
  <c r="A340" i="6"/>
  <c r="E339" i="6"/>
  <c r="D339" i="6"/>
  <c r="C339" i="6"/>
  <c r="A339" i="6"/>
  <c r="B339" i="6" s="1"/>
  <c r="E338" i="6"/>
  <c r="D338" i="6"/>
  <c r="C338" i="6"/>
  <c r="A338" i="6"/>
  <c r="B338" i="6" s="1"/>
  <c r="E337" i="6"/>
  <c r="D337" i="6"/>
  <c r="C337" i="6"/>
  <c r="B337" i="6"/>
  <c r="A337" i="6"/>
  <c r="E336" i="6"/>
  <c r="D336" i="6"/>
  <c r="C336" i="6"/>
  <c r="B336" i="6"/>
  <c r="A336" i="6"/>
  <c r="E335" i="6"/>
  <c r="D335" i="6"/>
  <c r="C335" i="6"/>
  <c r="A335" i="6"/>
  <c r="B335" i="6" s="1"/>
  <c r="E334" i="6"/>
  <c r="D334" i="6"/>
  <c r="C334" i="6"/>
  <c r="A334" i="6"/>
  <c r="B334" i="6" s="1"/>
  <c r="E333" i="6"/>
  <c r="D333" i="6"/>
  <c r="C333" i="6"/>
  <c r="A333" i="6"/>
  <c r="B333" i="6" s="1"/>
  <c r="E332" i="6"/>
  <c r="D332" i="6"/>
  <c r="C332" i="6"/>
  <c r="B332" i="6"/>
  <c r="A332" i="6"/>
  <c r="E331" i="6"/>
  <c r="D331" i="6"/>
  <c r="C331" i="6"/>
  <c r="A331" i="6"/>
  <c r="B331" i="6" s="1"/>
  <c r="E330" i="6"/>
  <c r="D330" i="6"/>
  <c r="C330" i="6"/>
  <c r="A330" i="6"/>
  <c r="B330" i="6" s="1"/>
  <c r="E329" i="6"/>
  <c r="D329" i="6"/>
  <c r="C329" i="6"/>
  <c r="B329" i="6"/>
  <c r="A329" i="6"/>
  <c r="E328" i="6"/>
  <c r="D328" i="6"/>
  <c r="C328" i="6"/>
  <c r="B328" i="6"/>
  <c r="A328" i="6"/>
  <c r="E327" i="6"/>
  <c r="D327" i="6"/>
  <c r="C327" i="6"/>
  <c r="A327" i="6"/>
  <c r="B327" i="6" s="1"/>
  <c r="E326" i="6"/>
  <c r="D326" i="6"/>
  <c r="C326" i="6"/>
  <c r="A326" i="6"/>
  <c r="B326" i="6" s="1"/>
  <c r="E325" i="6"/>
  <c r="D325" i="6"/>
  <c r="C325" i="6"/>
  <c r="A325" i="6"/>
  <c r="B325" i="6" s="1"/>
  <c r="E324" i="6"/>
  <c r="D324" i="6"/>
  <c r="C324" i="6"/>
  <c r="B324" i="6"/>
  <c r="A324" i="6"/>
  <c r="E323" i="6"/>
  <c r="D323" i="6"/>
  <c r="C323" i="6"/>
  <c r="A323" i="6"/>
  <c r="B323" i="6" s="1"/>
  <c r="E322" i="6"/>
  <c r="D322" i="6"/>
  <c r="C322" i="6"/>
  <c r="A322" i="6"/>
  <c r="B322" i="6" s="1"/>
  <c r="E321" i="6"/>
  <c r="D321" i="6"/>
  <c r="C321" i="6"/>
  <c r="B321" i="6"/>
  <c r="A321" i="6"/>
  <c r="E320" i="6"/>
  <c r="D320" i="6"/>
  <c r="C320" i="6"/>
  <c r="B320" i="6"/>
  <c r="A320" i="6"/>
  <c r="E319" i="6"/>
  <c r="D319" i="6"/>
  <c r="C319" i="6"/>
  <c r="A319" i="6"/>
  <c r="B319" i="6" s="1"/>
  <c r="E318" i="6"/>
  <c r="D318" i="6"/>
  <c r="C318" i="6"/>
  <c r="A318" i="6"/>
  <c r="B318" i="6" s="1"/>
  <c r="E317" i="6"/>
  <c r="D317" i="6"/>
  <c r="C317" i="6"/>
  <c r="A317" i="6"/>
  <c r="B317" i="6" s="1"/>
  <c r="E316" i="6"/>
  <c r="D316" i="6"/>
  <c r="C316" i="6"/>
  <c r="B316" i="6"/>
  <c r="A316" i="6"/>
  <c r="E315" i="6"/>
  <c r="D315" i="6"/>
  <c r="C315" i="6"/>
  <c r="A315" i="6"/>
  <c r="B315" i="6" s="1"/>
  <c r="E314" i="6"/>
  <c r="D314" i="6"/>
  <c r="C314" i="6"/>
  <c r="A314" i="6"/>
  <c r="B314" i="6" s="1"/>
  <c r="E313" i="6"/>
  <c r="D313" i="6"/>
  <c r="C313" i="6"/>
  <c r="B313" i="6"/>
  <c r="A313" i="6"/>
  <c r="E312" i="6"/>
  <c r="D312" i="6"/>
  <c r="C312" i="6"/>
  <c r="B312" i="6"/>
  <c r="A312" i="6"/>
  <c r="E311" i="6"/>
  <c r="D311" i="6"/>
  <c r="C311" i="6"/>
  <c r="A311" i="6"/>
  <c r="B311" i="6" s="1"/>
  <c r="E310" i="6"/>
  <c r="D310" i="6"/>
  <c r="C310" i="6"/>
  <c r="A310" i="6"/>
  <c r="B310" i="6" s="1"/>
  <c r="E309" i="6"/>
  <c r="D309" i="6"/>
  <c r="C309" i="6"/>
  <c r="A309" i="6"/>
  <c r="B309" i="6" s="1"/>
  <c r="E308" i="6"/>
  <c r="D308" i="6"/>
  <c r="C308" i="6"/>
  <c r="B308" i="6"/>
  <c r="A308" i="6"/>
  <c r="E307" i="6"/>
  <c r="D307" i="6"/>
  <c r="C307" i="6"/>
  <c r="A307" i="6"/>
  <c r="B307" i="6" s="1"/>
  <c r="E306" i="6"/>
  <c r="D306" i="6"/>
  <c r="C306" i="6"/>
  <c r="A306" i="6"/>
  <c r="B306" i="6" s="1"/>
  <c r="E305" i="6"/>
  <c r="D305" i="6"/>
  <c r="C305" i="6"/>
  <c r="B305" i="6"/>
  <c r="A305" i="6"/>
  <c r="E304" i="6"/>
  <c r="D304" i="6"/>
  <c r="C304" i="6"/>
  <c r="B304" i="6"/>
  <c r="A304" i="6"/>
  <c r="E303" i="6"/>
  <c r="D303" i="6"/>
  <c r="C303" i="6"/>
  <c r="A303" i="6"/>
  <c r="B303" i="6" s="1"/>
  <c r="E302" i="6"/>
  <c r="D302" i="6"/>
  <c r="C302" i="6"/>
  <c r="A302" i="6"/>
  <c r="B302" i="6" s="1"/>
  <c r="E301" i="6"/>
  <c r="D301" i="6"/>
  <c r="C301" i="6"/>
  <c r="B301" i="6"/>
  <c r="A301" i="6"/>
  <c r="E300" i="6"/>
  <c r="D300" i="6"/>
  <c r="C300" i="6"/>
  <c r="B300" i="6"/>
  <c r="A300" i="6"/>
  <c r="E299" i="6"/>
  <c r="D299" i="6"/>
  <c r="C299" i="6"/>
  <c r="A299" i="6"/>
  <c r="B299" i="6" s="1"/>
  <c r="E298" i="6"/>
  <c r="D298" i="6"/>
  <c r="C298" i="6"/>
  <c r="A298" i="6"/>
  <c r="B298" i="6" s="1"/>
  <c r="E297" i="6"/>
  <c r="D297" i="6"/>
  <c r="C297" i="6"/>
  <c r="A297" i="6"/>
  <c r="B297" i="6" s="1"/>
  <c r="E296" i="6"/>
  <c r="D296" i="6"/>
  <c r="C296" i="6"/>
  <c r="B296" i="6"/>
  <c r="A296" i="6"/>
  <c r="E295" i="6"/>
  <c r="D295" i="6"/>
  <c r="C295" i="6"/>
  <c r="A295" i="6"/>
  <c r="B295" i="6" s="1"/>
  <c r="E294" i="6"/>
  <c r="D294" i="6"/>
  <c r="C294" i="6"/>
  <c r="B294" i="6"/>
  <c r="A294" i="6"/>
  <c r="E293" i="6"/>
  <c r="D293" i="6"/>
  <c r="C293" i="6"/>
  <c r="B293" i="6"/>
  <c r="A293" i="6"/>
  <c r="E292" i="6"/>
  <c r="D292" i="6"/>
  <c r="C292" i="6"/>
  <c r="B292" i="6"/>
  <c r="A292" i="6"/>
  <c r="E291" i="6"/>
  <c r="D291" i="6"/>
  <c r="C291" i="6"/>
  <c r="A291" i="6"/>
  <c r="B291" i="6" s="1"/>
  <c r="E290" i="6"/>
  <c r="D290" i="6"/>
  <c r="C290" i="6"/>
  <c r="A290" i="6"/>
  <c r="B290" i="6" s="1"/>
  <c r="E289" i="6"/>
  <c r="D289" i="6"/>
  <c r="C289" i="6"/>
  <c r="B289" i="6"/>
  <c r="A289" i="6"/>
  <c r="E288" i="6"/>
  <c r="D288" i="6"/>
  <c r="C288" i="6"/>
  <c r="B288" i="6"/>
  <c r="A288" i="6"/>
  <c r="E287" i="6"/>
  <c r="D287" i="6"/>
  <c r="C287" i="6"/>
  <c r="A287" i="6"/>
  <c r="B287" i="6" s="1"/>
  <c r="E286" i="6"/>
  <c r="D286" i="6"/>
  <c r="C286" i="6"/>
  <c r="B286" i="6"/>
  <c r="A286" i="6"/>
  <c r="E285" i="6"/>
  <c r="D285" i="6"/>
  <c r="C285" i="6"/>
  <c r="A285" i="6"/>
  <c r="B285" i="6" s="1"/>
  <c r="E284" i="6"/>
  <c r="D284" i="6"/>
  <c r="C284" i="6"/>
  <c r="B284" i="6"/>
  <c r="A284" i="6"/>
  <c r="E283" i="6"/>
  <c r="D283" i="6"/>
  <c r="C283" i="6"/>
  <c r="A283" i="6"/>
  <c r="B283" i="6" s="1"/>
  <c r="E282" i="6"/>
  <c r="D282" i="6"/>
  <c r="C282" i="6"/>
  <c r="A282" i="6"/>
  <c r="B282" i="6" s="1"/>
  <c r="E281" i="6"/>
  <c r="D281" i="6"/>
  <c r="C281" i="6"/>
  <c r="B281" i="6"/>
  <c r="A281" i="6"/>
  <c r="E280" i="6"/>
  <c r="D280" i="6"/>
  <c r="C280" i="6"/>
  <c r="B280" i="6"/>
  <c r="A280" i="6"/>
  <c r="E279" i="6"/>
  <c r="D279" i="6"/>
  <c r="C279" i="6"/>
  <c r="A279" i="6"/>
  <c r="B279" i="6" s="1"/>
  <c r="E278" i="6"/>
  <c r="D278" i="6"/>
  <c r="C278" i="6"/>
  <c r="A278" i="6"/>
  <c r="B278" i="6" s="1"/>
  <c r="E277" i="6"/>
  <c r="D277" i="6"/>
  <c r="C277" i="6"/>
  <c r="B277" i="6"/>
  <c r="A277" i="6"/>
  <c r="E276" i="6"/>
  <c r="D276" i="6"/>
  <c r="C276" i="6"/>
  <c r="B276" i="6"/>
  <c r="A276" i="6"/>
  <c r="E275" i="6"/>
  <c r="D275" i="6"/>
  <c r="C275" i="6"/>
  <c r="A275" i="6"/>
  <c r="B275" i="6" s="1"/>
  <c r="E274" i="6"/>
  <c r="D274" i="6"/>
  <c r="C274" i="6"/>
  <c r="A274" i="6"/>
  <c r="B274" i="6" s="1"/>
  <c r="E273" i="6"/>
  <c r="D273" i="6"/>
  <c r="C273" i="6"/>
  <c r="B273" i="6"/>
  <c r="A273" i="6"/>
  <c r="E272" i="6"/>
  <c r="D272" i="6"/>
  <c r="C272" i="6"/>
  <c r="B272" i="6"/>
  <c r="A272" i="6"/>
  <c r="E271" i="6"/>
  <c r="D271" i="6"/>
  <c r="C271" i="6"/>
  <c r="A271" i="6"/>
  <c r="B271" i="6" s="1"/>
  <c r="E270" i="6"/>
  <c r="D270" i="6"/>
  <c r="C270" i="6"/>
  <c r="B270" i="6"/>
  <c r="A270" i="6"/>
  <c r="E269" i="6"/>
  <c r="D269" i="6"/>
  <c r="C269" i="6"/>
  <c r="B269" i="6"/>
  <c r="A269" i="6"/>
  <c r="E268" i="6"/>
  <c r="D268" i="6"/>
  <c r="C268" i="6"/>
  <c r="B268" i="6"/>
  <c r="A268" i="6"/>
  <c r="E267" i="6"/>
  <c r="D267" i="6"/>
  <c r="C267" i="6"/>
  <c r="A267" i="6"/>
  <c r="B267" i="6" s="1"/>
  <c r="E266" i="6"/>
  <c r="D266" i="6"/>
  <c r="C266" i="6"/>
  <c r="A266" i="6"/>
  <c r="B266" i="6" s="1"/>
  <c r="E265" i="6"/>
  <c r="D265" i="6"/>
  <c r="C265" i="6"/>
  <c r="A265" i="6"/>
  <c r="B265" i="6" s="1"/>
  <c r="E264" i="6"/>
  <c r="D264" i="6"/>
  <c r="C264" i="6"/>
  <c r="B264" i="6"/>
  <c r="A264" i="6"/>
  <c r="E263" i="6"/>
  <c r="D263" i="6"/>
  <c r="C263" i="6"/>
  <c r="A263" i="6"/>
  <c r="B263" i="6" s="1"/>
  <c r="E262" i="6"/>
  <c r="D262" i="6"/>
  <c r="C262" i="6"/>
  <c r="B262" i="6"/>
  <c r="A262" i="6"/>
  <c r="E261" i="6"/>
  <c r="D261" i="6"/>
  <c r="C261" i="6"/>
  <c r="B261" i="6"/>
  <c r="A261" i="6"/>
  <c r="E260" i="6"/>
  <c r="D260" i="6"/>
  <c r="C260" i="6"/>
  <c r="B260" i="6"/>
  <c r="A260" i="6"/>
  <c r="E259" i="6"/>
  <c r="D259" i="6"/>
  <c r="C259" i="6"/>
  <c r="A259" i="6"/>
  <c r="B259" i="6" s="1"/>
  <c r="E258" i="6"/>
  <c r="D258" i="6"/>
  <c r="C258" i="6"/>
  <c r="A258" i="6"/>
  <c r="B258" i="6" s="1"/>
  <c r="E257" i="6"/>
  <c r="D257" i="6"/>
  <c r="C257" i="6"/>
  <c r="A257" i="6"/>
  <c r="B257" i="6" s="1"/>
  <c r="E256" i="6"/>
  <c r="D256" i="6"/>
  <c r="C256" i="6"/>
  <c r="B256" i="6"/>
  <c r="A256" i="6"/>
  <c r="E255" i="6"/>
  <c r="D255" i="6"/>
  <c r="C255" i="6"/>
  <c r="A255" i="6"/>
  <c r="B255" i="6" s="1"/>
  <c r="E254" i="6"/>
  <c r="D254" i="6"/>
  <c r="C254" i="6"/>
  <c r="B254" i="6"/>
  <c r="A254" i="6"/>
  <c r="E253" i="6"/>
  <c r="D253" i="6"/>
  <c r="C253" i="6"/>
  <c r="A253" i="6"/>
  <c r="B253" i="6" s="1"/>
  <c r="E252" i="6"/>
  <c r="D252" i="6"/>
  <c r="C252" i="6"/>
  <c r="B252" i="6"/>
  <c r="A252" i="6"/>
  <c r="E251" i="6"/>
  <c r="D251" i="6"/>
  <c r="C251" i="6"/>
  <c r="A251" i="6"/>
  <c r="B251" i="6" s="1"/>
  <c r="E250" i="6"/>
  <c r="D250" i="6"/>
  <c r="C250" i="6"/>
  <c r="B250" i="6"/>
  <c r="A250" i="6"/>
  <c r="E249" i="6"/>
  <c r="D249" i="6"/>
  <c r="C249" i="6"/>
  <c r="B249" i="6"/>
  <c r="A249" i="6"/>
  <c r="E248" i="6"/>
  <c r="D248" i="6"/>
  <c r="C248" i="6"/>
  <c r="B248" i="6"/>
  <c r="A248" i="6"/>
  <c r="E247" i="6"/>
  <c r="D247" i="6"/>
  <c r="C247" i="6"/>
  <c r="A247" i="6"/>
  <c r="B247" i="6" s="1"/>
  <c r="E246" i="6"/>
  <c r="D246" i="6"/>
  <c r="C246" i="6"/>
  <c r="B246" i="6"/>
  <c r="A246" i="6"/>
  <c r="E245" i="6"/>
  <c r="D245" i="6"/>
  <c r="C245" i="6"/>
  <c r="B245" i="6"/>
  <c r="A245" i="6"/>
  <c r="E244" i="6"/>
  <c r="D244" i="6"/>
  <c r="C244" i="6"/>
  <c r="B244" i="6"/>
  <c r="A244" i="6"/>
  <c r="E243" i="6"/>
  <c r="D243" i="6"/>
  <c r="C243" i="6"/>
  <c r="A243" i="6"/>
  <c r="B243" i="6" s="1"/>
  <c r="E242" i="6"/>
  <c r="D242" i="6"/>
  <c r="C242" i="6"/>
  <c r="A242" i="6"/>
  <c r="B242" i="6" s="1"/>
  <c r="E241" i="6"/>
  <c r="D241" i="6"/>
  <c r="C241" i="6"/>
  <c r="B241" i="6"/>
  <c r="A241" i="6"/>
  <c r="E240" i="6"/>
  <c r="D240" i="6"/>
  <c r="C240" i="6"/>
  <c r="B240" i="6"/>
  <c r="A240" i="6"/>
  <c r="E239" i="6"/>
  <c r="D239" i="6"/>
  <c r="C239" i="6"/>
  <c r="A239" i="6"/>
  <c r="B239" i="6" s="1"/>
  <c r="E238" i="6"/>
  <c r="D238" i="6"/>
  <c r="C238" i="6"/>
  <c r="B238" i="6"/>
  <c r="A238" i="6"/>
  <c r="E237" i="6"/>
  <c r="D237" i="6"/>
  <c r="C237" i="6"/>
  <c r="A237" i="6"/>
  <c r="B237" i="6" s="1"/>
  <c r="E236" i="6"/>
  <c r="D236" i="6"/>
  <c r="C236" i="6"/>
  <c r="B236" i="6"/>
  <c r="A236" i="6"/>
  <c r="E235" i="6"/>
  <c r="D235" i="6"/>
  <c r="C235" i="6"/>
  <c r="A235" i="6"/>
  <c r="B235" i="6" s="1"/>
  <c r="E234" i="6"/>
  <c r="D234" i="6"/>
  <c r="C234" i="6"/>
  <c r="B234" i="6"/>
  <c r="A234" i="6"/>
  <c r="E233" i="6"/>
  <c r="D233" i="6"/>
  <c r="C233" i="6"/>
  <c r="B233" i="6"/>
  <c r="A233" i="6"/>
  <c r="E232" i="6"/>
  <c r="D232" i="6"/>
  <c r="C232" i="6"/>
  <c r="B232" i="6"/>
  <c r="A232" i="6"/>
  <c r="E231" i="6"/>
  <c r="D231" i="6"/>
  <c r="C231" i="6"/>
  <c r="A231" i="6"/>
  <c r="B231" i="6" s="1"/>
  <c r="E230" i="6"/>
  <c r="D230" i="6"/>
  <c r="C230" i="6"/>
  <c r="A230" i="6"/>
  <c r="B230" i="6" s="1"/>
  <c r="E229" i="6"/>
  <c r="D229" i="6"/>
  <c r="C229" i="6"/>
  <c r="B229" i="6"/>
  <c r="A229" i="6"/>
  <c r="E228" i="6"/>
  <c r="D228" i="6"/>
  <c r="C228" i="6"/>
  <c r="B228" i="6"/>
  <c r="A228" i="6"/>
  <c r="E227" i="6"/>
  <c r="D227" i="6"/>
  <c r="C227" i="6"/>
  <c r="A227" i="6"/>
  <c r="B227" i="6" s="1"/>
  <c r="E226" i="6"/>
  <c r="D226" i="6"/>
  <c r="C226" i="6"/>
  <c r="A226" i="6"/>
  <c r="B226" i="6" s="1"/>
  <c r="E225" i="6"/>
  <c r="D225" i="6"/>
  <c r="C225" i="6"/>
  <c r="A225" i="6"/>
  <c r="B225" i="6" s="1"/>
  <c r="E224" i="6"/>
  <c r="D224" i="6"/>
  <c r="C224" i="6"/>
  <c r="B224" i="6"/>
  <c r="A224" i="6"/>
  <c r="E223" i="6"/>
  <c r="D223" i="6"/>
  <c r="C223" i="6"/>
  <c r="A223" i="6"/>
  <c r="B223" i="6" s="1"/>
  <c r="E222" i="6"/>
  <c r="D222" i="6"/>
  <c r="C222" i="6"/>
  <c r="B222" i="6"/>
  <c r="A222" i="6"/>
  <c r="E221" i="6"/>
  <c r="D221" i="6"/>
  <c r="C221" i="6"/>
  <c r="A221" i="6"/>
  <c r="B221" i="6" s="1"/>
  <c r="E220" i="6"/>
  <c r="D220" i="6"/>
  <c r="C220" i="6"/>
  <c r="B220" i="6"/>
  <c r="A220" i="6"/>
  <c r="E219" i="6"/>
  <c r="D219" i="6"/>
  <c r="C219" i="6"/>
  <c r="A219" i="6"/>
  <c r="B219" i="6" s="1"/>
  <c r="E218" i="6"/>
  <c r="D218" i="6"/>
  <c r="C218" i="6"/>
  <c r="B218" i="6"/>
  <c r="A218" i="6"/>
  <c r="E217" i="6"/>
  <c r="D217" i="6"/>
  <c r="C217" i="6"/>
  <c r="B217" i="6"/>
  <c r="A217" i="6"/>
  <c r="E216" i="6"/>
  <c r="D216" i="6"/>
  <c r="C216" i="6"/>
  <c r="B216" i="6"/>
  <c r="A216" i="6"/>
  <c r="E215" i="6"/>
  <c r="D215" i="6"/>
  <c r="C215" i="6"/>
  <c r="A215" i="6"/>
  <c r="B215" i="6" s="1"/>
  <c r="E214" i="6"/>
  <c r="D214" i="6"/>
  <c r="C214" i="6"/>
  <c r="B214" i="6"/>
  <c r="A214" i="6"/>
  <c r="E213" i="6"/>
  <c r="D213" i="6"/>
  <c r="C213" i="6"/>
  <c r="B213" i="6"/>
  <c r="A213" i="6"/>
  <c r="E212" i="6"/>
  <c r="D212" i="6"/>
  <c r="C212" i="6"/>
  <c r="B212" i="6"/>
  <c r="A212" i="6"/>
  <c r="E211" i="6"/>
  <c r="D211" i="6"/>
  <c r="C211" i="6"/>
  <c r="A211" i="6"/>
  <c r="B211" i="6" s="1"/>
  <c r="E210" i="6"/>
  <c r="D210" i="6"/>
  <c r="C210" i="6"/>
  <c r="A210" i="6"/>
  <c r="B210" i="6" s="1"/>
  <c r="E209" i="6"/>
  <c r="D209" i="6"/>
  <c r="C209" i="6"/>
  <c r="B209" i="6"/>
  <c r="A209" i="6"/>
  <c r="E208" i="6"/>
  <c r="D208" i="6"/>
  <c r="C208" i="6"/>
  <c r="B208" i="6"/>
  <c r="A208" i="6"/>
  <c r="E207" i="6"/>
  <c r="D207" i="6"/>
  <c r="C207" i="6"/>
  <c r="A207" i="6"/>
  <c r="B207" i="6" s="1"/>
  <c r="E206" i="6"/>
  <c r="D206" i="6"/>
  <c r="C206" i="6"/>
  <c r="B206" i="6"/>
  <c r="A206" i="6"/>
  <c r="E205" i="6"/>
  <c r="D205" i="6"/>
  <c r="C205" i="6"/>
  <c r="A205" i="6"/>
  <c r="B205" i="6" s="1"/>
  <c r="E204" i="6"/>
  <c r="D204" i="6"/>
  <c r="C204" i="6"/>
  <c r="B204" i="6"/>
  <c r="A204" i="6"/>
  <c r="E203" i="6"/>
  <c r="D203" i="6"/>
  <c r="C203" i="6"/>
  <c r="A203" i="6"/>
  <c r="B203" i="6" s="1"/>
  <c r="E202" i="6"/>
  <c r="D202" i="6"/>
  <c r="C202" i="6"/>
  <c r="B202" i="6"/>
  <c r="A202" i="6"/>
  <c r="E201" i="6"/>
  <c r="D201" i="6"/>
  <c r="C201" i="6"/>
  <c r="B201" i="6"/>
  <c r="A201" i="6"/>
  <c r="E200" i="6"/>
  <c r="D200" i="6"/>
  <c r="C200" i="6"/>
  <c r="B200" i="6"/>
  <c r="A200" i="6"/>
  <c r="E199" i="6"/>
  <c r="D199" i="6"/>
  <c r="C199" i="6"/>
  <c r="A199" i="6"/>
  <c r="B199" i="6" s="1"/>
  <c r="E198" i="6"/>
  <c r="D198" i="6"/>
  <c r="C198" i="6"/>
  <c r="A198" i="6"/>
  <c r="B198" i="6" s="1"/>
  <c r="E197" i="6"/>
  <c r="D197" i="6"/>
  <c r="C197" i="6"/>
  <c r="B197" i="6"/>
  <c r="A197" i="6"/>
  <c r="E196" i="6"/>
  <c r="D196" i="6"/>
  <c r="C196" i="6"/>
  <c r="B196" i="6"/>
  <c r="A196" i="6"/>
  <c r="E195" i="6"/>
  <c r="D195" i="6"/>
  <c r="C195" i="6"/>
  <c r="A195" i="6"/>
  <c r="B195" i="6" s="1"/>
  <c r="E194" i="6"/>
  <c r="D194" i="6"/>
  <c r="C194" i="6"/>
  <c r="A194" i="6"/>
  <c r="B194" i="6" s="1"/>
  <c r="E193" i="6"/>
  <c r="D193" i="6"/>
  <c r="C193" i="6"/>
  <c r="A193" i="6"/>
  <c r="B193" i="6" s="1"/>
  <c r="E192" i="6"/>
  <c r="D192" i="6"/>
  <c r="C192" i="6"/>
  <c r="B192" i="6"/>
  <c r="A192" i="6"/>
  <c r="E191" i="6"/>
  <c r="D191" i="6"/>
  <c r="C191" i="6"/>
  <c r="A191" i="6"/>
  <c r="B191" i="6" s="1"/>
  <c r="E190" i="6"/>
  <c r="D190" i="6"/>
  <c r="C190" i="6"/>
  <c r="B190" i="6"/>
  <c r="A190" i="6"/>
  <c r="E189" i="6"/>
  <c r="D189" i="6"/>
  <c r="C189" i="6"/>
  <c r="A189" i="6"/>
  <c r="B189" i="6" s="1"/>
  <c r="E188" i="6"/>
  <c r="D188" i="6"/>
  <c r="C188" i="6"/>
  <c r="B188" i="6"/>
  <c r="A188" i="6"/>
  <c r="E187" i="6"/>
  <c r="D187" i="6"/>
  <c r="C187" i="6"/>
  <c r="A187" i="6"/>
  <c r="B187" i="6" s="1"/>
  <c r="E186" i="6"/>
  <c r="D186" i="6"/>
  <c r="C186" i="6"/>
  <c r="B186" i="6"/>
  <c r="A186" i="6"/>
  <c r="E185" i="6"/>
  <c r="D185" i="6"/>
  <c r="C185" i="6"/>
  <c r="B185" i="6"/>
  <c r="A185" i="6"/>
  <c r="E184" i="6"/>
  <c r="D184" i="6"/>
  <c r="C184" i="6"/>
  <c r="B184" i="6"/>
  <c r="A184" i="6"/>
  <c r="E183" i="6"/>
  <c r="D183" i="6"/>
  <c r="C183" i="6"/>
  <c r="A183" i="6"/>
  <c r="B183" i="6" s="1"/>
  <c r="E182" i="6"/>
  <c r="D182" i="6"/>
  <c r="C182" i="6"/>
  <c r="B182" i="6"/>
  <c r="A182" i="6"/>
  <c r="E181" i="6"/>
  <c r="D181" i="6"/>
  <c r="C181" i="6"/>
  <c r="B181" i="6"/>
  <c r="A181" i="6"/>
  <c r="E180" i="6"/>
  <c r="D180" i="6"/>
  <c r="C180" i="6"/>
  <c r="B180" i="6"/>
  <c r="A180" i="6"/>
  <c r="E179" i="6"/>
  <c r="D179" i="6"/>
  <c r="C179" i="6"/>
  <c r="A179" i="6"/>
  <c r="B179" i="6" s="1"/>
  <c r="E178" i="6"/>
  <c r="D178" i="6"/>
  <c r="C178" i="6"/>
  <c r="A178" i="6"/>
  <c r="B178" i="6" s="1"/>
  <c r="E177" i="6"/>
  <c r="D177" i="6"/>
  <c r="C177" i="6"/>
  <c r="B177" i="6"/>
  <c r="A177" i="6"/>
  <c r="E176" i="6"/>
  <c r="D176" i="6"/>
  <c r="C176" i="6"/>
  <c r="B176" i="6"/>
  <c r="A176" i="6"/>
  <c r="E175" i="6"/>
  <c r="D175" i="6"/>
  <c r="C175" i="6"/>
  <c r="A175" i="6"/>
  <c r="B175" i="6" s="1"/>
  <c r="E174" i="6"/>
  <c r="D174" i="6"/>
  <c r="C174" i="6"/>
  <c r="B174" i="6"/>
  <c r="A174" i="6"/>
  <c r="E173" i="6"/>
  <c r="D173" i="6"/>
  <c r="C173" i="6"/>
  <c r="A173" i="6"/>
  <c r="B173" i="6" s="1"/>
  <c r="E172" i="6"/>
  <c r="D172" i="6"/>
  <c r="C172" i="6"/>
  <c r="B172" i="6"/>
  <c r="A172" i="6"/>
  <c r="E171" i="6"/>
  <c r="D171" i="6"/>
  <c r="C171" i="6"/>
  <c r="A171" i="6"/>
  <c r="B171" i="6" s="1"/>
  <c r="E170" i="6"/>
  <c r="D170" i="6"/>
  <c r="C170" i="6"/>
  <c r="B170" i="6"/>
  <c r="A170" i="6"/>
  <c r="E169" i="6"/>
  <c r="D169" i="6"/>
  <c r="C169" i="6"/>
  <c r="B169" i="6"/>
  <c r="A169" i="6"/>
  <c r="E168" i="6"/>
  <c r="D168" i="6"/>
  <c r="C168" i="6"/>
  <c r="B168" i="6"/>
  <c r="A168" i="6"/>
  <c r="E167" i="6"/>
  <c r="D167" i="6"/>
  <c r="C167" i="6"/>
  <c r="A167" i="6"/>
  <c r="B167" i="6" s="1"/>
  <c r="E166" i="6"/>
  <c r="D166" i="6"/>
  <c r="C166" i="6"/>
  <c r="A166" i="6"/>
  <c r="B166" i="6" s="1"/>
  <c r="E165" i="6"/>
  <c r="D165" i="6"/>
  <c r="C165" i="6"/>
  <c r="B165" i="6"/>
  <c r="A165" i="6"/>
  <c r="E164" i="6"/>
  <c r="D164" i="6"/>
  <c r="C164" i="6"/>
  <c r="B164" i="6"/>
  <c r="A164" i="6"/>
  <c r="E163" i="6"/>
  <c r="D163" i="6"/>
  <c r="C163" i="6"/>
  <c r="A163" i="6"/>
  <c r="B163" i="6" s="1"/>
  <c r="E162" i="6"/>
  <c r="D162" i="6"/>
  <c r="C162" i="6"/>
  <c r="A162" i="6"/>
  <c r="B162" i="6" s="1"/>
  <c r="E161" i="6"/>
  <c r="D161" i="6"/>
  <c r="C161" i="6"/>
  <c r="A161" i="6"/>
  <c r="B161" i="6" s="1"/>
  <c r="E160" i="6"/>
  <c r="D160" i="6"/>
  <c r="C160" i="6"/>
  <c r="B160" i="6"/>
  <c r="A160" i="6"/>
  <c r="E159" i="6"/>
  <c r="D159" i="6"/>
  <c r="C159" i="6"/>
  <c r="A159" i="6"/>
  <c r="B159" i="6" s="1"/>
  <c r="E158" i="6"/>
  <c r="D158" i="6"/>
  <c r="C158" i="6"/>
  <c r="B158" i="6"/>
  <c r="A158" i="6"/>
  <c r="E157" i="6"/>
  <c r="D157" i="6"/>
  <c r="C157" i="6"/>
  <c r="A157" i="6"/>
  <c r="B157" i="6" s="1"/>
  <c r="E156" i="6"/>
  <c r="D156" i="6"/>
  <c r="C156" i="6"/>
  <c r="B156" i="6"/>
  <c r="A156" i="6"/>
  <c r="E155" i="6"/>
  <c r="D155" i="6"/>
  <c r="C155" i="6"/>
  <c r="A155" i="6"/>
  <c r="B155" i="6" s="1"/>
  <c r="E154" i="6"/>
  <c r="D154" i="6"/>
  <c r="C154" i="6"/>
  <c r="B154" i="6"/>
  <c r="A154" i="6"/>
  <c r="E153" i="6"/>
  <c r="D153" i="6"/>
  <c r="C153" i="6"/>
  <c r="B153" i="6"/>
  <c r="A153" i="6"/>
  <c r="E152" i="6"/>
  <c r="D152" i="6"/>
  <c r="C152" i="6"/>
  <c r="B152" i="6"/>
  <c r="A152" i="6"/>
  <c r="E151" i="6"/>
  <c r="D151" i="6"/>
  <c r="C151" i="6"/>
  <c r="A151" i="6"/>
  <c r="B151" i="6" s="1"/>
  <c r="E150" i="6"/>
  <c r="D150" i="6"/>
  <c r="C150" i="6"/>
  <c r="B150" i="6"/>
  <c r="A150" i="6"/>
  <c r="E149" i="6"/>
  <c r="D149" i="6"/>
  <c r="C149" i="6"/>
  <c r="B149" i="6"/>
  <c r="A149" i="6"/>
  <c r="E148" i="6"/>
  <c r="D148" i="6"/>
  <c r="C148" i="6"/>
  <c r="B148" i="6"/>
  <c r="A148" i="6"/>
  <c r="E147" i="6"/>
  <c r="D147" i="6"/>
  <c r="C147" i="6"/>
  <c r="A147" i="6"/>
  <c r="B147" i="6" s="1"/>
  <c r="E146" i="6"/>
  <c r="D146" i="6"/>
  <c r="C146" i="6"/>
  <c r="A146" i="6"/>
  <c r="B146" i="6" s="1"/>
  <c r="E145" i="6"/>
  <c r="D145" i="6"/>
  <c r="C145" i="6"/>
  <c r="B145" i="6"/>
  <c r="A145" i="6"/>
  <c r="E144" i="6"/>
  <c r="D144" i="6"/>
  <c r="C144" i="6"/>
  <c r="B144" i="6"/>
  <c r="A144" i="6"/>
  <c r="E143" i="6"/>
  <c r="D143" i="6"/>
  <c r="C143" i="6"/>
  <c r="A143" i="6"/>
  <c r="B143" i="6" s="1"/>
  <c r="E142" i="6"/>
  <c r="D142" i="6"/>
  <c r="C142" i="6"/>
  <c r="B142" i="6"/>
  <c r="A142" i="6"/>
  <c r="E141" i="6"/>
  <c r="D141" i="6"/>
  <c r="C141" i="6"/>
  <c r="A141" i="6"/>
  <c r="B141" i="6" s="1"/>
  <c r="E140" i="6"/>
  <c r="D140" i="6"/>
  <c r="C140" i="6"/>
  <c r="B140" i="6"/>
  <c r="A140" i="6"/>
  <c r="E139" i="6"/>
  <c r="D139" i="6"/>
  <c r="C139" i="6"/>
  <c r="A139" i="6"/>
  <c r="B139" i="6" s="1"/>
  <c r="E138" i="6"/>
  <c r="D138" i="6"/>
  <c r="C138" i="6"/>
  <c r="B138" i="6"/>
  <c r="A138" i="6"/>
  <c r="E137" i="6"/>
  <c r="D137" i="6"/>
  <c r="C137" i="6"/>
  <c r="B137" i="6"/>
  <c r="A137" i="6"/>
  <c r="E136" i="6"/>
  <c r="D136" i="6"/>
  <c r="C136" i="6"/>
  <c r="B136" i="6"/>
  <c r="A136" i="6"/>
  <c r="E135" i="6"/>
  <c r="D135" i="6"/>
  <c r="C135" i="6"/>
  <c r="B135" i="6"/>
  <c r="A135" i="6"/>
  <c r="E134" i="6"/>
  <c r="D134" i="6"/>
  <c r="C134" i="6"/>
  <c r="B134" i="6"/>
  <c r="A134" i="6"/>
  <c r="E133" i="6"/>
  <c r="D133" i="6"/>
  <c r="C133" i="6"/>
  <c r="B133" i="6"/>
  <c r="A133" i="6"/>
  <c r="E132" i="6"/>
  <c r="D132" i="6"/>
  <c r="C132" i="6"/>
  <c r="A132" i="6"/>
  <c r="B132" i="6" s="1"/>
  <c r="E131" i="6"/>
  <c r="D131" i="6"/>
  <c r="C131" i="6"/>
  <c r="A131" i="6"/>
  <c r="B131" i="6" s="1"/>
  <c r="E130" i="6"/>
  <c r="D130" i="6"/>
  <c r="C130" i="6"/>
  <c r="B130" i="6"/>
  <c r="A130" i="6"/>
  <c r="E129" i="6"/>
  <c r="D129" i="6"/>
  <c r="C129" i="6"/>
  <c r="B129" i="6"/>
  <c r="A129" i="6"/>
  <c r="E128" i="6"/>
  <c r="D128" i="6"/>
  <c r="C128" i="6"/>
  <c r="B128" i="6"/>
  <c r="A128" i="6"/>
  <c r="E127" i="6"/>
  <c r="D127" i="6"/>
  <c r="C127" i="6"/>
  <c r="A127" i="6"/>
  <c r="B127" i="6" s="1"/>
  <c r="E126" i="6"/>
  <c r="D126" i="6"/>
  <c r="C126" i="6"/>
  <c r="A126" i="6"/>
  <c r="B126" i="6" s="1"/>
  <c r="E125" i="6"/>
  <c r="D125" i="6"/>
  <c r="C125" i="6"/>
  <c r="B125" i="6"/>
  <c r="A125" i="6"/>
  <c r="E124" i="6"/>
  <c r="D124" i="6"/>
  <c r="C124" i="6"/>
  <c r="B124" i="6"/>
  <c r="A124" i="6"/>
  <c r="E123" i="6"/>
  <c r="D123" i="6"/>
  <c r="C123" i="6"/>
  <c r="A123" i="6"/>
  <c r="B123" i="6" s="1"/>
  <c r="E122" i="6"/>
  <c r="D122" i="6"/>
  <c r="C122" i="6"/>
  <c r="A122" i="6"/>
  <c r="B122" i="6" s="1"/>
  <c r="E121" i="6"/>
  <c r="D121" i="6"/>
  <c r="C121" i="6"/>
  <c r="A121" i="6"/>
  <c r="B121" i="6" s="1"/>
  <c r="E120" i="6"/>
  <c r="D120" i="6"/>
  <c r="C120" i="6"/>
  <c r="B120" i="6"/>
  <c r="A120" i="6"/>
  <c r="E119" i="6"/>
  <c r="D119" i="6"/>
  <c r="C119" i="6"/>
  <c r="B119" i="6"/>
  <c r="A119" i="6"/>
  <c r="E118" i="6"/>
  <c r="D118" i="6"/>
  <c r="C118" i="6"/>
  <c r="A118" i="6"/>
  <c r="B118" i="6" s="1"/>
  <c r="E117" i="6"/>
  <c r="D117" i="6"/>
  <c r="C117" i="6"/>
  <c r="B117" i="6"/>
  <c r="A117" i="6"/>
  <c r="E116" i="6"/>
  <c r="D116" i="6"/>
  <c r="C116" i="6"/>
  <c r="B116" i="6"/>
  <c r="A116" i="6"/>
  <c r="E115" i="6"/>
  <c r="D115" i="6"/>
  <c r="C115" i="6"/>
  <c r="A115" i="6"/>
  <c r="B115" i="6" s="1"/>
  <c r="E114" i="6"/>
  <c r="D114" i="6"/>
  <c r="C114" i="6"/>
  <c r="B114" i="6"/>
  <c r="A114" i="6"/>
  <c r="E113" i="6"/>
  <c r="D113" i="6"/>
  <c r="C113" i="6"/>
  <c r="A113" i="6"/>
  <c r="B113" i="6" s="1"/>
  <c r="E112" i="6"/>
  <c r="D112" i="6"/>
  <c r="C112" i="6"/>
  <c r="B112" i="6"/>
  <c r="A112" i="6"/>
  <c r="E111" i="6"/>
  <c r="D111" i="6"/>
  <c r="C111" i="6"/>
  <c r="B111" i="6"/>
  <c r="A111" i="6"/>
  <c r="E110" i="6"/>
  <c r="D110" i="6"/>
  <c r="C110" i="6"/>
  <c r="B110" i="6"/>
  <c r="A110" i="6"/>
  <c r="E109" i="6"/>
  <c r="D109" i="6"/>
  <c r="C109" i="6"/>
  <c r="A109" i="6"/>
  <c r="B109" i="6" s="1"/>
  <c r="E108" i="6"/>
  <c r="D108" i="6"/>
  <c r="C108" i="6"/>
  <c r="A108" i="6"/>
  <c r="B108" i="6" s="1"/>
  <c r="E107" i="6"/>
  <c r="D107" i="6"/>
  <c r="C107" i="6"/>
  <c r="A107" i="6"/>
  <c r="B107" i="6" s="1"/>
  <c r="E106" i="6"/>
  <c r="D106" i="6"/>
  <c r="C106" i="6"/>
  <c r="B106" i="6"/>
  <c r="A106" i="6"/>
  <c r="E105" i="6"/>
  <c r="D105" i="6"/>
  <c r="C105" i="6"/>
  <c r="B105" i="6"/>
  <c r="A105" i="6"/>
  <c r="E104" i="6"/>
  <c r="D104" i="6"/>
  <c r="C104" i="6"/>
  <c r="B104" i="6"/>
  <c r="A104" i="6"/>
  <c r="E103" i="6"/>
  <c r="D103" i="6"/>
  <c r="C103" i="6"/>
  <c r="A103" i="6"/>
  <c r="B103" i="6" s="1"/>
  <c r="E102" i="6"/>
  <c r="D102" i="6"/>
  <c r="C102" i="6"/>
  <c r="B102" i="6"/>
  <c r="A102" i="6"/>
  <c r="E101" i="6"/>
  <c r="D101" i="6"/>
  <c r="C101" i="6"/>
  <c r="B101" i="6"/>
  <c r="A101" i="6"/>
  <c r="E100" i="6"/>
  <c r="D100" i="6"/>
  <c r="C100" i="6"/>
  <c r="A100" i="6"/>
  <c r="B100" i="6" s="1"/>
  <c r="E99" i="6"/>
  <c r="D99" i="6"/>
  <c r="C99" i="6"/>
  <c r="A99" i="6"/>
  <c r="B99" i="6" s="1"/>
  <c r="E98" i="6"/>
  <c r="D98" i="6"/>
  <c r="C98" i="6"/>
  <c r="A98" i="6"/>
  <c r="B98" i="6" s="1"/>
  <c r="E97" i="6"/>
  <c r="D97" i="6"/>
  <c r="C97" i="6"/>
  <c r="B97" i="6"/>
  <c r="A97" i="6"/>
  <c r="E96" i="6"/>
  <c r="D96" i="6"/>
  <c r="C96" i="6"/>
  <c r="B96" i="6"/>
  <c r="A96" i="6"/>
  <c r="E95" i="6"/>
  <c r="D95" i="6"/>
  <c r="C95" i="6"/>
  <c r="A95" i="6"/>
  <c r="B95" i="6" s="1"/>
  <c r="E94" i="6"/>
  <c r="D94" i="6"/>
  <c r="C94" i="6"/>
  <c r="B94" i="6"/>
  <c r="A94" i="6"/>
  <c r="E93" i="6"/>
  <c r="D93" i="6"/>
  <c r="C93" i="6"/>
  <c r="B93" i="6"/>
  <c r="A93" i="6"/>
  <c r="E92" i="6"/>
  <c r="D92" i="6"/>
  <c r="C92" i="6"/>
  <c r="B92" i="6"/>
  <c r="A92" i="6"/>
  <c r="E91" i="6"/>
  <c r="D91" i="6"/>
  <c r="C91" i="6"/>
  <c r="A91" i="6"/>
  <c r="B91" i="6" s="1"/>
  <c r="E90" i="6"/>
  <c r="D90" i="6"/>
  <c r="C90" i="6"/>
  <c r="A90" i="6"/>
  <c r="B90" i="6" s="1"/>
  <c r="E89" i="6"/>
  <c r="D89" i="6"/>
  <c r="C89" i="6"/>
  <c r="B89" i="6"/>
  <c r="A89" i="6"/>
  <c r="E88" i="6"/>
  <c r="D88" i="6"/>
  <c r="C88" i="6"/>
  <c r="B88" i="6"/>
  <c r="A88" i="6"/>
  <c r="E87" i="6"/>
  <c r="D87" i="6"/>
  <c r="C87" i="6"/>
  <c r="B87" i="6"/>
  <c r="A87" i="6"/>
  <c r="E86" i="6"/>
  <c r="D86" i="6"/>
  <c r="C86" i="6"/>
  <c r="A86" i="6"/>
  <c r="B86" i="6" s="1"/>
  <c r="E85" i="6"/>
  <c r="D85" i="6"/>
  <c r="C85" i="6"/>
  <c r="A85" i="6"/>
  <c r="B85" i="6" s="1"/>
  <c r="E84" i="6"/>
  <c r="D84" i="6"/>
  <c r="C84" i="6"/>
  <c r="B84" i="6"/>
  <c r="A84" i="6"/>
  <c r="E83" i="6"/>
  <c r="D83" i="6"/>
  <c r="C83" i="6"/>
  <c r="A83" i="6"/>
  <c r="B83" i="6" s="1"/>
  <c r="E82" i="6"/>
  <c r="D82" i="6"/>
  <c r="C82" i="6"/>
  <c r="B82" i="6"/>
  <c r="A82" i="6"/>
  <c r="E81" i="6"/>
  <c r="D81" i="6"/>
  <c r="C81" i="6"/>
  <c r="A81" i="6"/>
  <c r="B81" i="6" s="1"/>
  <c r="E80" i="6"/>
  <c r="D80" i="6"/>
  <c r="C80" i="6"/>
  <c r="B80" i="6"/>
  <c r="A80" i="6"/>
  <c r="E79" i="6"/>
  <c r="D79" i="6"/>
  <c r="C79" i="6"/>
  <c r="B79" i="6"/>
  <c r="A79" i="6"/>
  <c r="E78" i="6"/>
  <c r="D78" i="6"/>
  <c r="C78" i="6"/>
  <c r="B78" i="6"/>
  <c r="A78" i="6"/>
  <c r="E77" i="6"/>
  <c r="D77" i="6"/>
  <c r="C77" i="6"/>
  <c r="A77" i="6"/>
  <c r="B77" i="6" s="1"/>
  <c r="E76" i="6"/>
  <c r="D76" i="6"/>
  <c r="C76" i="6"/>
  <c r="B76" i="6"/>
  <c r="A76" i="6"/>
  <c r="E75" i="6"/>
  <c r="D75" i="6"/>
  <c r="C75" i="6"/>
  <c r="A75" i="6"/>
  <c r="B75" i="6" s="1"/>
  <c r="E74" i="6"/>
  <c r="D74" i="6"/>
  <c r="C74" i="6"/>
  <c r="B74" i="6"/>
  <c r="A74" i="6"/>
  <c r="E73" i="6"/>
  <c r="D73" i="6"/>
  <c r="C73" i="6"/>
  <c r="B73" i="6"/>
  <c r="A73" i="6"/>
  <c r="E72" i="6"/>
  <c r="D72" i="6"/>
  <c r="C72" i="6"/>
  <c r="B72" i="6"/>
  <c r="A72" i="6"/>
  <c r="E71" i="6"/>
  <c r="D71" i="6"/>
  <c r="C71" i="6"/>
  <c r="B71" i="6"/>
  <c r="A71" i="6"/>
  <c r="E70" i="6"/>
  <c r="D70" i="6"/>
  <c r="C70" i="6"/>
  <c r="B70" i="6"/>
  <c r="A70" i="6"/>
  <c r="E69" i="6"/>
  <c r="D69" i="6"/>
  <c r="C69" i="6"/>
  <c r="B69" i="6"/>
  <c r="A69" i="6"/>
  <c r="E68" i="6"/>
  <c r="D68" i="6"/>
  <c r="C68" i="6"/>
  <c r="A68" i="6"/>
  <c r="B68" i="6" s="1"/>
  <c r="E67" i="6"/>
  <c r="D67" i="6"/>
  <c r="C67" i="6"/>
  <c r="A67" i="6"/>
  <c r="B67" i="6" s="1"/>
  <c r="E66" i="6"/>
  <c r="D66" i="6"/>
  <c r="C66" i="6"/>
  <c r="B66" i="6"/>
  <c r="A66" i="6"/>
  <c r="E65" i="6"/>
  <c r="D65" i="6"/>
  <c r="C65" i="6"/>
  <c r="B65" i="6"/>
  <c r="A65" i="6"/>
  <c r="E64" i="6"/>
  <c r="D64" i="6"/>
  <c r="C64" i="6"/>
  <c r="B64" i="6"/>
  <c r="A64" i="6"/>
  <c r="E63" i="6"/>
  <c r="D63" i="6"/>
  <c r="C63" i="6"/>
  <c r="A63" i="6"/>
  <c r="B63" i="6" s="1"/>
  <c r="E62" i="6"/>
  <c r="D62" i="6"/>
  <c r="C62" i="6"/>
  <c r="A62" i="6"/>
  <c r="B62" i="6" s="1"/>
  <c r="E61" i="6"/>
  <c r="D61" i="6"/>
  <c r="C61" i="6"/>
  <c r="B61" i="6"/>
  <c r="A61" i="6"/>
  <c r="E60" i="6"/>
  <c r="D60" i="6"/>
  <c r="C60" i="6"/>
  <c r="B60" i="6"/>
  <c r="A60" i="6"/>
  <c r="E59" i="6"/>
  <c r="D59" i="6"/>
  <c r="C59" i="6"/>
  <c r="A59" i="6"/>
  <c r="B59" i="6" s="1"/>
  <c r="E58" i="6"/>
  <c r="D58" i="6"/>
  <c r="C58" i="6"/>
  <c r="A58" i="6"/>
  <c r="B58" i="6" s="1"/>
  <c r="E57" i="6"/>
  <c r="D57" i="6"/>
  <c r="C57" i="6"/>
  <c r="A57" i="6"/>
  <c r="B57" i="6" s="1"/>
  <c r="E56" i="6"/>
  <c r="D56" i="6"/>
  <c r="C56" i="6"/>
  <c r="B56" i="6"/>
  <c r="A56" i="6"/>
  <c r="E55" i="6"/>
  <c r="D55" i="6"/>
  <c r="C55" i="6"/>
  <c r="B55" i="6"/>
  <c r="A55" i="6"/>
  <c r="E54" i="6"/>
  <c r="D54" i="6"/>
  <c r="C54" i="6"/>
  <c r="A54" i="6"/>
  <c r="B54" i="6" s="1"/>
  <c r="E53" i="6"/>
  <c r="D53" i="6"/>
  <c r="C53" i="6"/>
  <c r="B53" i="6"/>
  <c r="A53" i="6"/>
  <c r="E52" i="6"/>
  <c r="D52" i="6"/>
  <c r="C52" i="6"/>
  <c r="B52" i="6"/>
  <c r="A52" i="6"/>
  <c r="E51" i="6"/>
  <c r="D51" i="6"/>
  <c r="C51" i="6"/>
  <c r="B51" i="6"/>
  <c r="A51" i="6"/>
  <c r="E50" i="6"/>
  <c r="D50" i="6"/>
  <c r="C50" i="6"/>
  <c r="A50" i="6"/>
  <c r="B50" i="6" s="1"/>
  <c r="E49" i="6"/>
  <c r="D49" i="6"/>
  <c r="C49" i="6"/>
  <c r="A49" i="6"/>
  <c r="B49" i="6" s="1"/>
  <c r="E48" i="6"/>
  <c r="D48" i="6"/>
  <c r="C48" i="6"/>
  <c r="B48" i="6"/>
  <c r="A48" i="6"/>
  <c r="E47" i="6"/>
  <c r="D47" i="6"/>
  <c r="C47" i="6"/>
  <c r="B47" i="6"/>
  <c r="A47" i="6"/>
  <c r="E46" i="6"/>
  <c r="D46" i="6"/>
  <c r="C46" i="6"/>
  <c r="A46" i="6"/>
  <c r="B46" i="6" s="1"/>
  <c r="E45" i="6"/>
  <c r="D45" i="6"/>
  <c r="C45" i="6"/>
  <c r="B45" i="6"/>
  <c r="A45" i="6"/>
  <c r="E44" i="6"/>
  <c r="D44" i="6"/>
  <c r="C44" i="6"/>
  <c r="B44" i="6"/>
  <c r="A44" i="6"/>
  <c r="E43" i="6"/>
  <c r="D43" i="6"/>
  <c r="C43" i="6"/>
  <c r="B43" i="6"/>
  <c r="A43" i="6"/>
  <c r="E42" i="6"/>
  <c r="D42" i="6"/>
  <c r="C42" i="6"/>
  <c r="A42" i="6"/>
  <c r="B42" i="6" s="1"/>
  <c r="E41" i="6"/>
  <c r="D41" i="6"/>
  <c r="C41" i="6"/>
  <c r="A41" i="6"/>
  <c r="B41" i="6" s="1"/>
  <c r="E40" i="6"/>
  <c r="D40" i="6"/>
  <c r="C40" i="6"/>
  <c r="B40" i="6"/>
  <c r="A40" i="6"/>
  <c r="E39" i="6"/>
  <c r="D39" i="6"/>
  <c r="C39" i="6"/>
  <c r="B39" i="6"/>
  <c r="A39" i="6"/>
  <c r="E38" i="6"/>
  <c r="D38" i="6"/>
  <c r="C38" i="6"/>
  <c r="A38" i="6"/>
  <c r="B38" i="6" s="1"/>
  <c r="E37" i="6"/>
  <c r="D37" i="6"/>
  <c r="C37" i="6"/>
  <c r="B37" i="6"/>
  <c r="A37" i="6"/>
  <c r="E36" i="6"/>
  <c r="D36" i="6"/>
  <c r="C36" i="6"/>
  <c r="B36" i="6"/>
  <c r="A36" i="6"/>
  <c r="E35" i="6"/>
  <c r="D35" i="6"/>
  <c r="C35" i="6"/>
  <c r="B35" i="6"/>
  <c r="A35" i="6"/>
  <c r="E34" i="6"/>
  <c r="D34" i="6"/>
  <c r="C34" i="6"/>
  <c r="A34" i="6"/>
  <c r="B34" i="6" s="1"/>
  <c r="E33" i="6"/>
  <c r="D33" i="6"/>
  <c r="C33" i="6"/>
  <c r="A33" i="6"/>
  <c r="B33" i="6" s="1"/>
  <c r="E32" i="6"/>
  <c r="D32" i="6"/>
  <c r="C32" i="6"/>
  <c r="B32" i="6"/>
  <c r="A32" i="6"/>
  <c r="E31" i="6"/>
  <c r="D31" i="6"/>
  <c r="C31" i="6"/>
  <c r="B31" i="6"/>
  <c r="A31" i="6"/>
  <c r="E30" i="6"/>
  <c r="D30" i="6"/>
  <c r="C30" i="6"/>
  <c r="A30" i="6"/>
  <c r="B30" i="6" s="1"/>
  <c r="E29" i="6"/>
  <c r="D29" i="6"/>
  <c r="C29" i="6"/>
  <c r="B29" i="6"/>
  <c r="A29" i="6"/>
  <c r="E28" i="6"/>
  <c r="D28" i="6"/>
  <c r="C28" i="6"/>
  <c r="B28" i="6"/>
  <c r="A28" i="6"/>
  <c r="E27" i="6"/>
  <c r="D27" i="6"/>
  <c r="C27" i="6"/>
  <c r="B27" i="6"/>
  <c r="A27" i="6"/>
  <c r="E26" i="6"/>
  <c r="D26" i="6"/>
  <c r="C26" i="6"/>
  <c r="A26" i="6"/>
  <c r="B26" i="6" s="1"/>
  <c r="E25" i="6"/>
  <c r="D25" i="6"/>
  <c r="C25" i="6"/>
  <c r="A25" i="6"/>
  <c r="B25" i="6" s="1"/>
  <c r="E24" i="6"/>
  <c r="D24" i="6"/>
  <c r="C24" i="6"/>
  <c r="B24" i="6"/>
  <c r="A24" i="6"/>
  <c r="E23" i="6"/>
  <c r="D23" i="6"/>
  <c r="C23" i="6"/>
  <c r="B23" i="6"/>
  <c r="A23" i="6"/>
  <c r="E22" i="6"/>
  <c r="D22" i="6"/>
  <c r="C22" i="6"/>
  <c r="A22" i="6"/>
  <c r="B22" i="6" s="1"/>
  <c r="E21" i="6"/>
  <c r="D21" i="6"/>
  <c r="C21" i="6"/>
  <c r="B21" i="6"/>
  <c r="A21" i="6"/>
  <c r="E20" i="6"/>
  <c r="D20" i="6"/>
  <c r="C20" i="6"/>
  <c r="B20" i="6"/>
  <c r="A20" i="6"/>
  <c r="E19" i="6"/>
  <c r="D19" i="6"/>
  <c r="C19" i="6"/>
  <c r="B19" i="6"/>
  <c r="A19" i="6"/>
  <c r="E18" i="6"/>
  <c r="D18" i="6"/>
  <c r="C18" i="6"/>
  <c r="A18" i="6"/>
  <c r="B18" i="6" s="1"/>
  <c r="E17" i="6"/>
  <c r="D17" i="6"/>
  <c r="C17" i="6"/>
  <c r="A17" i="6"/>
  <c r="B17" i="6" s="1"/>
  <c r="E16" i="6"/>
  <c r="D16" i="6"/>
  <c r="C16" i="6"/>
  <c r="B16" i="6"/>
  <c r="A16" i="6"/>
  <c r="E15" i="6"/>
  <c r="D15" i="6"/>
  <c r="C15" i="6"/>
  <c r="B15" i="6"/>
  <c r="A15" i="6"/>
  <c r="E14" i="6"/>
  <c r="D14" i="6"/>
  <c r="C14" i="6"/>
  <c r="A14" i="6"/>
  <c r="B14" i="6" s="1"/>
  <c r="E13" i="6"/>
  <c r="D13" i="6"/>
  <c r="C13" i="6"/>
  <c r="B13" i="6"/>
  <c r="A13" i="6"/>
  <c r="E12" i="6"/>
  <c r="D12" i="6"/>
  <c r="C12" i="6"/>
  <c r="B12" i="6"/>
  <c r="A12" i="6"/>
  <c r="E11" i="6"/>
  <c r="D11" i="6"/>
  <c r="C11" i="6"/>
  <c r="B11" i="6"/>
  <c r="A11" i="6"/>
  <c r="N10" i="6"/>
  <c r="E10" i="6"/>
  <c r="D10" i="6"/>
  <c r="C10" i="6"/>
  <c r="B10" i="6"/>
  <c r="A10" i="6"/>
  <c r="N9" i="6"/>
  <c r="O9" i="6" s="1"/>
  <c r="E9" i="6"/>
  <c r="D9" i="6"/>
  <c r="C9" i="6"/>
  <c r="A9" i="6"/>
  <c r="B9" i="6" s="1"/>
  <c r="N8" i="6"/>
  <c r="E8" i="6"/>
  <c r="D8" i="6"/>
  <c r="C8" i="6"/>
  <c r="B8" i="6"/>
  <c r="A8" i="6"/>
  <c r="N7" i="6"/>
  <c r="O7" i="6" s="1"/>
  <c r="E7" i="6"/>
  <c r="D7" i="6"/>
  <c r="C7" i="6"/>
  <c r="B7" i="6"/>
  <c r="A7" i="6"/>
  <c r="N6" i="6"/>
  <c r="O6" i="6" s="1"/>
  <c r="E6" i="6"/>
  <c r="D6" i="6"/>
  <c r="C6" i="6"/>
  <c r="A6" i="6"/>
  <c r="B6" i="6" s="1"/>
  <c r="E718" i="5"/>
  <c r="D718" i="5"/>
  <c r="C718" i="5"/>
  <c r="B718" i="5"/>
  <c r="A718" i="5"/>
  <c r="E717" i="5"/>
  <c r="D717" i="5"/>
  <c r="C717" i="5"/>
  <c r="B717" i="5"/>
  <c r="A717" i="5"/>
  <c r="E716" i="5"/>
  <c r="D716" i="5"/>
  <c r="C716" i="5"/>
  <c r="B716" i="5"/>
  <c r="A716" i="5"/>
  <c r="E715" i="5"/>
  <c r="D715" i="5"/>
  <c r="C715" i="5"/>
  <c r="A715" i="5"/>
  <c r="B715" i="5" s="1"/>
  <c r="E714" i="5"/>
  <c r="D714" i="5"/>
  <c r="C714" i="5"/>
  <c r="B714" i="5"/>
  <c r="A714" i="5"/>
  <c r="E713" i="5"/>
  <c r="D713" i="5"/>
  <c r="C713" i="5"/>
  <c r="A713" i="5"/>
  <c r="B713" i="5" s="1"/>
  <c r="E712" i="5"/>
  <c r="D712" i="5"/>
  <c r="C712" i="5"/>
  <c r="A712" i="5"/>
  <c r="B712" i="5" s="1"/>
  <c r="E711" i="5"/>
  <c r="D711" i="5"/>
  <c r="C711" i="5"/>
  <c r="A711" i="5"/>
  <c r="B711" i="5" s="1"/>
  <c r="E710" i="5"/>
  <c r="D710" i="5"/>
  <c r="C710" i="5"/>
  <c r="B710" i="5"/>
  <c r="A710" i="5"/>
  <c r="E709" i="5"/>
  <c r="D709" i="5"/>
  <c r="C709" i="5"/>
  <c r="B709" i="5"/>
  <c r="A709" i="5"/>
  <c r="E708" i="5"/>
  <c r="D708" i="5"/>
  <c r="C708" i="5"/>
  <c r="B708" i="5"/>
  <c r="A708" i="5"/>
  <c r="E707" i="5"/>
  <c r="D707" i="5"/>
  <c r="C707" i="5"/>
  <c r="A707" i="5"/>
  <c r="B707" i="5" s="1"/>
  <c r="E706" i="5"/>
  <c r="D706" i="5"/>
  <c r="C706" i="5"/>
  <c r="B706" i="5"/>
  <c r="A706" i="5"/>
  <c r="E705" i="5"/>
  <c r="D705" i="5"/>
  <c r="C705" i="5"/>
  <c r="A705" i="5"/>
  <c r="B705" i="5" s="1"/>
  <c r="E704" i="5"/>
  <c r="D704" i="5"/>
  <c r="C704" i="5"/>
  <c r="A704" i="5"/>
  <c r="B704" i="5" s="1"/>
  <c r="E703" i="5"/>
  <c r="D703" i="5"/>
  <c r="C703" i="5"/>
  <c r="A703" i="5"/>
  <c r="B703" i="5" s="1"/>
  <c r="E702" i="5"/>
  <c r="D702" i="5"/>
  <c r="C702" i="5"/>
  <c r="B702" i="5"/>
  <c r="A702" i="5"/>
  <c r="E701" i="5"/>
  <c r="D701" i="5"/>
  <c r="C701" i="5"/>
  <c r="B701" i="5"/>
  <c r="A701" i="5"/>
  <c r="E700" i="5"/>
  <c r="D700" i="5"/>
  <c r="C700" i="5"/>
  <c r="B700" i="5"/>
  <c r="A700" i="5"/>
  <c r="E699" i="5"/>
  <c r="D699" i="5"/>
  <c r="C699" i="5"/>
  <c r="A699" i="5"/>
  <c r="B699" i="5" s="1"/>
  <c r="E698" i="5"/>
  <c r="D698" i="5"/>
  <c r="C698" i="5"/>
  <c r="B698" i="5"/>
  <c r="A698" i="5"/>
  <c r="E697" i="5"/>
  <c r="D697" i="5"/>
  <c r="C697" i="5"/>
  <c r="A697" i="5"/>
  <c r="B697" i="5" s="1"/>
  <c r="E696" i="5"/>
  <c r="D696" i="5"/>
  <c r="C696" i="5"/>
  <c r="A696" i="5"/>
  <c r="B696" i="5" s="1"/>
  <c r="E695" i="5"/>
  <c r="D695" i="5"/>
  <c r="C695" i="5"/>
  <c r="A695" i="5"/>
  <c r="B695" i="5" s="1"/>
  <c r="E694" i="5"/>
  <c r="D694" i="5"/>
  <c r="C694" i="5"/>
  <c r="B694" i="5"/>
  <c r="A694" i="5"/>
  <c r="E693" i="5"/>
  <c r="D693" i="5"/>
  <c r="C693" i="5"/>
  <c r="B693" i="5"/>
  <c r="A693" i="5"/>
  <c r="E692" i="5"/>
  <c r="D692" i="5"/>
  <c r="C692" i="5"/>
  <c r="B692" i="5"/>
  <c r="A692" i="5"/>
  <c r="E691" i="5"/>
  <c r="D691" i="5"/>
  <c r="C691" i="5"/>
  <c r="A691" i="5"/>
  <c r="B691" i="5" s="1"/>
  <c r="E690" i="5"/>
  <c r="D690" i="5"/>
  <c r="C690" i="5"/>
  <c r="B690" i="5"/>
  <c r="A690" i="5"/>
  <c r="E689" i="5"/>
  <c r="D689" i="5"/>
  <c r="C689" i="5"/>
  <c r="A689" i="5"/>
  <c r="B689" i="5" s="1"/>
  <c r="E688" i="5"/>
  <c r="D688" i="5"/>
  <c r="C688" i="5"/>
  <c r="A688" i="5"/>
  <c r="B688" i="5" s="1"/>
  <c r="E687" i="5"/>
  <c r="D687" i="5"/>
  <c r="C687" i="5"/>
  <c r="A687" i="5"/>
  <c r="B687" i="5" s="1"/>
  <c r="E686" i="5"/>
  <c r="D686" i="5"/>
  <c r="C686" i="5"/>
  <c r="B686" i="5"/>
  <c r="A686" i="5"/>
  <c r="E685" i="5"/>
  <c r="D685" i="5"/>
  <c r="C685" i="5"/>
  <c r="B685" i="5"/>
  <c r="A685" i="5"/>
  <c r="E684" i="5"/>
  <c r="D684" i="5"/>
  <c r="C684" i="5"/>
  <c r="B684" i="5"/>
  <c r="A684" i="5"/>
  <c r="E683" i="5"/>
  <c r="D683" i="5"/>
  <c r="C683" i="5"/>
  <c r="A683" i="5"/>
  <c r="B683" i="5" s="1"/>
  <c r="E682" i="5"/>
  <c r="D682" i="5"/>
  <c r="C682" i="5"/>
  <c r="B682" i="5"/>
  <c r="A682" i="5"/>
  <c r="E681" i="5"/>
  <c r="D681" i="5"/>
  <c r="C681" i="5"/>
  <c r="A681" i="5"/>
  <c r="B681" i="5" s="1"/>
  <c r="E680" i="5"/>
  <c r="D680" i="5"/>
  <c r="C680" i="5"/>
  <c r="A680" i="5"/>
  <c r="B680" i="5" s="1"/>
  <c r="E679" i="5"/>
  <c r="D679" i="5"/>
  <c r="C679" i="5"/>
  <c r="A679" i="5"/>
  <c r="B679" i="5" s="1"/>
  <c r="E678" i="5"/>
  <c r="D678" i="5"/>
  <c r="C678" i="5"/>
  <c r="B678" i="5"/>
  <c r="A678" i="5"/>
  <c r="E677" i="5"/>
  <c r="D677" i="5"/>
  <c r="C677" i="5"/>
  <c r="B677" i="5"/>
  <c r="A677" i="5"/>
  <c r="E676" i="5"/>
  <c r="D676" i="5"/>
  <c r="C676" i="5"/>
  <c r="B676" i="5"/>
  <c r="A676" i="5"/>
  <c r="E675" i="5"/>
  <c r="D675" i="5"/>
  <c r="C675" i="5"/>
  <c r="A675" i="5"/>
  <c r="B675" i="5" s="1"/>
  <c r="E674" i="5"/>
  <c r="D674" i="5"/>
  <c r="C674" i="5"/>
  <c r="B674" i="5"/>
  <c r="A674" i="5"/>
  <c r="E673" i="5"/>
  <c r="D673" i="5"/>
  <c r="C673" i="5"/>
  <c r="A673" i="5"/>
  <c r="B673" i="5" s="1"/>
  <c r="E672" i="5"/>
  <c r="D672" i="5"/>
  <c r="C672" i="5"/>
  <c r="A672" i="5"/>
  <c r="B672" i="5" s="1"/>
  <c r="E671" i="5"/>
  <c r="D671" i="5"/>
  <c r="C671" i="5"/>
  <c r="A671" i="5"/>
  <c r="B671" i="5" s="1"/>
  <c r="E670" i="5"/>
  <c r="D670" i="5"/>
  <c r="C670" i="5"/>
  <c r="B670" i="5"/>
  <c r="A670" i="5"/>
  <c r="E669" i="5"/>
  <c r="D669" i="5"/>
  <c r="C669" i="5"/>
  <c r="B669" i="5"/>
  <c r="A669" i="5"/>
  <c r="E668" i="5"/>
  <c r="D668" i="5"/>
  <c r="C668" i="5"/>
  <c r="B668" i="5"/>
  <c r="A668" i="5"/>
  <c r="E667" i="5"/>
  <c r="D667" i="5"/>
  <c r="C667" i="5"/>
  <c r="A667" i="5"/>
  <c r="B667" i="5" s="1"/>
  <c r="E666" i="5"/>
  <c r="D666" i="5"/>
  <c r="C666" i="5"/>
  <c r="B666" i="5"/>
  <c r="A666" i="5"/>
  <c r="E665" i="5"/>
  <c r="D665" i="5"/>
  <c r="C665" i="5"/>
  <c r="A665" i="5"/>
  <c r="B665" i="5" s="1"/>
  <c r="E664" i="5"/>
  <c r="D664" i="5"/>
  <c r="C664" i="5"/>
  <c r="A664" i="5"/>
  <c r="B664" i="5" s="1"/>
  <c r="E663" i="5"/>
  <c r="D663" i="5"/>
  <c r="C663" i="5"/>
  <c r="A663" i="5"/>
  <c r="B663" i="5" s="1"/>
  <c r="E662" i="5"/>
  <c r="D662" i="5"/>
  <c r="C662" i="5"/>
  <c r="B662" i="5"/>
  <c r="A662" i="5"/>
  <c r="E661" i="5"/>
  <c r="D661" i="5"/>
  <c r="C661" i="5"/>
  <c r="B661" i="5"/>
  <c r="A661" i="5"/>
  <c r="E660" i="5"/>
  <c r="D660" i="5"/>
  <c r="C660" i="5"/>
  <c r="B660" i="5"/>
  <c r="A660" i="5"/>
  <c r="E659" i="5"/>
  <c r="D659" i="5"/>
  <c r="C659" i="5"/>
  <c r="A659" i="5"/>
  <c r="B659" i="5" s="1"/>
  <c r="E658" i="5"/>
  <c r="D658" i="5"/>
  <c r="C658" i="5"/>
  <c r="B658" i="5"/>
  <c r="A658" i="5"/>
  <c r="E657" i="5"/>
  <c r="D657" i="5"/>
  <c r="C657" i="5"/>
  <c r="A657" i="5"/>
  <c r="B657" i="5" s="1"/>
  <c r="E656" i="5"/>
  <c r="D656" i="5"/>
  <c r="C656" i="5"/>
  <c r="A656" i="5"/>
  <c r="B656" i="5" s="1"/>
  <c r="E655" i="5"/>
  <c r="D655" i="5"/>
  <c r="C655" i="5"/>
  <c r="A655" i="5"/>
  <c r="B655" i="5" s="1"/>
  <c r="E654" i="5"/>
  <c r="D654" i="5"/>
  <c r="C654" i="5"/>
  <c r="B654" i="5"/>
  <c r="A654" i="5"/>
  <c r="E653" i="5"/>
  <c r="D653" i="5"/>
  <c r="C653" i="5"/>
  <c r="B653" i="5"/>
  <c r="A653" i="5"/>
  <c r="E652" i="5"/>
  <c r="D652" i="5"/>
  <c r="C652" i="5"/>
  <c r="B652" i="5"/>
  <c r="A652" i="5"/>
  <c r="E651" i="5"/>
  <c r="D651" i="5"/>
  <c r="C651" i="5"/>
  <c r="A651" i="5"/>
  <c r="B651" i="5" s="1"/>
  <c r="E650" i="5"/>
  <c r="D650" i="5"/>
  <c r="C650" i="5"/>
  <c r="B650" i="5"/>
  <c r="A650" i="5"/>
  <c r="E649" i="5"/>
  <c r="D649" i="5"/>
  <c r="C649" i="5"/>
  <c r="A649" i="5"/>
  <c r="B649" i="5" s="1"/>
  <c r="E648" i="5"/>
  <c r="D648" i="5"/>
  <c r="C648" i="5"/>
  <c r="A648" i="5"/>
  <c r="B648" i="5" s="1"/>
  <c r="E647" i="5"/>
  <c r="D647" i="5"/>
  <c r="C647" i="5"/>
  <c r="A647" i="5"/>
  <c r="B647" i="5" s="1"/>
  <c r="E646" i="5"/>
  <c r="D646" i="5"/>
  <c r="C646" i="5"/>
  <c r="B646" i="5"/>
  <c r="A646" i="5"/>
  <c r="E645" i="5"/>
  <c r="D645" i="5"/>
  <c r="C645" i="5"/>
  <c r="B645" i="5"/>
  <c r="A645" i="5"/>
  <c r="E644" i="5"/>
  <c r="D644" i="5"/>
  <c r="C644" i="5"/>
  <c r="B644" i="5"/>
  <c r="A644" i="5"/>
  <c r="E643" i="5"/>
  <c r="D643" i="5"/>
  <c r="C643" i="5"/>
  <c r="A643" i="5"/>
  <c r="B643" i="5" s="1"/>
  <c r="E642" i="5"/>
  <c r="D642" i="5"/>
  <c r="C642" i="5"/>
  <c r="B642" i="5"/>
  <c r="A642" i="5"/>
  <c r="E641" i="5"/>
  <c r="D641" i="5"/>
  <c r="C641" i="5"/>
  <c r="A641" i="5"/>
  <c r="B641" i="5" s="1"/>
  <c r="E640" i="5"/>
  <c r="D640" i="5"/>
  <c r="C640" i="5"/>
  <c r="A640" i="5"/>
  <c r="B640" i="5" s="1"/>
  <c r="E639" i="5"/>
  <c r="D639" i="5"/>
  <c r="C639" i="5"/>
  <c r="A639" i="5"/>
  <c r="B639" i="5" s="1"/>
  <c r="E638" i="5"/>
  <c r="D638" i="5"/>
  <c r="C638" i="5"/>
  <c r="B638" i="5"/>
  <c r="A638" i="5"/>
  <c r="E637" i="5"/>
  <c r="D637" i="5"/>
  <c r="C637" i="5"/>
  <c r="B637" i="5"/>
  <c r="A637" i="5"/>
  <c r="E636" i="5"/>
  <c r="D636" i="5"/>
  <c r="C636" i="5"/>
  <c r="B636" i="5"/>
  <c r="A636" i="5"/>
  <c r="E635" i="5"/>
  <c r="D635" i="5"/>
  <c r="C635" i="5"/>
  <c r="A635" i="5"/>
  <c r="B635" i="5" s="1"/>
  <c r="E634" i="5"/>
  <c r="D634" i="5"/>
  <c r="C634" i="5"/>
  <c r="B634" i="5"/>
  <c r="A634" i="5"/>
  <c r="E633" i="5"/>
  <c r="D633" i="5"/>
  <c r="C633" i="5"/>
  <c r="A633" i="5"/>
  <c r="B633" i="5" s="1"/>
  <c r="E632" i="5"/>
  <c r="D632" i="5"/>
  <c r="C632" i="5"/>
  <c r="A632" i="5"/>
  <c r="B632" i="5" s="1"/>
  <c r="E631" i="5"/>
  <c r="D631" i="5"/>
  <c r="C631" i="5"/>
  <c r="A631" i="5"/>
  <c r="B631" i="5" s="1"/>
  <c r="E630" i="5"/>
  <c r="D630" i="5"/>
  <c r="C630" i="5"/>
  <c r="B630" i="5"/>
  <c r="A630" i="5"/>
  <c r="E629" i="5"/>
  <c r="D629" i="5"/>
  <c r="C629" i="5"/>
  <c r="B629" i="5"/>
  <c r="A629" i="5"/>
  <c r="E628" i="5"/>
  <c r="D628" i="5"/>
  <c r="C628" i="5"/>
  <c r="B628" i="5"/>
  <c r="A628" i="5"/>
  <c r="E627" i="5"/>
  <c r="D627" i="5"/>
  <c r="C627" i="5"/>
  <c r="A627" i="5"/>
  <c r="B627" i="5" s="1"/>
  <c r="E626" i="5"/>
  <c r="D626" i="5"/>
  <c r="C626" i="5"/>
  <c r="B626" i="5"/>
  <c r="A626" i="5"/>
  <c r="E625" i="5"/>
  <c r="D625" i="5"/>
  <c r="C625" i="5"/>
  <c r="A625" i="5"/>
  <c r="B625" i="5" s="1"/>
  <c r="E624" i="5"/>
  <c r="D624" i="5"/>
  <c r="C624" i="5"/>
  <c r="A624" i="5"/>
  <c r="B624" i="5" s="1"/>
  <c r="E623" i="5"/>
  <c r="D623" i="5"/>
  <c r="C623" i="5"/>
  <c r="A623" i="5"/>
  <c r="B623" i="5" s="1"/>
  <c r="E622" i="5"/>
  <c r="D622" i="5"/>
  <c r="C622" i="5"/>
  <c r="B622" i="5"/>
  <c r="A622" i="5"/>
  <c r="E621" i="5"/>
  <c r="D621" i="5"/>
  <c r="C621" i="5"/>
  <c r="B621" i="5"/>
  <c r="A621" i="5"/>
  <c r="E620" i="5"/>
  <c r="D620" i="5"/>
  <c r="C620" i="5"/>
  <c r="B620" i="5"/>
  <c r="A620" i="5"/>
  <c r="E619" i="5"/>
  <c r="D619" i="5"/>
  <c r="C619" i="5"/>
  <c r="A619" i="5"/>
  <c r="B619" i="5" s="1"/>
  <c r="E618" i="5"/>
  <c r="D618" i="5"/>
  <c r="C618" i="5"/>
  <c r="B618" i="5"/>
  <c r="A618" i="5"/>
  <c r="E617" i="5"/>
  <c r="D617" i="5"/>
  <c r="C617" i="5"/>
  <c r="A617" i="5"/>
  <c r="B617" i="5" s="1"/>
  <c r="E616" i="5"/>
  <c r="D616" i="5"/>
  <c r="C616" i="5"/>
  <c r="A616" i="5"/>
  <c r="B616" i="5" s="1"/>
  <c r="E615" i="5"/>
  <c r="D615" i="5"/>
  <c r="C615" i="5"/>
  <c r="A615" i="5"/>
  <c r="B615" i="5" s="1"/>
  <c r="E614" i="5"/>
  <c r="D614" i="5"/>
  <c r="C614" i="5"/>
  <c r="B614" i="5"/>
  <c r="A614" i="5"/>
  <c r="E613" i="5"/>
  <c r="D613" i="5"/>
  <c r="C613" i="5"/>
  <c r="B613" i="5"/>
  <c r="A613" i="5"/>
  <c r="E612" i="5"/>
  <c r="D612" i="5"/>
  <c r="C612" i="5"/>
  <c r="B612" i="5"/>
  <c r="A612" i="5"/>
  <c r="E611" i="5"/>
  <c r="D611" i="5"/>
  <c r="C611" i="5"/>
  <c r="A611" i="5"/>
  <c r="B611" i="5" s="1"/>
  <c r="E610" i="5"/>
  <c r="D610" i="5"/>
  <c r="C610" i="5"/>
  <c r="B610" i="5"/>
  <c r="A610" i="5"/>
  <c r="E609" i="5"/>
  <c r="D609" i="5"/>
  <c r="C609" i="5"/>
  <c r="A609" i="5"/>
  <c r="B609" i="5" s="1"/>
  <c r="E608" i="5"/>
  <c r="D608" i="5"/>
  <c r="C608" i="5"/>
  <c r="A608" i="5"/>
  <c r="B608" i="5" s="1"/>
  <c r="E607" i="5"/>
  <c r="D607" i="5"/>
  <c r="C607" i="5"/>
  <c r="A607" i="5"/>
  <c r="B607" i="5" s="1"/>
  <c r="E606" i="5"/>
  <c r="D606" i="5"/>
  <c r="C606" i="5"/>
  <c r="B606" i="5"/>
  <c r="A606" i="5"/>
  <c r="E605" i="5"/>
  <c r="D605" i="5"/>
  <c r="C605" i="5"/>
  <c r="B605" i="5"/>
  <c r="A605" i="5"/>
  <c r="E604" i="5"/>
  <c r="D604" i="5"/>
  <c r="C604" i="5"/>
  <c r="B604" i="5"/>
  <c r="A604" i="5"/>
  <c r="E603" i="5"/>
  <c r="D603" i="5"/>
  <c r="C603" i="5"/>
  <c r="A603" i="5"/>
  <c r="B603" i="5" s="1"/>
  <c r="E602" i="5"/>
  <c r="D602" i="5"/>
  <c r="C602" i="5"/>
  <c r="B602" i="5"/>
  <c r="A602" i="5"/>
  <c r="E601" i="5"/>
  <c r="D601" i="5"/>
  <c r="C601" i="5"/>
  <c r="A601" i="5"/>
  <c r="B601" i="5" s="1"/>
  <c r="E600" i="5"/>
  <c r="D600" i="5"/>
  <c r="C600" i="5"/>
  <c r="A600" i="5"/>
  <c r="B600" i="5" s="1"/>
  <c r="E599" i="5"/>
  <c r="D599" i="5"/>
  <c r="C599" i="5"/>
  <c r="A599" i="5"/>
  <c r="B599" i="5" s="1"/>
  <c r="E598" i="5"/>
  <c r="D598" i="5"/>
  <c r="C598" i="5"/>
  <c r="B598" i="5"/>
  <c r="A598" i="5"/>
  <c r="E597" i="5"/>
  <c r="D597" i="5"/>
  <c r="C597" i="5"/>
  <c r="B597" i="5"/>
  <c r="A597" i="5"/>
  <c r="E596" i="5"/>
  <c r="D596" i="5"/>
  <c r="C596" i="5"/>
  <c r="B596" i="5"/>
  <c r="A596" i="5"/>
  <c r="E595" i="5"/>
  <c r="D595" i="5"/>
  <c r="C595" i="5"/>
  <c r="A595" i="5"/>
  <c r="B595" i="5" s="1"/>
  <c r="E594" i="5"/>
  <c r="D594" i="5"/>
  <c r="C594" i="5"/>
  <c r="B594" i="5"/>
  <c r="A594" i="5"/>
  <c r="E593" i="5"/>
  <c r="D593" i="5"/>
  <c r="C593" i="5"/>
  <c r="A593" i="5"/>
  <c r="B593" i="5" s="1"/>
  <c r="E592" i="5"/>
  <c r="D592" i="5"/>
  <c r="C592" i="5"/>
  <c r="A592" i="5"/>
  <c r="B592" i="5" s="1"/>
  <c r="E591" i="5"/>
  <c r="D591" i="5"/>
  <c r="C591" i="5"/>
  <c r="A591" i="5"/>
  <c r="B591" i="5" s="1"/>
  <c r="E590" i="5"/>
  <c r="D590" i="5"/>
  <c r="C590" i="5"/>
  <c r="B590" i="5"/>
  <c r="A590" i="5"/>
  <c r="E589" i="5"/>
  <c r="D589" i="5"/>
  <c r="C589" i="5"/>
  <c r="B589" i="5"/>
  <c r="A589" i="5"/>
  <c r="E588" i="5"/>
  <c r="D588" i="5"/>
  <c r="C588" i="5"/>
  <c r="B588" i="5"/>
  <c r="A588" i="5"/>
  <c r="E587" i="5"/>
  <c r="D587" i="5"/>
  <c r="C587" i="5"/>
  <c r="A587" i="5"/>
  <c r="B587" i="5" s="1"/>
  <c r="E586" i="5"/>
  <c r="D586" i="5"/>
  <c r="C586" i="5"/>
  <c r="B586" i="5"/>
  <c r="A586" i="5"/>
  <c r="E585" i="5"/>
  <c r="D585" i="5"/>
  <c r="C585" i="5"/>
  <c r="A585" i="5"/>
  <c r="B585" i="5" s="1"/>
  <c r="E584" i="5"/>
  <c r="D584" i="5"/>
  <c r="C584" i="5"/>
  <c r="A584" i="5"/>
  <c r="B584" i="5" s="1"/>
  <c r="E583" i="5"/>
  <c r="D583" i="5"/>
  <c r="C583" i="5"/>
  <c r="A583" i="5"/>
  <c r="B583" i="5" s="1"/>
  <c r="E582" i="5"/>
  <c r="D582" i="5"/>
  <c r="C582" i="5"/>
  <c r="B582" i="5"/>
  <c r="A582" i="5"/>
  <c r="E581" i="5"/>
  <c r="D581" i="5"/>
  <c r="C581" i="5"/>
  <c r="B581" i="5"/>
  <c r="A581" i="5"/>
  <c r="E580" i="5"/>
  <c r="D580" i="5"/>
  <c r="C580" i="5"/>
  <c r="B580" i="5"/>
  <c r="A580" i="5"/>
  <c r="E579" i="5"/>
  <c r="D579" i="5"/>
  <c r="C579" i="5"/>
  <c r="A579" i="5"/>
  <c r="B579" i="5" s="1"/>
  <c r="E578" i="5"/>
  <c r="D578" i="5"/>
  <c r="C578" i="5"/>
  <c r="B578" i="5"/>
  <c r="A578" i="5"/>
  <c r="E577" i="5"/>
  <c r="D577" i="5"/>
  <c r="C577" i="5"/>
  <c r="A577" i="5"/>
  <c r="B577" i="5" s="1"/>
  <c r="E576" i="5"/>
  <c r="D576" i="5"/>
  <c r="C576" i="5"/>
  <c r="A576" i="5"/>
  <c r="B576" i="5" s="1"/>
  <c r="E575" i="5"/>
  <c r="D575" i="5"/>
  <c r="C575" i="5"/>
  <c r="A575" i="5"/>
  <c r="B575" i="5" s="1"/>
  <c r="E574" i="5"/>
  <c r="D574" i="5"/>
  <c r="C574" i="5"/>
  <c r="B574" i="5"/>
  <c r="A574" i="5"/>
  <c r="E573" i="5"/>
  <c r="D573" i="5"/>
  <c r="C573" i="5"/>
  <c r="B573" i="5"/>
  <c r="A573" i="5"/>
  <c r="E572" i="5"/>
  <c r="D572" i="5"/>
  <c r="C572" i="5"/>
  <c r="B572" i="5"/>
  <c r="A572" i="5"/>
  <c r="E571" i="5"/>
  <c r="D571" i="5"/>
  <c r="C571" i="5"/>
  <c r="A571" i="5"/>
  <c r="B571" i="5" s="1"/>
  <c r="E570" i="5"/>
  <c r="D570" i="5"/>
  <c r="C570" i="5"/>
  <c r="B570" i="5"/>
  <c r="A570" i="5"/>
  <c r="E569" i="5"/>
  <c r="D569" i="5"/>
  <c r="C569" i="5"/>
  <c r="A569" i="5"/>
  <c r="B569" i="5" s="1"/>
  <c r="E568" i="5"/>
  <c r="D568" i="5"/>
  <c r="C568" i="5"/>
  <c r="A568" i="5"/>
  <c r="B568" i="5" s="1"/>
  <c r="E567" i="5"/>
  <c r="D567" i="5"/>
  <c r="C567" i="5"/>
  <c r="A567" i="5"/>
  <c r="B567" i="5" s="1"/>
  <c r="E566" i="5"/>
  <c r="D566" i="5"/>
  <c r="C566" i="5"/>
  <c r="B566" i="5"/>
  <c r="A566" i="5"/>
  <c r="E565" i="5"/>
  <c r="D565" i="5"/>
  <c r="C565" i="5"/>
  <c r="B565" i="5"/>
  <c r="A565" i="5"/>
  <c r="E564" i="5"/>
  <c r="D564" i="5"/>
  <c r="C564" i="5"/>
  <c r="B564" i="5"/>
  <c r="A564" i="5"/>
  <c r="E563" i="5"/>
  <c r="D563" i="5"/>
  <c r="C563" i="5"/>
  <c r="A563" i="5"/>
  <c r="B563" i="5" s="1"/>
  <c r="E562" i="5"/>
  <c r="D562" i="5"/>
  <c r="C562" i="5"/>
  <c r="B562" i="5"/>
  <c r="A562" i="5"/>
  <c r="E561" i="5"/>
  <c r="D561" i="5"/>
  <c r="C561" i="5"/>
  <c r="A561" i="5"/>
  <c r="B561" i="5" s="1"/>
  <c r="E560" i="5"/>
  <c r="D560" i="5"/>
  <c r="C560" i="5"/>
  <c r="A560" i="5"/>
  <c r="B560" i="5" s="1"/>
  <c r="E559" i="5"/>
  <c r="D559" i="5"/>
  <c r="C559" i="5"/>
  <c r="A559" i="5"/>
  <c r="B559" i="5" s="1"/>
  <c r="E558" i="5"/>
  <c r="D558" i="5"/>
  <c r="C558" i="5"/>
  <c r="B558" i="5"/>
  <c r="A558" i="5"/>
  <c r="E557" i="5"/>
  <c r="D557" i="5"/>
  <c r="C557" i="5"/>
  <c r="B557" i="5"/>
  <c r="A557" i="5"/>
  <c r="E556" i="5"/>
  <c r="D556" i="5"/>
  <c r="C556" i="5"/>
  <c r="B556" i="5"/>
  <c r="A556" i="5"/>
  <c r="E555" i="5"/>
  <c r="D555" i="5"/>
  <c r="C555" i="5"/>
  <c r="A555" i="5"/>
  <c r="B555" i="5" s="1"/>
  <c r="E554" i="5"/>
  <c r="D554" i="5"/>
  <c r="C554" i="5"/>
  <c r="B554" i="5"/>
  <c r="A554" i="5"/>
  <c r="E553" i="5"/>
  <c r="D553" i="5"/>
  <c r="C553" i="5"/>
  <c r="A553" i="5"/>
  <c r="B553" i="5" s="1"/>
  <c r="E552" i="5"/>
  <c r="D552" i="5"/>
  <c r="C552" i="5"/>
  <c r="A552" i="5"/>
  <c r="B552" i="5" s="1"/>
  <c r="E551" i="5"/>
  <c r="D551" i="5"/>
  <c r="C551" i="5"/>
  <c r="A551" i="5"/>
  <c r="B551" i="5" s="1"/>
  <c r="E550" i="5"/>
  <c r="D550" i="5"/>
  <c r="C550" i="5"/>
  <c r="B550" i="5"/>
  <c r="A550" i="5"/>
  <c r="E549" i="5"/>
  <c r="D549" i="5"/>
  <c r="C549" i="5"/>
  <c r="B549" i="5"/>
  <c r="A549" i="5"/>
  <c r="E548" i="5"/>
  <c r="D548" i="5"/>
  <c r="C548" i="5"/>
  <c r="B548" i="5"/>
  <c r="A548" i="5"/>
  <c r="E547" i="5"/>
  <c r="D547" i="5"/>
  <c r="C547" i="5"/>
  <c r="A547" i="5"/>
  <c r="B547" i="5" s="1"/>
  <c r="E546" i="5"/>
  <c r="D546" i="5"/>
  <c r="C546" i="5"/>
  <c r="B546" i="5"/>
  <c r="A546" i="5"/>
  <c r="E545" i="5"/>
  <c r="D545" i="5"/>
  <c r="C545" i="5"/>
  <c r="A545" i="5"/>
  <c r="B545" i="5" s="1"/>
  <c r="E544" i="5"/>
  <c r="D544" i="5"/>
  <c r="C544" i="5"/>
  <c r="A544" i="5"/>
  <c r="B544" i="5" s="1"/>
  <c r="E543" i="5"/>
  <c r="D543" i="5"/>
  <c r="C543" i="5"/>
  <c r="A543" i="5"/>
  <c r="B543" i="5" s="1"/>
  <c r="E542" i="5"/>
  <c r="D542" i="5"/>
  <c r="C542" i="5"/>
  <c r="B542" i="5"/>
  <c r="A542" i="5"/>
  <c r="E541" i="5"/>
  <c r="D541" i="5"/>
  <c r="C541" i="5"/>
  <c r="B541" i="5"/>
  <c r="A541" i="5"/>
  <c r="E540" i="5"/>
  <c r="D540" i="5"/>
  <c r="C540" i="5"/>
  <c r="B540" i="5"/>
  <c r="A540" i="5"/>
  <c r="E539" i="5"/>
  <c r="D539" i="5"/>
  <c r="C539" i="5"/>
  <c r="A539" i="5"/>
  <c r="B539" i="5" s="1"/>
  <c r="E538" i="5"/>
  <c r="D538" i="5"/>
  <c r="C538" i="5"/>
  <c r="B538" i="5"/>
  <c r="A538" i="5"/>
  <c r="E537" i="5"/>
  <c r="D537" i="5"/>
  <c r="C537" i="5"/>
  <c r="A537" i="5"/>
  <c r="B537" i="5" s="1"/>
  <c r="E536" i="5"/>
  <c r="D536" i="5"/>
  <c r="C536" i="5"/>
  <c r="A536" i="5"/>
  <c r="B536" i="5" s="1"/>
  <c r="E535" i="5"/>
  <c r="D535" i="5"/>
  <c r="C535" i="5"/>
  <c r="A535" i="5"/>
  <c r="B535" i="5" s="1"/>
  <c r="E534" i="5"/>
  <c r="D534" i="5"/>
  <c r="C534" i="5"/>
  <c r="B534" i="5"/>
  <c r="A534" i="5"/>
  <c r="E533" i="5"/>
  <c r="D533" i="5"/>
  <c r="C533" i="5"/>
  <c r="B533" i="5"/>
  <c r="A533" i="5"/>
  <c r="E532" i="5"/>
  <c r="D532" i="5"/>
  <c r="C532" i="5"/>
  <c r="B532" i="5"/>
  <c r="A532" i="5"/>
  <c r="E531" i="5"/>
  <c r="D531" i="5"/>
  <c r="C531" i="5"/>
  <c r="A531" i="5"/>
  <c r="B531" i="5" s="1"/>
  <c r="E530" i="5"/>
  <c r="D530" i="5"/>
  <c r="C530" i="5"/>
  <c r="B530" i="5"/>
  <c r="A530" i="5"/>
  <c r="E529" i="5"/>
  <c r="D529" i="5"/>
  <c r="C529" i="5"/>
  <c r="A529" i="5"/>
  <c r="B529" i="5" s="1"/>
  <c r="E528" i="5"/>
  <c r="D528" i="5"/>
  <c r="C528" i="5"/>
  <c r="A528" i="5"/>
  <c r="B528" i="5" s="1"/>
  <c r="E527" i="5"/>
  <c r="D527" i="5"/>
  <c r="C527" i="5"/>
  <c r="A527" i="5"/>
  <c r="B527" i="5" s="1"/>
  <c r="E526" i="5"/>
  <c r="D526" i="5"/>
  <c r="C526" i="5"/>
  <c r="B526" i="5"/>
  <c r="A526" i="5"/>
  <c r="E525" i="5"/>
  <c r="D525" i="5"/>
  <c r="C525" i="5"/>
  <c r="B525" i="5"/>
  <c r="A525" i="5"/>
  <c r="E524" i="5"/>
  <c r="D524" i="5"/>
  <c r="C524" i="5"/>
  <c r="B524" i="5"/>
  <c r="A524" i="5"/>
  <c r="E523" i="5"/>
  <c r="D523" i="5"/>
  <c r="C523" i="5"/>
  <c r="A523" i="5"/>
  <c r="B523" i="5" s="1"/>
  <c r="E522" i="5"/>
  <c r="D522" i="5"/>
  <c r="C522" i="5"/>
  <c r="B522" i="5"/>
  <c r="A522" i="5"/>
  <c r="E521" i="5"/>
  <c r="D521" i="5"/>
  <c r="C521" i="5"/>
  <c r="A521" i="5"/>
  <c r="B521" i="5" s="1"/>
  <c r="E520" i="5"/>
  <c r="D520" i="5"/>
  <c r="C520" i="5"/>
  <c r="A520" i="5"/>
  <c r="B520" i="5" s="1"/>
  <c r="E519" i="5"/>
  <c r="D519" i="5"/>
  <c r="C519" i="5"/>
  <c r="A519" i="5"/>
  <c r="B519" i="5" s="1"/>
  <c r="E518" i="5"/>
  <c r="D518" i="5"/>
  <c r="C518" i="5"/>
  <c r="B518" i="5"/>
  <c r="A518" i="5"/>
  <c r="E517" i="5"/>
  <c r="D517" i="5"/>
  <c r="C517" i="5"/>
  <c r="B517" i="5"/>
  <c r="A517" i="5"/>
  <c r="E516" i="5"/>
  <c r="D516" i="5"/>
  <c r="C516" i="5"/>
  <c r="B516" i="5"/>
  <c r="A516" i="5"/>
  <c r="E515" i="5"/>
  <c r="D515" i="5"/>
  <c r="C515" i="5"/>
  <c r="A515" i="5"/>
  <c r="B515" i="5" s="1"/>
  <c r="E514" i="5"/>
  <c r="D514" i="5"/>
  <c r="C514" i="5"/>
  <c r="B514" i="5"/>
  <c r="A514" i="5"/>
  <c r="E513" i="5"/>
  <c r="D513" i="5"/>
  <c r="C513" i="5"/>
  <c r="A513" i="5"/>
  <c r="B513" i="5" s="1"/>
  <c r="E512" i="5"/>
  <c r="D512" i="5"/>
  <c r="C512" i="5"/>
  <c r="A512" i="5"/>
  <c r="B512" i="5" s="1"/>
  <c r="E511" i="5"/>
  <c r="D511" i="5"/>
  <c r="C511" i="5"/>
  <c r="A511" i="5"/>
  <c r="B511" i="5" s="1"/>
  <c r="E510" i="5"/>
  <c r="D510" i="5"/>
  <c r="C510" i="5"/>
  <c r="B510" i="5"/>
  <c r="A510" i="5"/>
  <c r="E509" i="5"/>
  <c r="D509" i="5"/>
  <c r="C509" i="5"/>
  <c r="B509" i="5"/>
  <c r="A509" i="5"/>
  <c r="E508" i="5"/>
  <c r="D508" i="5"/>
  <c r="C508" i="5"/>
  <c r="B508" i="5"/>
  <c r="A508" i="5"/>
  <c r="E507" i="5"/>
  <c r="D507" i="5"/>
  <c r="C507" i="5"/>
  <c r="A507" i="5"/>
  <c r="B507" i="5" s="1"/>
  <c r="E506" i="5"/>
  <c r="D506" i="5"/>
  <c r="C506" i="5"/>
  <c r="B506" i="5"/>
  <c r="A506" i="5"/>
  <c r="E505" i="5"/>
  <c r="D505" i="5"/>
  <c r="C505" i="5"/>
  <c r="A505" i="5"/>
  <c r="B505" i="5" s="1"/>
  <c r="E504" i="5"/>
  <c r="D504" i="5"/>
  <c r="C504" i="5"/>
  <c r="A504" i="5"/>
  <c r="B504" i="5" s="1"/>
  <c r="E503" i="5"/>
  <c r="D503" i="5"/>
  <c r="C503" i="5"/>
  <c r="A503" i="5"/>
  <c r="B503" i="5" s="1"/>
  <c r="E502" i="5"/>
  <c r="D502" i="5"/>
  <c r="C502" i="5"/>
  <c r="B502" i="5"/>
  <c r="A502" i="5"/>
  <c r="E501" i="5"/>
  <c r="D501" i="5"/>
  <c r="C501" i="5"/>
  <c r="B501" i="5"/>
  <c r="A501" i="5"/>
  <c r="E500" i="5"/>
  <c r="D500" i="5"/>
  <c r="C500" i="5"/>
  <c r="B500" i="5"/>
  <c r="A500" i="5"/>
  <c r="E499" i="5"/>
  <c r="D499" i="5"/>
  <c r="C499" i="5"/>
  <c r="A499" i="5"/>
  <c r="B499" i="5" s="1"/>
  <c r="E498" i="5"/>
  <c r="D498" i="5"/>
  <c r="C498" i="5"/>
  <c r="B498" i="5"/>
  <c r="A498" i="5"/>
  <c r="E497" i="5"/>
  <c r="D497" i="5"/>
  <c r="C497" i="5"/>
  <c r="A497" i="5"/>
  <c r="B497" i="5" s="1"/>
  <c r="E496" i="5"/>
  <c r="D496" i="5"/>
  <c r="C496" i="5"/>
  <c r="A496" i="5"/>
  <c r="B496" i="5" s="1"/>
  <c r="E495" i="5"/>
  <c r="D495" i="5"/>
  <c r="C495" i="5"/>
  <c r="A495" i="5"/>
  <c r="B495" i="5" s="1"/>
  <c r="E494" i="5"/>
  <c r="D494" i="5"/>
  <c r="C494" i="5"/>
  <c r="B494" i="5"/>
  <c r="A494" i="5"/>
  <c r="E493" i="5"/>
  <c r="D493" i="5"/>
  <c r="C493" i="5"/>
  <c r="B493" i="5"/>
  <c r="A493" i="5"/>
  <c r="E492" i="5"/>
  <c r="D492" i="5"/>
  <c r="C492" i="5"/>
  <c r="B492" i="5"/>
  <c r="A492" i="5"/>
  <c r="E491" i="5"/>
  <c r="D491" i="5"/>
  <c r="C491" i="5"/>
  <c r="A491" i="5"/>
  <c r="B491" i="5" s="1"/>
  <c r="E490" i="5"/>
  <c r="D490" i="5"/>
  <c r="C490" i="5"/>
  <c r="B490" i="5"/>
  <c r="A490" i="5"/>
  <c r="E489" i="5"/>
  <c r="D489" i="5"/>
  <c r="C489" i="5"/>
  <c r="A489" i="5"/>
  <c r="B489" i="5" s="1"/>
  <c r="E488" i="5"/>
  <c r="D488" i="5"/>
  <c r="C488" i="5"/>
  <c r="A488" i="5"/>
  <c r="B488" i="5" s="1"/>
  <c r="E487" i="5"/>
  <c r="D487" i="5"/>
  <c r="C487" i="5"/>
  <c r="A487" i="5"/>
  <c r="B487" i="5" s="1"/>
  <c r="E486" i="5"/>
  <c r="D486" i="5"/>
  <c r="C486" i="5"/>
  <c r="B486" i="5"/>
  <c r="A486" i="5"/>
  <c r="E485" i="5"/>
  <c r="D485" i="5"/>
  <c r="C485" i="5"/>
  <c r="B485" i="5"/>
  <c r="A485" i="5"/>
  <c r="E484" i="5"/>
  <c r="D484" i="5"/>
  <c r="C484" i="5"/>
  <c r="B484" i="5"/>
  <c r="A484" i="5"/>
  <c r="E483" i="5"/>
  <c r="D483" i="5"/>
  <c r="C483" i="5"/>
  <c r="A483" i="5"/>
  <c r="B483" i="5" s="1"/>
  <c r="E482" i="5"/>
  <c r="D482" i="5"/>
  <c r="C482" i="5"/>
  <c r="B482" i="5"/>
  <c r="A482" i="5"/>
  <c r="E481" i="5"/>
  <c r="D481" i="5"/>
  <c r="C481" i="5"/>
  <c r="A481" i="5"/>
  <c r="B481" i="5" s="1"/>
  <c r="E480" i="5"/>
  <c r="D480" i="5"/>
  <c r="C480" i="5"/>
  <c r="A480" i="5"/>
  <c r="B480" i="5" s="1"/>
  <c r="E479" i="5"/>
  <c r="D479" i="5"/>
  <c r="C479" i="5"/>
  <c r="A479" i="5"/>
  <c r="B479" i="5" s="1"/>
  <c r="E478" i="5"/>
  <c r="D478" i="5"/>
  <c r="C478" i="5"/>
  <c r="B478" i="5"/>
  <c r="A478" i="5"/>
  <c r="E477" i="5"/>
  <c r="D477" i="5"/>
  <c r="C477" i="5"/>
  <c r="B477" i="5"/>
  <c r="A477" i="5"/>
  <c r="E476" i="5"/>
  <c r="D476" i="5"/>
  <c r="C476" i="5"/>
  <c r="B476" i="5"/>
  <c r="A476" i="5"/>
  <c r="E475" i="5"/>
  <c r="D475" i="5"/>
  <c r="C475" i="5"/>
  <c r="A475" i="5"/>
  <c r="B475" i="5" s="1"/>
  <c r="E474" i="5"/>
  <c r="D474" i="5"/>
  <c r="C474" i="5"/>
  <c r="B474" i="5"/>
  <c r="A474" i="5"/>
  <c r="E473" i="5"/>
  <c r="D473" i="5"/>
  <c r="C473" i="5"/>
  <c r="A473" i="5"/>
  <c r="B473" i="5" s="1"/>
  <c r="E472" i="5"/>
  <c r="D472" i="5"/>
  <c r="C472" i="5"/>
  <c r="A472" i="5"/>
  <c r="B472" i="5" s="1"/>
  <c r="E471" i="5"/>
  <c r="D471" i="5"/>
  <c r="C471" i="5"/>
  <c r="A471" i="5"/>
  <c r="B471" i="5" s="1"/>
  <c r="E470" i="5"/>
  <c r="D470" i="5"/>
  <c r="C470" i="5"/>
  <c r="B470" i="5"/>
  <c r="A470" i="5"/>
  <c r="E469" i="5"/>
  <c r="D469" i="5"/>
  <c r="C469" i="5"/>
  <c r="B469" i="5"/>
  <c r="A469" i="5"/>
  <c r="E468" i="5"/>
  <c r="D468" i="5"/>
  <c r="C468" i="5"/>
  <c r="B468" i="5"/>
  <c r="A468" i="5"/>
  <c r="E467" i="5"/>
  <c r="D467" i="5"/>
  <c r="C467" i="5"/>
  <c r="A467" i="5"/>
  <c r="B467" i="5" s="1"/>
  <c r="E466" i="5"/>
  <c r="D466" i="5"/>
  <c r="C466" i="5"/>
  <c r="B466" i="5"/>
  <c r="A466" i="5"/>
  <c r="E465" i="5"/>
  <c r="D465" i="5"/>
  <c r="C465" i="5"/>
  <c r="A465" i="5"/>
  <c r="B465" i="5" s="1"/>
  <c r="E464" i="5"/>
  <c r="D464" i="5"/>
  <c r="C464" i="5"/>
  <c r="A464" i="5"/>
  <c r="B464" i="5" s="1"/>
  <c r="E463" i="5"/>
  <c r="D463" i="5"/>
  <c r="C463" i="5"/>
  <c r="A463" i="5"/>
  <c r="B463" i="5" s="1"/>
  <c r="E462" i="5"/>
  <c r="D462" i="5"/>
  <c r="C462" i="5"/>
  <c r="B462" i="5"/>
  <c r="A462" i="5"/>
  <c r="E461" i="5"/>
  <c r="D461" i="5"/>
  <c r="C461" i="5"/>
  <c r="B461" i="5"/>
  <c r="A461" i="5"/>
  <c r="E460" i="5"/>
  <c r="D460" i="5"/>
  <c r="C460" i="5"/>
  <c r="B460" i="5"/>
  <c r="A460" i="5"/>
  <c r="E459" i="5"/>
  <c r="D459" i="5"/>
  <c r="C459" i="5"/>
  <c r="A459" i="5"/>
  <c r="B459" i="5" s="1"/>
  <c r="E458" i="5"/>
  <c r="D458" i="5"/>
  <c r="C458" i="5"/>
  <c r="B458" i="5"/>
  <c r="A458" i="5"/>
  <c r="E457" i="5"/>
  <c r="D457" i="5"/>
  <c r="C457" i="5"/>
  <c r="A457" i="5"/>
  <c r="B457" i="5" s="1"/>
  <c r="E456" i="5"/>
  <c r="D456" i="5"/>
  <c r="C456" i="5"/>
  <c r="A456" i="5"/>
  <c r="B456" i="5" s="1"/>
  <c r="E455" i="5"/>
  <c r="D455" i="5"/>
  <c r="C455" i="5"/>
  <c r="A455" i="5"/>
  <c r="B455" i="5" s="1"/>
  <c r="E454" i="5"/>
  <c r="D454" i="5"/>
  <c r="C454" i="5"/>
  <c r="B454" i="5"/>
  <c r="A454" i="5"/>
  <c r="E453" i="5"/>
  <c r="D453" i="5"/>
  <c r="C453" i="5"/>
  <c r="B453" i="5"/>
  <c r="A453" i="5"/>
  <c r="E452" i="5"/>
  <c r="D452" i="5"/>
  <c r="C452" i="5"/>
  <c r="B452" i="5"/>
  <c r="A452" i="5"/>
  <c r="E451" i="5"/>
  <c r="D451" i="5"/>
  <c r="C451" i="5"/>
  <c r="A451" i="5"/>
  <c r="B451" i="5" s="1"/>
  <c r="E450" i="5"/>
  <c r="D450" i="5"/>
  <c r="C450" i="5"/>
  <c r="B450" i="5"/>
  <c r="A450" i="5"/>
  <c r="E449" i="5"/>
  <c r="D449" i="5"/>
  <c r="C449" i="5"/>
  <c r="A449" i="5"/>
  <c r="B449" i="5" s="1"/>
  <c r="E448" i="5"/>
  <c r="D448" i="5"/>
  <c r="C448" i="5"/>
  <c r="A448" i="5"/>
  <c r="B448" i="5" s="1"/>
  <c r="E447" i="5"/>
  <c r="D447" i="5"/>
  <c r="C447" i="5"/>
  <c r="A447" i="5"/>
  <c r="B447" i="5" s="1"/>
  <c r="E446" i="5"/>
  <c r="D446" i="5"/>
  <c r="C446" i="5"/>
  <c r="B446" i="5"/>
  <c r="A446" i="5"/>
  <c r="E445" i="5"/>
  <c r="D445" i="5"/>
  <c r="C445" i="5"/>
  <c r="B445" i="5"/>
  <c r="A445" i="5"/>
  <c r="E444" i="5"/>
  <c r="D444" i="5"/>
  <c r="C444" i="5"/>
  <c r="B444" i="5"/>
  <c r="A444" i="5"/>
  <c r="E443" i="5"/>
  <c r="D443" i="5"/>
  <c r="C443" i="5"/>
  <c r="A443" i="5"/>
  <c r="B443" i="5" s="1"/>
  <c r="E442" i="5"/>
  <c r="D442" i="5"/>
  <c r="C442" i="5"/>
  <c r="B442" i="5"/>
  <c r="A442" i="5"/>
  <c r="E441" i="5"/>
  <c r="D441" i="5"/>
  <c r="C441" i="5"/>
  <c r="A441" i="5"/>
  <c r="B441" i="5" s="1"/>
  <c r="E440" i="5"/>
  <c r="D440" i="5"/>
  <c r="C440" i="5"/>
  <c r="A440" i="5"/>
  <c r="B440" i="5" s="1"/>
  <c r="E439" i="5"/>
  <c r="D439" i="5"/>
  <c r="C439" i="5"/>
  <c r="A439" i="5"/>
  <c r="B439" i="5" s="1"/>
  <c r="E438" i="5"/>
  <c r="D438" i="5"/>
  <c r="C438" i="5"/>
  <c r="B438" i="5"/>
  <c r="A438" i="5"/>
  <c r="E437" i="5"/>
  <c r="D437" i="5"/>
  <c r="C437" i="5"/>
  <c r="B437" i="5"/>
  <c r="A437" i="5"/>
  <c r="E436" i="5"/>
  <c r="D436" i="5"/>
  <c r="C436" i="5"/>
  <c r="B436" i="5"/>
  <c r="A436" i="5"/>
  <c r="E435" i="5"/>
  <c r="D435" i="5"/>
  <c r="C435" i="5"/>
  <c r="A435" i="5"/>
  <c r="B435" i="5" s="1"/>
  <c r="E434" i="5"/>
  <c r="D434" i="5"/>
  <c r="C434" i="5"/>
  <c r="B434" i="5"/>
  <c r="A434" i="5"/>
  <c r="E433" i="5"/>
  <c r="D433" i="5"/>
  <c r="C433" i="5"/>
  <c r="A433" i="5"/>
  <c r="B433" i="5" s="1"/>
  <c r="E432" i="5"/>
  <c r="D432" i="5"/>
  <c r="C432" i="5"/>
  <c r="A432" i="5"/>
  <c r="B432" i="5" s="1"/>
  <c r="E431" i="5"/>
  <c r="D431" i="5"/>
  <c r="C431" i="5"/>
  <c r="A431" i="5"/>
  <c r="B431" i="5" s="1"/>
  <c r="E430" i="5"/>
  <c r="D430" i="5"/>
  <c r="C430" i="5"/>
  <c r="B430" i="5"/>
  <c r="A430" i="5"/>
  <c r="E429" i="5"/>
  <c r="D429" i="5"/>
  <c r="C429" i="5"/>
  <c r="B429" i="5"/>
  <c r="A429" i="5"/>
  <c r="E428" i="5"/>
  <c r="D428" i="5"/>
  <c r="C428" i="5"/>
  <c r="B428" i="5"/>
  <c r="A428" i="5"/>
  <c r="E427" i="5"/>
  <c r="D427" i="5"/>
  <c r="C427" i="5"/>
  <c r="A427" i="5"/>
  <c r="B427" i="5" s="1"/>
  <c r="E426" i="5"/>
  <c r="D426" i="5"/>
  <c r="C426" i="5"/>
  <c r="B426" i="5"/>
  <c r="A426" i="5"/>
  <c r="E425" i="5"/>
  <c r="D425" i="5"/>
  <c r="C425" i="5"/>
  <c r="A425" i="5"/>
  <c r="B425" i="5" s="1"/>
  <c r="E424" i="5"/>
  <c r="D424" i="5"/>
  <c r="C424" i="5"/>
  <c r="A424" i="5"/>
  <c r="B424" i="5" s="1"/>
  <c r="E423" i="5"/>
  <c r="D423" i="5"/>
  <c r="C423" i="5"/>
  <c r="A423" i="5"/>
  <c r="B423" i="5" s="1"/>
  <c r="E422" i="5"/>
  <c r="D422" i="5"/>
  <c r="C422" i="5"/>
  <c r="B422" i="5"/>
  <c r="A422" i="5"/>
  <c r="E421" i="5"/>
  <c r="D421" i="5"/>
  <c r="C421" i="5"/>
  <c r="B421" i="5"/>
  <c r="A421" i="5"/>
  <c r="E420" i="5"/>
  <c r="D420" i="5"/>
  <c r="C420" i="5"/>
  <c r="B420" i="5"/>
  <c r="A420" i="5"/>
  <c r="E419" i="5"/>
  <c r="D419" i="5"/>
  <c r="C419" i="5"/>
  <c r="A419" i="5"/>
  <c r="B419" i="5" s="1"/>
  <c r="E418" i="5"/>
  <c r="D418" i="5"/>
  <c r="C418" i="5"/>
  <c r="B418" i="5"/>
  <c r="A418" i="5"/>
  <c r="E417" i="5"/>
  <c r="D417" i="5"/>
  <c r="C417" i="5"/>
  <c r="A417" i="5"/>
  <c r="B417" i="5" s="1"/>
  <c r="E416" i="5"/>
  <c r="D416" i="5"/>
  <c r="C416" i="5"/>
  <c r="A416" i="5"/>
  <c r="B416" i="5" s="1"/>
  <c r="E415" i="5"/>
  <c r="D415" i="5"/>
  <c r="C415" i="5"/>
  <c r="A415" i="5"/>
  <c r="B415" i="5" s="1"/>
  <c r="E414" i="5"/>
  <c r="D414" i="5"/>
  <c r="C414" i="5"/>
  <c r="B414" i="5"/>
  <c r="A414" i="5"/>
  <c r="E413" i="5"/>
  <c r="D413" i="5"/>
  <c r="C413" i="5"/>
  <c r="B413" i="5"/>
  <c r="A413" i="5"/>
  <c r="E412" i="5"/>
  <c r="D412" i="5"/>
  <c r="C412" i="5"/>
  <c r="B412" i="5"/>
  <c r="A412" i="5"/>
  <c r="E411" i="5"/>
  <c r="D411" i="5"/>
  <c r="C411" i="5"/>
  <c r="A411" i="5"/>
  <c r="B411" i="5" s="1"/>
  <c r="E410" i="5"/>
  <c r="D410" i="5"/>
  <c r="C410" i="5"/>
  <c r="B410" i="5"/>
  <c r="A410" i="5"/>
  <c r="E409" i="5"/>
  <c r="D409" i="5"/>
  <c r="C409" i="5"/>
  <c r="A409" i="5"/>
  <c r="B409" i="5" s="1"/>
  <c r="E408" i="5"/>
  <c r="D408" i="5"/>
  <c r="C408" i="5"/>
  <c r="A408" i="5"/>
  <c r="B408" i="5" s="1"/>
  <c r="E407" i="5"/>
  <c r="D407" i="5"/>
  <c r="C407" i="5"/>
  <c r="A407" i="5"/>
  <c r="B407" i="5" s="1"/>
  <c r="E406" i="5"/>
  <c r="D406" i="5"/>
  <c r="C406" i="5"/>
  <c r="B406" i="5"/>
  <c r="A406" i="5"/>
  <c r="E405" i="5"/>
  <c r="D405" i="5"/>
  <c r="C405" i="5"/>
  <c r="B405" i="5"/>
  <c r="A405" i="5"/>
  <c r="E404" i="5"/>
  <c r="D404" i="5"/>
  <c r="C404" i="5"/>
  <c r="B404" i="5"/>
  <c r="A404" i="5"/>
  <c r="E403" i="5"/>
  <c r="D403" i="5"/>
  <c r="C403" i="5"/>
  <c r="A403" i="5"/>
  <c r="B403" i="5" s="1"/>
  <c r="E402" i="5"/>
  <c r="D402" i="5"/>
  <c r="C402" i="5"/>
  <c r="B402" i="5"/>
  <c r="A402" i="5"/>
  <c r="E401" i="5"/>
  <c r="D401" i="5"/>
  <c r="C401" i="5"/>
  <c r="A401" i="5"/>
  <c r="B401" i="5" s="1"/>
  <c r="E400" i="5"/>
  <c r="D400" i="5"/>
  <c r="C400" i="5"/>
  <c r="A400" i="5"/>
  <c r="B400" i="5" s="1"/>
  <c r="E399" i="5"/>
  <c r="D399" i="5"/>
  <c r="C399" i="5"/>
  <c r="A399" i="5"/>
  <c r="B399" i="5" s="1"/>
  <c r="E398" i="5"/>
  <c r="D398" i="5"/>
  <c r="C398" i="5"/>
  <c r="B398" i="5"/>
  <c r="A398" i="5"/>
  <c r="E397" i="5"/>
  <c r="D397" i="5"/>
  <c r="C397" i="5"/>
  <c r="B397" i="5"/>
  <c r="A397" i="5"/>
  <c r="E396" i="5"/>
  <c r="D396" i="5"/>
  <c r="C396" i="5"/>
  <c r="B396" i="5"/>
  <c r="A396" i="5"/>
  <c r="E395" i="5"/>
  <c r="D395" i="5"/>
  <c r="C395" i="5"/>
  <c r="A395" i="5"/>
  <c r="B395" i="5" s="1"/>
  <c r="E394" i="5"/>
  <c r="D394" i="5"/>
  <c r="C394" i="5"/>
  <c r="B394" i="5"/>
  <c r="A394" i="5"/>
  <c r="E393" i="5"/>
  <c r="D393" i="5"/>
  <c r="C393" i="5"/>
  <c r="A393" i="5"/>
  <c r="B393" i="5" s="1"/>
  <c r="E392" i="5"/>
  <c r="D392" i="5"/>
  <c r="C392" i="5"/>
  <c r="A392" i="5"/>
  <c r="B392" i="5" s="1"/>
  <c r="E391" i="5"/>
  <c r="D391" i="5"/>
  <c r="C391" i="5"/>
  <c r="A391" i="5"/>
  <c r="B391" i="5" s="1"/>
  <c r="E390" i="5"/>
  <c r="D390" i="5"/>
  <c r="C390" i="5"/>
  <c r="B390" i="5"/>
  <c r="A390" i="5"/>
  <c r="E389" i="5"/>
  <c r="D389" i="5"/>
  <c r="C389" i="5"/>
  <c r="B389" i="5"/>
  <c r="A389" i="5"/>
  <c r="E388" i="5"/>
  <c r="D388" i="5"/>
  <c r="C388" i="5"/>
  <c r="B388" i="5"/>
  <c r="A388" i="5"/>
  <c r="E387" i="5"/>
  <c r="D387" i="5"/>
  <c r="C387" i="5"/>
  <c r="A387" i="5"/>
  <c r="B387" i="5" s="1"/>
  <c r="E386" i="5"/>
  <c r="D386" i="5"/>
  <c r="C386" i="5"/>
  <c r="B386" i="5"/>
  <c r="A386" i="5"/>
  <c r="E385" i="5"/>
  <c r="D385" i="5"/>
  <c r="C385" i="5"/>
  <c r="A385" i="5"/>
  <c r="B385" i="5" s="1"/>
  <c r="E384" i="5"/>
  <c r="D384" i="5"/>
  <c r="C384" i="5"/>
  <c r="A384" i="5"/>
  <c r="B384" i="5" s="1"/>
  <c r="E383" i="5"/>
  <c r="D383" i="5"/>
  <c r="C383" i="5"/>
  <c r="A383" i="5"/>
  <c r="B383" i="5" s="1"/>
  <c r="E382" i="5"/>
  <c r="D382" i="5"/>
  <c r="C382" i="5"/>
  <c r="B382" i="5"/>
  <c r="A382" i="5"/>
  <c r="E381" i="5"/>
  <c r="D381" i="5"/>
  <c r="C381" i="5"/>
  <c r="B381" i="5"/>
  <c r="A381" i="5"/>
  <c r="E380" i="5"/>
  <c r="D380" i="5"/>
  <c r="C380" i="5"/>
  <c r="B380" i="5"/>
  <c r="A380" i="5"/>
  <c r="E379" i="5"/>
  <c r="D379" i="5"/>
  <c r="C379" i="5"/>
  <c r="A379" i="5"/>
  <c r="B379" i="5" s="1"/>
  <c r="E378" i="5"/>
  <c r="D378" i="5"/>
  <c r="C378" i="5"/>
  <c r="B378" i="5"/>
  <c r="A378" i="5"/>
  <c r="E377" i="5"/>
  <c r="D377" i="5"/>
  <c r="C377" i="5"/>
  <c r="A377" i="5"/>
  <c r="B377" i="5" s="1"/>
  <c r="E376" i="5"/>
  <c r="D376" i="5"/>
  <c r="C376" i="5"/>
  <c r="A376" i="5"/>
  <c r="B376" i="5" s="1"/>
  <c r="E375" i="5"/>
  <c r="D375" i="5"/>
  <c r="C375" i="5"/>
  <c r="A375" i="5"/>
  <c r="B375" i="5" s="1"/>
  <c r="E374" i="5"/>
  <c r="D374" i="5"/>
  <c r="C374" i="5"/>
  <c r="B374" i="5"/>
  <c r="A374" i="5"/>
  <c r="E373" i="5"/>
  <c r="D373" i="5"/>
  <c r="C373" i="5"/>
  <c r="B373" i="5"/>
  <c r="A373" i="5"/>
  <c r="E372" i="5"/>
  <c r="D372" i="5"/>
  <c r="C372" i="5"/>
  <c r="B372" i="5"/>
  <c r="A372" i="5"/>
  <c r="E371" i="5"/>
  <c r="D371" i="5"/>
  <c r="C371" i="5"/>
  <c r="A371" i="5"/>
  <c r="B371" i="5" s="1"/>
  <c r="E370" i="5"/>
  <c r="D370" i="5"/>
  <c r="C370" i="5"/>
  <c r="B370" i="5"/>
  <c r="A370" i="5"/>
  <c r="E369" i="5"/>
  <c r="D369" i="5"/>
  <c r="C369" i="5"/>
  <c r="A369" i="5"/>
  <c r="B369" i="5" s="1"/>
  <c r="E368" i="5"/>
  <c r="D368" i="5"/>
  <c r="C368" i="5"/>
  <c r="A368" i="5"/>
  <c r="B368" i="5" s="1"/>
  <c r="E367" i="5"/>
  <c r="D367" i="5"/>
  <c r="C367" i="5"/>
  <c r="A367" i="5"/>
  <c r="B367" i="5" s="1"/>
  <c r="E366" i="5"/>
  <c r="D366" i="5"/>
  <c r="C366" i="5"/>
  <c r="B366" i="5"/>
  <c r="A366" i="5"/>
  <c r="E365" i="5"/>
  <c r="D365" i="5"/>
  <c r="C365" i="5"/>
  <c r="B365" i="5"/>
  <c r="A365" i="5"/>
  <c r="E364" i="5"/>
  <c r="D364" i="5"/>
  <c r="C364" i="5"/>
  <c r="B364" i="5"/>
  <c r="A364" i="5"/>
  <c r="E363" i="5"/>
  <c r="D363" i="5"/>
  <c r="C363" i="5"/>
  <c r="A363" i="5"/>
  <c r="B363" i="5" s="1"/>
  <c r="E362" i="5"/>
  <c r="D362" i="5"/>
  <c r="C362" i="5"/>
  <c r="B362" i="5"/>
  <c r="A362" i="5"/>
  <c r="E361" i="5"/>
  <c r="D361" i="5"/>
  <c r="C361" i="5"/>
  <c r="A361" i="5"/>
  <c r="B361" i="5" s="1"/>
  <c r="E360" i="5"/>
  <c r="D360" i="5"/>
  <c r="C360" i="5"/>
  <c r="A360" i="5"/>
  <c r="B360" i="5" s="1"/>
  <c r="E359" i="5"/>
  <c r="D359" i="5"/>
  <c r="C359" i="5"/>
  <c r="A359" i="5"/>
  <c r="B359" i="5" s="1"/>
  <c r="E358" i="5"/>
  <c r="D358" i="5"/>
  <c r="C358" i="5"/>
  <c r="B358" i="5"/>
  <c r="A358" i="5"/>
  <c r="E357" i="5"/>
  <c r="D357" i="5"/>
  <c r="C357" i="5"/>
  <c r="B357" i="5"/>
  <c r="A357" i="5"/>
  <c r="E356" i="5"/>
  <c r="D356" i="5"/>
  <c r="C356" i="5"/>
  <c r="B356" i="5"/>
  <c r="A356" i="5"/>
  <c r="E355" i="5"/>
  <c r="D355" i="5"/>
  <c r="C355" i="5"/>
  <c r="A355" i="5"/>
  <c r="B355" i="5" s="1"/>
  <c r="E354" i="5"/>
  <c r="D354" i="5"/>
  <c r="C354" i="5"/>
  <c r="B354" i="5"/>
  <c r="A354" i="5"/>
  <c r="E353" i="5"/>
  <c r="D353" i="5"/>
  <c r="C353" i="5"/>
  <c r="A353" i="5"/>
  <c r="B353" i="5" s="1"/>
  <c r="E352" i="5"/>
  <c r="D352" i="5"/>
  <c r="C352" i="5"/>
  <c r="A352" i="5"/>
  <c r="B352" i="5" s="1"/>
  <c r="E351" i="5"/>
  <c r="D351" i="5"/>
  <c r="C351" i="5"/>
  <c r="A351" i="5"/>
  <c r="B351" i="5" s="1"/>
  <c r="E350" i="5"/>
  <c r="D350" i="5"/>
  <c r="C350" i="5"/>
  <c r="B350" i="5"/>
  <c r="A350" i="5"/>
  <c r="E349" i="5"/>
  <c r="D349" i="5"/>
  <c r="C349" i="5"/>
  <c r="B349" i="5"/>
  <c r="A349" i="5"/>
  <c r="E348" i="5"/>
  <c r="D348" i="5"/>
  <c r="C348" i="5"/>
  <c r="B348" i="5"/>
  <c r="A348" i="5"/>
  <c r="E347" i="5"/>
  <c r="D347" i="5"/>
  <c r="C347" i="5"/>
  <c r="A347" i="5"/>
  <c r="B347" i="5" s="1"/>
  <c r="E346" i="5"/>
  <c r="D346" i="5"/>
  <c r="C346" i="5"/>
  <c r="B346" i="5"/>
  <c r="A346" i="5"/>
  <c r="E345" i="5"/>
  <c r="D345" i="5"/>
  <c r="C345" i="5"/>
  <c r="A345" i="5"/>
  <c r="B345" i="5" s="1"/>
  <c r="E344" i="5"/>
  <c r="D344" i="5"/>
  <c r="C344" i="5"/>
  <c r="A344" i="5"/>
  <c r="B344" i="5" s="1"/>
  <c r="E343" i="5"/>
  <c r="D343" i="5"/>
  <c r="C343" i="5"/>
  <c r="A343" i="5"/>
  <c r="B343" i="5" s="1"/>
  <c r="E342" i="5"/>
  <c r="D342" i="5"/>
  <c r="C342" i="5"/>
  <c r="B342" i="5"/>
  <c r="A342" i="5"/>
  <c r="E341" i="5"/>
  <c r="D341" i="5"/>
  <c r="C341" i="5"/>
  <c r="B341" i="5"/>
  <c r="A341" i="5"/>
  <c r="E340" i="5"/>
  <c r="D340" i="5"/>
  <c r="C340" i="5"/>
  <c r="B340" i="5"/>
  <c r="A340" i="5"/>
  <c r="E339" i="5"/>
  <c r="D339" i="5"/>
  <c r="C339" i="5"/>
  <c r="A339" i="5"/>
  <c r="B339" i="5" s="1"/>
  <c r="E338" i="5"/>
  <c r="D338" i="5"/>
  <c r="C338" i="5"/>
  <c r="B338" i="5"/>
  <c r="A338" i="5"/>
  <c r="E337" i="5"/>
  <c r="D337" i="5"/>
  <c r="C337" i="5"/>
  <c r="A337" i="5"/>
  <c r="B337" i="5" s="1"/>
  <c r="E336" i="5"/>
  <c r="D336" i="5"/>
  <c r="C336" i="5"/>
  <c r="A336" i="5"/>
  <c r="B336" i="5" s="1"/>
  <c r="E335" i="5"/>
  <c r="D335" i="5"/>
  <c r="C335" i="5"/>
  <c r="A335" i="5"/>
  <c r="B335" i="5" s="1"/>
  <c r="E334" i="5"/>
  <c r="D334" i="5"/>
  <c r="C334" i="5"/>
  <c r="B334" i="5"/>
  <c r="A334" i="5"/>
  <c r="E333" i="5"/>
  <c r="D333" i="5"/>
  <c r="C333" i="5"/>
  <c r="B333" i="5"/>
  <c r="A333" i="5"/>
  <c r="E332" i="5"/>
  <c r="D332" i="5"/>
  <c r="C332" i="5"/>
  <c r="B332" i="5"/>
  <c r="A332" i="5"/>
  <c r="E331" i="5"/>
  <c r="D331" i="5"/>
  <c r="C331" i="5"/>
  <c r="A331" i="5"/>
  <c r="B331" i="5" s="1"/>
  <c r="E330" i="5"/>
  <c r="D330" i="5"/>
  <c r="C330" i="5"/>
  <c r="B330" i="5"/>
  <c r="A330" i="5"/>
  <c r="E329" i="5"/>
  <c r="D329" i="5"/>
  <c r="C329" i="5"/>
  <c r="A329" i="5"/>
  <c r="B329" i="5" s="1"/>
  <c r="E328" i="5"/>
  <c r="D328" i="5"/>
  <c r="C328" i="5"/>
  <c r="A328" i="5"/>
  <c r="B328" i="5" s="1"/>
  <c r="E327" i="5"/>
  <c r="D327" i="5"/>
  <c r="C327" i="5"/>
  <c r="A327" i="5"/>
  <c r="B327" i="5" s="1"/>
  <c r="E326" i="5"/>
  <c r="D326" i="5"/>
  <c r="C326" i="5"/>
  <c r="B326" i="5"/>
  <c r="A326" i="5"/>
  <c r="E325" i="5"/>
  <c r="D325" i="5"/>
  <c r="C325" i="5"/>
  <c r="B325" i="5"/>
  <c r="A325" i="5"/>
  <c r="E324" i="5"/>
  <c r="D324" i="5"/>
  <c r="C324" i="5"/>
  <c r="B324" i="5"/>
  <c r="A324" i="5"/>
  <c r="E323" i="5"/>
  <c r="D323" i="5"/>
  <c r="C323" i="5"/>
  <c r="A323" i="5"/>
  <c r="B323" i="5" s="1"/>
  <c r="E322" i="5"/>
  <c r="D322" i="5"/>
  <c r="C322" i="5"/>
  <c r="B322" i="5"/>
  <c r="A322" i="5"/>
  <c r="E321" i="5"/>
  <c r="D321" i="5"/>
  <c r="C321" i="5"/>
  <c r="A321" i="5"/>
  <c r="B321" i="5" s="1"/>
  <c r="E320" i="5"/>
  <c r="D320" i="5"/>
  <c r="C320" i="5"/>
  <c r="A320" i="5"/>
  <c r="B320" i="5" s="1"/>
  <c r="E319" i="5"/>
  <c r="D319" i="5"/>
  <c r="C319" i="5"/>
  <c r="A319" i="5"/>
  <c r="B319" i="5" s="1"/>
  <c r="E318" i="5"/>
  <c r="D318" i="5"/>
  <c r="C318" i="5"/>
  <c r="B318" i="5"/>
  <c r="A318" i="5"/>
  <c r="E317" i="5"/>
  <c r="D317" i="5"/>
  <c r="C317" i="5"/>
  <c r="B317" i="5"/>
  <c r="A317" i="5"/>
  <c r="E316" i="5"/>
  <c r="D316" i="5"/>
  <c r="C316" i="5"/>
  <c r="B316" i="5"/>
  <c r="A316" i="5"/>
  <c r="E315" i="5"/>
  <c r="D315" i="5"/>
  <c r="C315" i="5"/>
  <c r="A315" i="5"/>
  <c r="B315" i="5" s="1"/>
  <c r="E314" i="5"/>
  <c r="D314" i="5"/>
  <c r="C314" i="5"/>
  <c r="B314" i="5"/>
  <c r="A314" i="5"/>
  <c r="E313" i="5"/>
  <c r="D313" i="5"/>
  <c r="C313" i="5"/>
  <c r="A313" i="5"/>
  <c r="B313" i="5" s="1"/>
  <c r="E312" i="5"/>
  <c r="D312" i="5"/>
  <c r="C312" i="5"/>
  <c r="A312" i="5"/>
  <c r="B312" i="5" s="1"/>
  <c r="E311" i="5"/>
  <c r="D311" i="5"/>
  <c r="C311" i="5"/>
  <c r="A311" i="5"/>
  <c r="B311" i="5" s="1"/>
  <c r="E310" i="5"/>
  <c r="D310" i="5"/>
  <c r="C310" i="5"/>
  <c r="B310" i="5"/>
  <c r="A310" i="5"/>
  <c r="E309" i="5"/>
  <c r="D309" i="5"/>
  <c r="C309" i="5"/>
  <c r="B309" i="5"/>
  <c r="A309" i="5"/>
  <c r="E308" i="5"/>
  <c r="D308" i="5"/>
  <c r="C308" i="5"/>
  <c r="B308" i="5"/>
  <c r="A308" i="5"/>
  <c r="E307" i="5"/>
  <c r="D307" i="5"/>
  <c r="C307" i="5"/>
  <c r="A307" i="5"/>
  <c r="B307" i="5" s="1"/>
  <c r="E306" i="5"/>
  <c r="D306" i="5"/>
  <c r="C306" i="5"/>
  <c r="B306" i="5"/>
  <c r="A306" i="5"/>
  <c r="E305" i="5"/>
  <c r="D305" i="5"/>
  <c r="C305" i="5"/>
  <c r="A305" i="5"/>
  <c r="B305" i="5" s="1"/>
  <c r="E304" i="5"/>
  <c r="D304" i="5"/>
  <c r="C304" i="5"/>
  <c r="A304" i="5"/>
  <c r="B304" i="5" s="1"/>
  <c r="E303" i="5"/>
  <c r="D303" i="5"/>
  <c r="C303" i="5"/>
  <c r="A303" i="5"/>
  <c r="B303" i="5" s="1"/>
  <c r="E302" i="5"/>
  <c r="D302" i="5"/>
  <c r="C302" i="5"/>
  <c r="B302" i="5"/>
  <c r="A302" i="5"/>
  <c r="E301" i="5"/>
  <c r="D301" i="5"/>
  <c r="C301" i="5"/>
  <c r="B301" i="5"/>
  <c r="A301" i="5"/>
  <c r="E300" i="5"/>
  <c r="D300" i="5"/>
  <c r="C300" i="5"/>
  <c r="B300" i="5"/>
  <c r="A300" i="5"/>
  <c r="E299" i="5"/>
  <c r="D299" i="5"/>
  <c r="C299" i="5"/>
  <c r="A299" i="5"/>
  <c r="B299" i="5" s="1"/>
  <c r="E298" i="5"/>
  <c r="D298" i="5"/>
  <c r="C298" i="5"/>
  <c r="B298" i="5"/>
  <c r="A298" i="5"/>
  <c r="E297" i="5"/>
  <c r="D297" i="5"/>
  <c r="C297" i="5"/>
  <c r="A297" i="5"/>
  <c r="B297" i="5" s="1"/>
  <c r="E296" i="5"/>
  <c r="D296" i="5"/>
  <c r="C296" i="5"/>
  <c r="A296" i="5"/>
  <c r="B296" i="5" s="1"/>
  <c r="E295" i="5"/>
  <c r="D295" i="5"/>
  <c r="C295" i="5"/>
  <c r="A295" i="5"/>
  <c r="B295" i="5" s="1"/>
  <c r="E294" i="5"/>
  <c r="D294" i="5"/>
  <c r="C294" i="5"/>
  <c r="B294" i="5"/>
  <c r="A294" i="5"/>
  <c r="E293" i="5"/>
  <c r="D293" i="5"/>
  <c r="C293" i="5"/>
  <c r="B293" i="5"/>
  <c r="A293" i="5"/>
  <c r="E292" i="5"/>
  <c r="D292" i="5"/>
  <c r="C292" i="5"/>
  <c r="B292" i="5"/>
  <c r="A292" i="5"/>
  <c r="E291" i="5"/>
  <c r="D291" i="5"/>
  <c r="C291" i="5"/>
  <c r="A291" i="5"/>
  <c r="B291" i="5" s="1"/>
  <c r="E290" i="5"/>
  <c r="D290" i="5"/>
  <c r="C290" i="5"/>
  <c r="B290" i="5"/>
  <c r="A290" i="5"/>
  <c r="E289" i="5"/>
  <c r="D289" i="5"/>
  <c r="C289" i="5"/>
  <c r="A289" i="5"/>
  <c r="B289" i="5" s="1"/>
  <c r="E288" i="5"/>
  <c r="D288" i="5"/>
  <c r="C288" i="5"/>
  <c r="A288" i="5"/>
  <c r="B288" i="5" s="1"/>
  <c r="E287" i="5"/>
  <c r="D287" i="5"/>
  <c r="C287" i="5"/>
  <c r="A287" i="5"/>
  <c r="B287" i="5" s="1"/>
  <c r="E286" i="5"/>
  <c r="D286" i="5"/>
  <c r="C286" i="5"/>
  <c r="B286" i="5"/>
  <c r="A286" i="5"/>
  <c r="E285" i="5"/>
  <c r="D285" i="5"/>
  <c r="C285" i="5"/>
  <c r="B285" i="5"/>
  <c r="A285" i="5"/>
  <c r="E284" i="5"/>
  <c r="D284" i="5"/>
  <c r="C284" i="5"/>
  <c r="B284" i="5"/>
  <c r="A284" i="5"/>
  <c r="E283" i="5"/>
  <c r="D283" i="5"/>
  <c r="C283" i="5"/>
  <c r="A283" i="5"/>
  <c r="B283" i="5" s="1"/>
  <c r="E282" i="5"/>
  <c r="D282" i="5"/>
  <c r="C282" i="5"/>
  <c r="B282" i="5"/>
  <c r="A282" i="5"/>
  <c r="E281" i="5"/>
  <c r="D281" i="5"/>
  <c r="C281" i="5"/>
  <c r="A281" i="5"/>
  <c r="B281" i="5" s="1"/>
  <c r="E280" i="5"/>
  <c r="D280" i="5"/>
  <c r="C280" i="5"/>
  <c r="A280" i="5"/>
  <c r="B280" i="5" s="1"/>
  <c r="E279" i="5"/>
  <c r="D279" i="5"/>
  <c r="C279" i="5"/>
  <c r="A279" i="5"/>
  <c r="B279" i="5" s="1"/>
  <c r="E278" i="5"/>
  <c r="D278" i="5"/>
  <c r="C278" i="5"/>
  <c r="B278" i="5"/>
  <c r="A278" i="5"/>
  <c r="E277" i="5"/>
  <c r="D277" i="5"/>
  <c r="C277" i="5"/>
  <c r="B277" i="5"/>
  <c r="A277" i="5"/>
  <c r="E276" i="5"/>
  <c r="D276" i="5"/>
  <c r="C276" i="5"/>
  <c r="B276" i="5"/>
  <c r="A276" i="5"/>
  <c r="E275" i="5"/>
  <c r="D275" i="5"/>
  <c r="C275" i="5"/>
  <c r="A275" i="5"/>
  <c r="B275" i="5" s="1"/>
  <c r="E274" i="5"/>
  <c r="D274" i="5"/>
  <c r="C274" i="5"/>
  <c r="B274" i="5"/>
  <c r="A274" i="5"/>
  <c r="E273" i="5"/>
  <c r="D273" i="5"/>
  <c r="C273" i="5"/>
  <c r="A273" i="5"/>
  <c r="B273" i="5" s="1"/>
  <c r="E272" i="5"/>
  <c r="D272" i="5"/>
  <c r="C272" i="5"/>
  <c r="A272" i="5"/>
  <c r="B272" i="5" s="1"/>
  <c r="E271" i="5"/>
  <c r="D271" i="5"/>
  <c r="C271" i="5"/>
  <c r="A271" i="5"/>
  <c r="B271" i="5" s="1"/>
  <c r="E270" i="5"/>
  <c r="D270" i="5"/>
  <c r="C270" i="5"/>
  <c r="B270" i="5"/>
  <c r="A270" i="5"/>
  <c r="E269" i="5"/>
  <c r="D269" i="5"/>
  <c r="C269" i="5"/>
  <c r="B269" i="5"/>
  <c r="A269" i="5"/>
  <c r="E268" i="5"/>
  <c r="D268" i="5"/>
  <c r="C268" i="5"/>
  <c r="B268" i="5"/>
  <c r="A268" i="5"/>
  <c r="E267" i="5"/>
  <c r="D267" i="5"/>
  <c r="C267" i="5"/>
  <c r="A267" i="5"/>
  <c r="B267" i="5" s="1"/>
  <c r="E266" i="5"/>
  <c r="D266" i="5"/>
  <c r="C266" i="5"/>
  <c r="A266" i="5"/>
  <c r="B266" i="5" s="1"/>
  <c r="E265" i="5"/>
  <c r="D265" i="5"/>
  <c r="C265" i="5"/>
  <c r="A265" i="5"/>
  <c r="B265" i="5" s="1"/>
  <c r="E264" i="5"/>
  <c r="D264" i="5"/>
  <c r="C264" i="5"/>
  <c r="A264" i="5"/>
  <c r="B264" i="5" s="1"/>
  <c r="E263" i="5"/>
  <c r="D263" i="5"/>
  <c r="C263" i="5"/>
  <c r="A263" i="5"/>
  <c r="B263" i="5" s="1"/>
  <c r="E262" i="5"/>
  <c r="D262" i="5"/>
  <c r="C262" i="5"/>
  <c r="B262" i="5"/>
  <c r="A262" i="5"/>
  <c r="E261" i="5"/>
  <c r="D261" i="5"/>
  <c r="C261" i="5"/>
  <c r="B261" i="5"/>
  <c r="A261" i="5"/>
  <c r="E260" i="5"/>
  <c r="D260" i="5"/>
  <c r="C260" i="5"/>
  <c r="B260" i="5"/>
  <c r="A260" i="5"/>
  <c r="E259" i="5"/>
  <c r="D259" i="5"/>
  <c r="C259" i="5"/>
  <c r="A259" i="5"/>
  <c r="B259" i="5" s="1"/>
  <c r="E258" i="5"/>
  <c r="D258" i="5"/>
  <c r="C258" i="5"/>
  <c r="A258" i="5"/>
  <c r="B258" i="5" s="1"/>
  <c r="E257" i="5"/>
  <c r="D257" i="5"/>
  <c r="C257" i="5"/>
  <c r="A257" i="5"/>
  <c r="B257" i="5" s="1"/>
  <c r="E256" i="5"/>
  <c r="D256" i="5"/>
  <c r="C256" i="5"/>
  <c r="A256" i="5"/>
  <c r="B256" i="5" s="1"/>
  <c r="E255" i="5"/>
  <c r="D255" i="5"/>
  <c r="C255" i="5"/>
  <c r="A255" i="5"/>
  <c r="B255" i="5" s="1"/>
  <c r="E254" i="5"/>
  <c r="D254" i="5"/>
  <c r="C254" i="5"/>
  <c r="B254" i="5"/>
  <c r="A254" i="5"/>
  <c r="E253" i="5"/>
  <c r="D253" i="5"/>
  <c r="C253" i="5"/>
  <c r="B253" i="5"/>
  <c r="A253" i="5"/>
  <c r="E252" i="5"/>
  <c r="D252" i="5"/>
  <c r="C252" i="5"/>
  <c r="B252" i="5"/>
  <c r="A252" i="5"/>
  <c r="E251" i="5"/>
  <c r="D251" i="5"/>
  <c r="C251" i="5"/>
  <c r="A251" i="5"/>
  <c r="B251" i="5" s="1"/>
  <c r="E250" i="5"/>
  <c r="D250" i="5"/>
  <c r="C250" i="5"/>
  <c r="A250" i="5"/>
  <c r="B250" i="5" s="1"/>
  <c r="E249" i="5"/>
  <c r="D249" i="5"/>
  <c r="C249" i="5"/>
  <c r="A249" i="5"/>
  <c r="B249" i="5" s="1"/>
  <c r="E248" i="5"/>
  <c r="D248" i="5"/>
  <c r="C248" i="5"/>
  <c r="A248" i="5"/>
  <c r="B248" i="5" s="1"/>
  <c r="E247" i="5"/>
  <c r="D247" i="5"/>
  <c r="C247" i="5"/>
  <c r="A247" i="5"/>
  <c r="B247" i="5" s="1"/>
  <c r="E246" i="5"/>
  <c r="D246" i="5"/>
  <c r="C246" i="5"/>
  <c r="B246" i="5"/>
  <c r="A246" i="5"/>
  <c r="E245" i="5"/>
  <c r="D245" i="5"/>
  <c r="C245" i="5"/>
  <c r="B245" i="5"/>
  <c r="A245" i="5"/>
  <c r="E244" i="5"/>
  <c r="D244" i="5"/>
  <c r="C244" i="5"/>
  <c r="B244" i="5"/>
  <c r="A244" i="5"/>
  <c r="E243" i="5"/>
  <c r="D243" i="5"/>
  <c r="C243" i="5"/>
  <c r="A243" i="5"/>
  <c r="B243" i="5" s="1"/>
  <c r="E242" i="5"/>
  <c r="D242" i="5"/>
  <c r="C242" i="5"/>
  <c r="A242" i="5"/>
  <c r="B242" i="5" s="1"/>
  <c r="E241" i="5"/>
  <c r="D241" i="5"/>
  <c r="C241" i="5"/>
  <c r="A241" i="5"/>
  <c r="B241" i="5" s="1"/>
  <c r="E240" i="5"/>
  <c r="D240" i="5"/>
  <c r="C240" i="5"/>
  <c r="A240" i="5"/>
  <c r="B240" i="5" s="1"/>
  <c r="E239" i="5"/>
  <c r="D239" i="5"/>
  <c r="C239" i="5"/>
  <c r="A239" i="5"/>
  <c r="B239" i="5" s="1"/>
  <c r="E238" i="5"/>
  <c r="D238" i="5"/>
  <c r="C238" i="5"/>
  <c r="B238" i="5"/>
  <c r="A238" i="5"/>
  <c r="E237" i="5"/>
  <c r="D237" i="5"/>
  <c r="C237" i="5"/>
  <c r="B237" i="5"/>
  <c r="A237" i="5"/>
  <c r="E236" i="5"/>
  <c r="D236" i="5"/>
  <c r="C236" i="5"/>
  <c r="B236" i="5"/>
  <c r="A236" i="5"/>
  <c r="E235" i="5"/>
  <c r="D235" i="5"/>
  <c r="C235" i="5"/>
  <c r="A235" i="5"/>
  <c r="B235" i="5" s="1"/>
  <c r="E234" i="5"/>
  <c r="D234" i="5"/>
  <c r="C234" i="5"/>
  <c r="A234" i="5"/>
  <c r="B234" i="5" s="1"/>
  <c r="E233" i="5"/>
  <c r="D233" i="5"/>
  <c r="C233" i="5"/>
  <c r="A233" i="5"/>
  <c r="B233" i="5" s="1"/>
  <c r="E232" i="5"/>
  <c r="D232" i="5"/>
  <c r="C232" i="5"/>
  <c r="A232" i="5"/>
  <c r="B232" i="5" s="1"/>
  <c r="E231" i="5"/>
  <c r="D231" i="5"/>
  <c r="C231" i="5"/>
  <c r="A231" i="5"/>
  <c r="B231" i="5" s="1"/>
  <c r="E230" i="5"/>
  <c r="D230" i="5"/>
  <c r="C230" i="5"/>
  <c r="B230" i="5"/>
  <c r="A230" i="5"/>
  <c r="E229" i="5"/>
  <c r="D229" i="5"/>
  <c r="C229" i="5"/>
  <c r="B229" i="5"/>
  <c r="A229" i="5"/>
  <c r="E228" i="5"/>
  <c r="D228" i="5"/>
  <c r="C228" i="5"/>
  <c r="B228" i="5"/>
  <c r="A228" i="5"/>
  <c r="E227" i="5"/>
  <c r="D227" i="5"/>
  <c r="C227" i="5"/>
  <c r="A227" i="5"/>
  <c r="B227" i="5" s="1"/>
  <c r="E226" i="5"/>
  <c r="D226" i="5"/>
  <c r="C226" i="5"/>
  <c r="A226" i="5"/>
  <c r="B226" i="5" s="1"/>
  <c r="E225" i="5"/>
  <c r="D225" i="5"/>
  <c r="C225" i="5"/>
  <c r="A225" i="5"/>
  <c r="B225" i="5" s="1"/>
  <c r="E224" i="5"/>
  <c r="D224" i="5"/>
  <c r="C224" i="5"/>
  <c r="A224" i="5"/>
  <c r="B224" i="5" s="1"/>
  <c r="E223" i="5"/>
  <c r="D223" i="5"/>
  <c r="C223" i="5"/>
  <c r="A223" i="5"/>
  <c r="B223" i="5" s="1"/>
  <c r="E222" i="5"/>
  <c r="D222" i="5"/>
  <c r="C222" i="5"/>
  <c r="B222" i="5"/>
  <c r="A222" i="5"/>
  <c r="E221" i="5"/>
  <c r="D221" i="5"/>
  <c r="C221" i="5"/>
  <c r="B221" i="5"/>
  <c r="A221" i="5"/>
  <c r="E220" i="5"/>
  <c r="D220" i="5"/>
  <c r="C220" i="5"/>
  <c r="B220" i="5"/>
  <c r="A220" i="5"/>
  <c r="E219" i="5"/>
  <c r="D219" i="5"/>
  <c r="C219" i="5"/>
  <c r="A219" i="5"/>
  <c r="B219" i="5" s="1"/>
  <c r="E218" i="5"/>
  <c r="D218" i="5"/>
  <c r="C218" i="5"/>
  <c r="A218" i="5"/>
  <c r="B218" i="5" s="1"/>
  <c r="E217" i="5"/>
  <c r="D217" i="5"/>
  <c r="C217" i="5"/>
  <c r="A217" i="5"/>
  <c r="B217" i="5" s="1"/>
  <c r="E216" i="5"/>
  <c r="D216" i="5"/>
  <c r="C216" i="5"/>
  <c r="A216" i="5"/>
  <c r="B216" i="5" s="1"/>
  <c r="E215" i="5"/>
  <c r="D215" i="5"/>
  <c r="C215" i="5"/>
  <c r="A215" i="5"/>
  <c r="B215" i="5" s="1"/>
  <c r="E214" i="5"/>
  <c r="D214" i="5"/>
  <c r="C214" i="5"/>
  <c r="B214" i="5"/>
  <c r="A214" i="5"/>
  <c r="E213" i="5"/>
  <c r="D213" i="5"/>
  <c r="C213" i="5"/>
  <c r="B213" i="5"/>
  <c r="A213" i="5"/>
  <c r="E212" i="5"/>
  <c r="D212" i="5"/>
  <c r="C212" i="5"/>
  <c r="B212" i="5"/>
  <c r="A212" i="5"/>
  <c r="E211" i="5"/>
  <c r="D211" i="5"/>
  <c r="C211" i="5"/>
  <c r="A211" i="5"/>
  <c r="B211" i="5" s="1"/>
  <c r="E210" i="5"/>
  <c r="D210" i="5"/>
  <c r="C210" i="5"/>
  <c r="A210" i="5"/>
  <c r="B210" i="5" s="1"/>
  <c r="E209" i="5"/>
  <c r="D209" i="5"/>
  <c r="C209" i="5"/>
  <c r="A209" i="5"/>
  <c r="B209" i="5" s="1"/>
  <c r="E208" i="5"/>
  <c r="D208" i="5"/>
  <c r="C208" i="5"/>
  <c r="A208" i="5"/>
  <c r="B208" i="5" s="1"/>
  <c r="E207" i="5"/>
  <c r="D207" i="5"/>
  <c r="C207" i="5"/>
  <c r="A207" i="5"/>
  <c r="B207" i="5" s="1"/>
  <c r="E206" i="5"/>
  <c r="D206" i="5"/>
  <c r="C206" i="5"/>
  <c r="B206" i="5"/>
  <c r="A206" i="5"/>
  <c r="E205" i="5"/>
  <c r="D205" i="5"/>
  <c r="C205" i="5"/>
  <c r="B205" i="5"/>
  <c r="A205" i="5"/>
  <c r="E204" i="5"/>
  <c r="D204" i="5"/>
  <c r="C204" i="5"/>
  <c r="B204" i="5"/>
  <c r="A204" i="5"/>
  <c r="E203" i="5"/>
  <c r="D203" i="5"/>
  <c r="C203" i="5"/>
  <c r="A203" i="5"/>
  <c r="B203" i="5" s="1"/>
  <c r="E202" i="5"/>
  <c r="D202" i="5"/>
  <c r="C202" i="5"/>
  <c r="A202" i="5"/>
  <c r="B202" i="5" s="1"/>
  <c r="E201" i="5"/>
  <c r="D201" i="5"/>
  <c r="C201" i="5"/>
  <c r="A201" i="5"/>
  <c r="B201" i="5" s="1"/>
  <c r="E200" i="5"/>
  <c r="D200" i="5"/>
  <c r="C200" i="5"/>
  <c r="A200" i="5"/>
  <c r="B200" i="5" s="1"/>
  <c r="E199" i="5"/>
  <c r="D199" i="5"/>
  <c r="C199" i="5"/>
  <c r="A199" i="5"/>
  <c r="B199" i="5" s="1"/>
  <c r="E198" i="5"/>
  <c r="D198" i="5"/>
  <c r="C198" i="5"/>
  <c r="B198" i="5"/>
  <c r="A198" i="5"/>
  <c r="E197" i="5"/>
  <c r="D197" i="5"/>
  <c r="C197" i="5"/>
  <c r="B197" i="5"/>
  <c r="A197" i="5"/>
  <c r="E196" i="5"/>
  <c r="D196" i="5"/>
  <c r="C196" i="5"/>
  <c r="B196" i="5"/>
  <c r="A196" i="5"/>
  <c r="E195" i="5"/>
  <c r="D195" i="5"/>
  <c r="C195" i="5"/>
  <c r="A195" i="5"/>
  <c r="B195" i="5" s="1"/>
  <c r="E194" i="5"/>
  <c r="D194" i="5"/>
  <c r="C194" i="5"/>
  <c r="A194" i="5"/>
  <c r="B194" i="5" s="1"/>
  <c r="E193" i="5"/>
  <c r="D193" i="5"/>
  <c r="C193" i="5"/>
  <c r="A193" i="5"/>
  <c r="B193" i="5" s="1"/>
  <c r="E192" i="5"/>
  <c r="D192" i="5"/>
  <c r="C192" i="5"/>
  <c r="A192" i="5"/>
  <c r="B192" i="5" s="1"/>
  <c r="E191" i="5"/>
  <c r="D191" i="5"/>
  <c r="C191" i="5"/>
  <c r="A191" i="5"/>
  <c r="B191" i="5" s="1"/>
  <c r="E190" i="5"/>
  <c r="D190" i="5"/>
  <c r="C190" i="5"/>
  <c r="B190" i="5"/>
  <c r="A190" i="5"/>
  <c r="E189" i="5"/>
  <c r="D189" i="5"/>
  <c r="C189" i="5"/>
  <c r="B189" i="5"/>
  <c r="A189" i="5"/>
  <c r="E188" i="5"/>
  <c r="D188" i="5"/>
  <c r="C188" i="5"/>
  <c r="B188" i="5"/>
  <c r="A188" i="5"/>
  <c r="E187" i="5"/>
  <c r="D187" i="5"/>
  <c r="C187" i="5"/>
  <c r="A187" i="5"/>
  <c r="B187" i="5" s="1"/>
  <c r="E186" i="5"/>
  <c r="D186" i="5"/>
  <c r="C186" i="5"/>
  <c r="A186" i="5"/>
  <c r="B186" i="5" s="1"/>
  <c r="E185" i="5"/>
  <c r="D185" i="5"/>
  <c r="C185" i="5"/>
  <c r="A185" i="5"/>
  <c r="B185" i="5" s="1"/>
  <c r="E184" i="5"/>
  <c r="D184" i="5"/>
  <c r="C184" i="5"/>
  <c r="A184" i="5"/>
  <c r="B184" i="5" s="1"/>
  <c r="E183" i="5"/>
  <c r="D183" i="5"/>
  <c r="C183" i="5"/>
  <c r="A183" i="5"/>
  <c r="B183" i="5" s="1"/>
  <c r="E182" i="5"/>
  <c r="D182" i="5"/>
  <c r="C182" i="5"/>
  <c r="B182" i="5"/>
  <c r="A182" i="5"/>
  <c r="E181" i="5"/>
  <c r="D181" i="5"/>
  <c r="C181" i="5"/>
  <c r="B181" i="5"/>
  <c r="A181" i="5"/>
  <c r="E180" i="5"/>
  <c r="D180" i="5"/>
  <c r="C180" i="5"/>
  <c r="B180" i="5"/>
  <c r="A180" i="5"/>
  <c r="E179" i="5"/>
  <c r="D179" i="5"/>
  <c r="C179" i="5"/>
  <c r="A179" i="5"/>
  <c r="B179" i="5" s="1"/>
  <c r="E178" i="5"/>
  <c r="D178" i="5"/>
  <c r="C178" i="5"/>
  <c r="A178" i="5"/>
  <c r="B178" i="5" s="1"/>
  <c r="E177" i="5"/>
  <c r="D177" i="5"/>
  <c r="C177" i="5"/>
  <c r="A177" i="5"/>
  <c r="B177" i="5" s="1"/>
  <c r="E176" i="5"/>
  <c r="D176" i="5"/>
  <c r="C176" i="5"/>
  <c r="A176" i="5"/>
  <c r="B176" i="5" s="1"/>
  <c r="E175" i="5"/>
  <c r="D175" i="5"/>
  <c r="C175" i="5"/>
  <c r="A175" i="5"/>
  <c r="B175" i="5" s="1"/>
  <c r="E174" i="5"/>
  <c r="D174" i="5"/>
  <c r="C174" i="5"/>
  <c r="B174" i="5"/>
  <c r="A174" i="5"/>
  <c r="E173" i="5"/>
  <c r="D173" i="5"/>
  <c r="C173" i="5"/>
  <c r="B173" i="5"/>
  <c r="A173" i="5"/>
  <c r="E172" i="5"/>
  <c r="D172" i="5"/>
  <c r="C172" i="5"/>
  <c r="B172" i="5"/>
  <c r="A172" i="5"/>
  <c r="E171" i="5"/>
  <c r="D171" i="5"/>
  <c r="C171" i="5"/>
  <c r="A171" i="5"/>
  <c r="B171" i="5" s="1"/>
  <c r="E170" i="5"/>
  <c r="D170" i="5"/>
  <c r="C170" i="5"/>
  <c r="A170" i="5"/>
  <c r="B170" i="5" s="1"/>
  <c r="E169" i="5"/>
  <c r="D169" i="5"/>
  <c r="C169" i="5"/>
  <c r="A169" i="5"/>
  <c r="B169" i="5" s="1"/>
  <c r="E168" i="5"/>
  <c r="D168" i="5"/>
  <c r="C168" i="5"/>
  <c r="A168" i="5"/>
  <c r="B168" i="5" s="1"/>
  <c r="E167" i="5"/>
  <c r="D167" i="5"/>
  <c r="C167" i="5"/>
  <c r="A167" i="5"/>
  <c r="B167" i="5" s="1"/>
  <c r="E166" i="5"/>
  <c r="D166" i="5"/>
  <c r="C166" i="5"/>
  <c r="B166" i="5"/>
  <c r="A166" i="5"/>
  <c r="E165" i="5"/>
  <c r="D165" i="5"/>
  <c r="C165" i="5"/>
  <c r="B165" i="5"/>
  <c r="A165" i="5"/>
  <c r="E164" i="5"/>
  <c r="D164" i="5"/>
  <c r="C164" i="5"/>
  <c r="B164" i="5"/>
  <c r="A164" i="5"/>
  <c r="E163" i="5"/>
  <c r="D163" i="5"/>
  <c r="C163" i="5"/>
  <c r="A163" i="5"/>
  <c r="B163" i="5" s="1"/>
  <c r="E162" i="5"/>
  <c r="D162" i="5"/>
  <c r="C162" i="5"/>
  <c r="A162" i="5"/>
  <c r="B162" i="5" s="1"/>
  <c r="E161" i="5"/>
  <c r="D161" i="5"/>
  <c r="C161" i="5"/>
  <c r="A161" i="5"/>
  <c r="B161" i="5" s="1"/>
  <c r="E160" i="5"/>
  <c r="D160" i="5"/>
  <c r="C160" i="5"/>
  <c r="A160" i="5"/>
  <c r="B160" i="5" s="1"/>
  <c r="E159" i="5"/>
  <c r="D159" i="5"/>
  <c r="C159" i="5"/>
  <c r="A159" i="5"/>
  <c r="B159" i="5" s="1"/>
  <c r="E158" i="5"/>
  <c r="D158" i="5"/>
  <c r="C158" i="5"/>
  <c r="B158" i="5"/>
  <c r="A158" i="5"/>
  <c r="E157" i="5"/>
  <c r="D157" i="5"/>
  <c r="C157" i="5"/>
  <c r="B157" i="5"/>
  <c r="A157" i="5"/>
  <c r="E156" i="5"/>
  <c r="D156" i="5"/>
  <c r="C156" i="5"/>
  <c r="B156" i="5"/>
  <c r="A156" i="5"/>
  <c r="E155" i="5"/>
  <c r="D155" i="5"/>
  <c r="C155" i="5"/>
  <c r="A155" i="5"/>
  <c r="B155" i="5" s="1"/>
  <c r="E154" i="5"/>
  <c r="D154" i="5"/>
  <c r="C154" i="5"/>
  <c r="A154" i="5"/>
  <c r="B154" i="5" s="1"/>
  <c r="E153" i="5"/>
  <c r="D153" i="5"/>
  <c r="C153" i="5"/>
  <c r="A153" i="5"/>
  <c r="B153" i="5" s="1"/>
  <c r="E152" i="5"/>
  <c r="D152" i="5"/>
  <c r="C152" i="5"/>
  <c r="A152" i="5"/>
  <c r="B152" i="5" s="1"/>
  <c r="E151" i="5"/>
  <c r="D151" i="5"/>
  <c r="C151" i="5"/>
  <c r="A151" i="5"/>
  <c r="B151" i="5" s="1"/>
  <c r="E150" i="5"/>
  <c r="D150" i="5"/>
  <c r="C150" i="5"/>
  <c r="B150" i="5"/>
  <c r="A150" i="5"/>
  <c r="E149" i="5"/>
  <c r="D149" i="5"/>
  <c r="C149" i="5"/>
  <c r="B149" i="5"/>
  <c r="A149" i="5"/>
  <c r="E148" i="5"/>
  <c r="D148" i="5"/>
  <c r="C148" i="5"/>
  <c r="B148" i="5"/>
  <c r="A148" i="5"/>
  <c r="E147" i="5"/>
  <c r="D147" i="5"/>
  <c r="C147" i="5"/>
  <c r="A147" i="5"/>
  <c r="B147" i="5" s="1"/>
  <c r="E146" i="5"/>
  <c r="D146" i="5"/>
  <c r="C146" i="5"/>
  <c r="A146" i="5"/>
  <c r="B146" i="5" s="1"/>
  <c r="E145" i="5"/>
  <c r="D145" i="5"/>
  <c r="C145" i="5"/>
  <c r="A145" i="5"/>
  <c r="B145" i="5" s="1"/>
  <c r="E144" i="5"/>
  <c r="D144" i="5"/>
  <c r="C144" i="5"/>
  <c r="A144" i="5"/>
  <c r="B144" i="5" s="1"/>
  <c r="E143" i="5"/>
  <c r="D143" i="5"/>
  <c r="C143" i="5"/>
  <c r="A143" i="5"/>
  <c r="B143" i="5" s="1"/>
  <c r="E142" i="5"/>
  <c r="D142" i="5"/>
  <c r="C142" i="5"/>
  <c r="B142" i="5"/>
  <c r="A142" i="5"/>
  <c r="E141" i="5"/>
  <c r="D141" i="5"/>
  <c r="C141" i="5"/>
  <c r="B141" i="5"/>
  <c r="A141" i="5"/>
  <c r="E140" i="5"/>
  <c r="D140" i="5"/>
  <c r="C140" i="5"/>
  <c r="B140" i="5"/>
  <c r="A140" i="5"/>
  <c r="E139" i="5"/>
  <c r="D139" i="5"/>
  <c r="C139" i="5"/>
  <c r="A139" i="5"/>
  <c r="B139" i="5" s="1"/>
  <c r="E138" i="5"/>
  <c r="D138" i="5"/>
  <c r="C138" i="5"/>
  <c r="A138" i="5"/>
  <c r="B138" i="5" s="1"/>
  <c r="E137" i="5"/>
  <c r="D137" i="5"/>
  <c r="C137" i="5"/>
  <c r="A137" i="5"/>
  <c r="B137" i="5" s="1"/>
  <c r="E136" i="5"/>
  <c r="D136" i="5"/>
  <c r="C136" i="5"/>
  <c r="A136" i="5"/>
  <c r="B136" i="5" s="1"/>
  <c r="E135" i="5"/>
  <c r="D135" i="5"/>
  <c r="C135" i="5"/>
  <c r="A135" i="5"/>
  <c r="B135" i="5" s="1"/>
  <c r="E134" i="5"/>
  <c r="D134" i="5"/>
  <c r="C134" i="5"/>
  <c r="B134" i="5"/>
  <c r="A134" i="5"/>
  <c r="E133" i="5"/>
  <c r="D133" i="5"/>
  <c r="C133" i="5"/>
  <c r="B133" i="5"/>
  <c r="A133" i="5"/>
  <c r="E132" i="5"/>
  <c r="D132" i="5"/>
  <c r="C132" i="5"/>
  <c r="B132" i="5"/>
  <c r="A132" i="5"/>
  <c r="E131" i="5"/>
  <c r="D131" i="5"/>
  <c r="C131" i="5"/>
  <c r="A131" i="5"/>
  <c r="B131" i="5" s="1"/>
  <c r="E130" i="5"/>
  <c r="D130" i="5"/>
  <c r="C130" i="5"/>
  <c r="A130" i="5"/>
  <c r="B130" i="5" s="1"/>
  <c r="E129" i="5"/>
  <c r="D129" i="5"/>
  <c r="C129" i="5"/>
  <c r="A129" i="5"/>
  <c r="B129" i="5" s="1"/>
  <c r="E128" i="5"/>
  <c r="D128" i="5"/>
  <c r="C128" i="5"/>
  <c r="A128" i="5"/>
  <c r="B128" i="5" s="1"/>
  <c r="E127" i="5"/>
  <c r="D127" i="5"/>
  <c r="C127" i="5"/>
  <c r="A127" i="5"/>
  <c r="B127" i="5" s="1"/>
  <c r="E126" i="5"/>
  <c r="D126" i="5"/>
  <c r="C126" i="5"/>
  <c r="B126" i="5"/>
  <c r="A126" i="5"/>
  <c r="E125" i="5"/>
  <c r="D125" i="5"/>
  <c r="C125" i="5"/>
  <c r="B125" i="5"/>
  <c r="A125" i="5"/>
  <c r="E124" i="5"/>
  <c r="D124" i="5"/>
  <c r="C124" i="5"/>
  <c r="B124" i="5"/>
  <c r="A124" i="5"/>
  <c r="E123" i="5"/>
  <c r="D123" i="5"/>
  <c r="C123" i="5"/>
  <c r="A123" i="5"/>
  <c r="B123" i="5" s="1"/>
  <c r="E122" i="5"/>
  <c r="D122" i="5"/>
  <c r="C122" i="5"/>
  <c r="A122" i="5"/>
  <c r="B122" i="5" s="1"/>
  <c r="E121" i="5"/>
  <c r="D121" i="5"/>
  <c r="C121" i="5"/>
  <c r="A121" i="5"/>
  <c r="B121" i="5" s="1"/>
  <c r="E120" i="5"/>
  <c r="D120" i="5"/>
  <c r="C120" i="5"/>
  <c r="A120" i="5"/>
  <c r="B120" i="5" s="1"/>
  <c r="E119" i="5"/>
  <c r="D119" i="5"/>
  <c r="C119" i="5"/>
  <c r="A119" i="5"/>
  <c r="B119" i="5" s="1"/>
  <c r="E118" i="5"/>
  <c r="D118" i="5"/>
  <c r="C118" i="5"/>
  <c r="B118" i="5"/>
  <c r="A118" i="5"/>
  <c r="E117" i="5"/>
  <c r="D117" i="5"/>
  <c r="C117" i="5"/>
  <c r="B117" i="5"/>
  <c r="A117" i="5"/>
  <c r="E116" i="5"/>
  <c r="D116" i="5"/>
  <c r="C116" i="5"/>
  <c r="B116" i="5"/>
  <c r="A116" i="5"/>
  <c r="E115" i="5"/>
  <c r="D115" i="5"/>
  <c r="C115" i="5"/>
  <c r="A115" i="5"/>
  <c r="B115" i="5" s="1"/>
  <c r="E114" i="5"/>
  <c r="D114" i="5"/>
  <c r="C114" i="5"/>
  <c r="A114" i="5"/>
  <c r="B114" i="5" s="1"/>
  <c r="E113" i="5"/>
  <c r="D113" i="5"/>
  <c r="C113" i="5"/>
  <c r="A113" i="5"/>
  <c r="B113" i="5" s="1"/>
  <c r="E112" i="5"/>
  <c r="D112" i="5"/>
  <c r="C112" i="5"/>
  <c r="A112" i="5"/>
  <c r="B112" i="5" s="1"/>
  <c r="E111" i="5"/>
  <c r="D111" i="5"/>
  <c r="C111" i="5"/>
  <c r="A111" i="5"/>
  <c r="B111" i="5" s="1"/>
  <c r="E110" i="5"/>
  <c r="D110" i="5"/>
  <c r="C110" i="5"/>
  <c r="B110" i="5"/>
  <c r="A110" i="5"/>
  <c r="E109" i="5"/>
  <c r="D109" i="5"/>
  <c r="C109" i="5"/>
  <c r="B109" i="5"/>
  <c r="A109" i="5"/>
  <c r="E108" i="5"/>
  <c r="D108" i="5"/>
  <c r="C108" i="5"/>
  <c r="B108" i="5"/>
  <c r="A108" i="5"/>
  <c r="E107" i="5"/>
  <c r="D107" i="5"/>
  <c r="C107" i="5"/>
  <c r="A107" i="5"/>
  <c r="B107" i="5" s="1"/>
  <c r="E106" i="5"/>
  <c r="D106" i="5"/>
  <c r="C106" i="5"/>
  <c r="A106" i="5"/>
  <c r="B106" i="5" s="1"/>
  <c r="E105" i="5"/>
  <c r="D105" i="5"/>
  <c r="C105" i="5"/>
  <c r="A105" i="5"/>
  <c r="B105" i="5" s="1"/>
  <c r="E104" i="5"/>
  <c r="D104" i="5"/>
  <c r="C104" i="5"/>
  <c r="A104" i="5"/>
  <c r="B104" i="5" s="1"/>
  <c r="E103" i="5"/>
  <c r="D103" i="5"/>
  <c r="C103" i="5"/>
  <c r="A103" i="5"/>
  <c r="B103" i="5" s="1"/>
  <c r="E102" i="5"/>
  <c r="D102" i="5"/>
  <c r="C102" i="5"/>
  <c r="B102" i="5"/>
  <c r="A102" i="5"/>
  <c r="E101" i="5"/>
  <c r="D101" i="5"/>
  <c r="C101" i="5"/>
  <c r="B101" i="5"/>
  <c r="A101" i="5"/>
  <c r="E100" i="5"/>
  <c r="D100" i="5"/>
  <c r="C100" i="5"/>
  <c r="B100" i="5"/>
  <c r="A100" i="5"/>
  <c r="E99" i="5"/>
  <c r="D99" i="5"/>
  <c r="C99" i="5"/>
  <c r="A99" i="5"/>
  <c r="B99" i="5" s="1"/>
  <c r="E98" i="5"/>
  <c r="D98" i="5"/>
  <c r="C98" i="5"/>
  <c r="A98" i="5"/>
  <c r="B98" i="5" s="1"/>
  <c r="E97" i="5"/>
  <c r="D97" i="5"/>
  <c r="C97" i="5"/>
  <c r="A97" i="5"/>
  <c r="B97" i="5" s="1"/>
  <c r="E96" i="5"/>
  <c r="D96" i="5"/>
  <c r="C96" i="5"/>
  <c r="A96" i="5"/>
  <c r="B96" i="5" s="1"/>
  <c r="E95" i="5"/>
  <c r="D95" i="5"/>
  <c r="C95" i="5"/>
  <c r="A95" i="5"/>
  <c r="B95" i="5" s="1"/>
  <c r="E94" i="5"/>
  <c r="D94" i="5"/>
  <c r="C94" i="5"/>
  <c r="B94" i="5"/>
  <c r="A94" i="5"/>
  <c r="E93" i="5"/>
  <c r="D93" i="5"/>
  <c r="C93" i="5"/>
  <c r="B93" i="5"/>
  <c r="A93" i="5"/>
  <c r="E92" i="5"/>
  <c r="D92" i="5"/>
  <c r="C92" i="5"/>
  <c r="B92" i="5"/>
  <c r="A92" i="5"/>
  <c r="E91" i="5"/>
  <c r="D91" i="5"/>
  <c r="C91" i="5"/>
  <c r="A91" i="5"/>
  <c r="B91" i="5" s="1"/>
  <c r="E90" i="5"/>
  <c r="D90" i="5"/>
  <c r="C90" i="5"/>
  <c r="A90" i="5"/>
  <c r="B90" i="5" s="1"/>
  <c r="E89" i="5"/>
  <c r="D89" i="5"/>
  <c r="C89" i="5"/>
  <c r="A89" i="5"/>
  <c r="B89" i="5" s="1"/>
  <c r="E88" i="5"/>
  <c r="D88" i="5"/>
  <c r="C88" i="5"/>
  <c r="A88" i="5"/>
  <c r="B88" i="5" s="1"/>
  <c r="E87" i="5"/>
  <c r="D87" i="5"/>
  <c r="C87" i="5"/>
  <c r="A87" i="5"/>
  <c r="B87" i="5" s="1"/>
  <c r="E86" i="5"/>
  <c r="D86" i="5"/>
  <c r="C86" i="5"/>
  <c r="B86" i="5"/>
  <c r="A86" i="5"/>
  <c r="E85" i="5"/>
  <c r="D85" i="5"/>
  <c r="C85" i="5"/>
  <c r="B85" i="5"/>
  <c r="A85" i="5"/>
  <c r="E84" i="5"/>
  <c r="D84" i="5"/>
  <c r="C84" i="5"/>
  <c r="B84" i="5"/>
  <c r="A84" i="5"/>
  <c r="E83" i="5"/>
  <c r="D83" i="5"/>
  <c r="C83" i="5"/>
  <c r="A83" i="5"/>
  <c r="B83" i="5" s="1"/>
  <c r="E82" i="5"/>
  <c r="D82" i="5"/>
  <c r="C82" i="5"/>
  <c r="A82" i="5"/>
  <c r="B82" i="5" s="1"/>
  <c r="E81" i="5"/>
  <c r="D81" i="5"/>
  <c r="C81" i="5"/>
  <c r="A81" i="5"/>
  <c r="B81" i="5" s="1"/>
  <c r="E80" i="5"/>
  <c r="D80" i="5"/>
  <c r="C80" i="5"/>
  <c r="A80" i="5"/>
  <c r="B80" i="5" s="1"/>
  <c r="E79" i="5"/>
  <c r="D79" i="5"/>
  <c r="C79" i="5"/>
  <c r="A79" i="5"/>
  <c r="B79" i="5" s="1"/>
  <c r="E78" i="5"/>
  <c r="D78" i="5"/>
  <c r="C78" i="5"/>
  <c r="B78" i="5"/>
  <c r="A78" i="5"/>
  <c r="E77" i="5"/>
  <c r="D77" i="5"/>
  <c r="C77" i="5"/>
  <c r="B77" i="5"/>
  <c r="A77" i="5"/>
  <c r="E76" i="5"/>
  <c r="D76" i="5"/>
  <c r="C76" i="5"/>
  <c r="B76" i="5"/>
  <c r="A76" i="5"/>
  <c r="E75" i="5"/>
  <c r="D75" i="5"/>
  <c r="C75" i="5"/>
  <c r="A75" i="5"/>
  <c r="B75" i="5" s="1"/>
  <c r="E74" i="5"/>
  <c r="D74" i="5"/>
  <c r="C74" i="5"/>
  <c r="A74" i="5"/>
  <c r="B74" i="5" s="1"/>
  <c r="E73" i="5"/>
  <c r="D73" i="5"/>
  <c r="C73" i="5"/>
  <c r="A73" i="5"/>
  <c r="B73" i="5" s="1"/>
  <c r="E72" i="5"/>
  <c r="D72" i="5"/>
  <c r="C72" i="5"/>
  <c r="A72" i="5"/>
  <c r="B72" i="5" s="1"/>
  <c r="E71" i="5"/>
  <c r="D71" i="5"/>
  <c r="C71" i="5"/>
  <c r="A71" i="5"/>
  <c r="B71" i="5" s="1"/>
  <c r="E70" i="5"/>
  <c r="D70" i="5"/>
  <c r="C70" i="5"/>
  <c r="B70" i="5"/>
  <c r="A70" i="5"/>
  <c r="E69" i="5"/>
  <c r="D69" i="5"/>
  <c r="C69" i="5"/>
  <c r="B69" i="5"/>
  <c r="A69" i="5"/>
  <c r="E68" i="5"/>
  <c r="D68" i="5"/>
  <c r="C68" i="5"/>
  <c r="B68" i="5"/>
  <c r="A68" i="5"/>
  <c r="E67" i="5"/>
  <c r="D67" i="5"/>
  <c r="C67" i="5"/>
  <c r="A67" i="5"/>
  <c r="B67" i="5" s="1"/>
  <c r="E66" i="5"/>
  <c r="D66" i="5"/>
  <c r="C66" i="5"/>
  <c r="A66" i="5"/>
  <c r="B66" i="5" s="1"/>
  <c r="E65" i="5"/>
  <c r="D65" i="5"/>
  <c r="C65" i="5"/>
  <c r="A65" i="5"/>
  <c r="B65" i="5" s="1"/>
  <c r="E64" i="5"/>
  <c r="D64" i="5"/>
  <c r="C64" i="5"/>
  <c r="A64" i="5"/>
  <c r="B64" i="5" s="1"/>
  <c r="E63" i="5"/>
  <c r="D63" i="5"/>
  <c r="C63" i="5"/>
  <c r="A63" i="5"/>
  <c r="B63" i="5" s="1"/>
  <c r="E62" i="5"/>
  <c r="D62" i="5"/>
  <c r="C62" i="5"/>
  <c r="B62" i="5"/>
  <c r="A62" i="5"/>
  <c r="E61" i="5"/>
  <c r="D61" i="5"/>
  <c r="C61" i="5"/>
  <c r="B61" i="5"/>
  <c r="A61" i="5"/>
  <c r="E60" i="5"/>
  <c r="D60" i="5"/>
  <c r="C60" i="5"/>
  <c r="B60" i="5"/>
  <c r="A60" i="5"/>
  <c r="E59" i="5"/>
  <c r="D59" i="5"/>
  <c r="C59" i="5"/>
  <c r="A59" i="5"/>
  <c r="B59" i="5" s="1"/>
  <c r="E58" i="5"/>
  <c r="D58" i="5"/>
  <c r="C58" i="5"/>
  <c r="A58" i="5"/>
  <c r="B58" i="5" s="1"/>
  <c r="E57" i="5"/>
  <c r="D57" i="5"/>
  <c r="C57" i="5"/>
  <c r="A57" i="5"/>
  <c r="B57" i="5" s="1"/>
  <c r="E56" i="5"/>
  <c r="D56" i="5"/>
  <c r="C56" i="5"/>
  <c r="A56" i="5"/>
  <c r="B56" i="5" s="1"/>
  <c r="E55" i="5"/>
  <c r="D55" i="5"/>
  <c r="C55" i="5"/>
  <c r="A55" i="5"/>
  <c r="B55" i="5" s="1"/>
  <c r="E54" i="5"/>
  <c r="D54" i="5"/>
  <c r="C54" i="5"/>
  <c r="B54" i="5"/>
  <c r="A54" i="5"/>
  <c r="E53" i="5"/>
  <c r="D53" i="5"/>
  <c r="C53" i="5"/>
  <c r="B53" i="5"/>
  <c r="A53" i="5"/>
  <c r="E52" i="5"/>
  <c r="D52" i="5"/>
  <c r="C52" i="5"/>
  <c r="B52" i="5"/>
  <c r="A52" i="5"/>
  <c r="E51" i="5"/>
  <c r="D51" i="5"/>
  <c r="C51" i="5"/>
  <c r="A51" i="5"/>
  <c r="B51" i="5" s="1"/>
  <c r="E50" i="5"/>
  <c r="D50" i="5"/>
  <c r="C50" i="5"/>
  <c r="A50" i="5"/>
  <c r="B50" i="5" s="1"/>
  <c r="E49" i="5"/>
  <c r="D49" i="5"/>
  <c r="C49" i="5"/>
  <c r="A49" i="5"/>
  <c r="B49" i="5" s="1"/>
  <c r="E48" i="5"/>
  <c r="D48" i="5"/>
  <c r="C48" i="5"/>
  <c r="A48" i="5"/>
  <c r="B48" i="5" s="1"/>
  <c r="E47" i="5"/>
  <c r="D47" i="5"/>
  <c r="C47" i="5"/>
  <c r="A47" i="5"/>
  <c r="B47" i="5" s="1"/>
  <c r="E46" i="5"/>
  <c r="D46" i="5"/>
  <c r="C46" i="5"/>
  <c r="B46" i="5"/>
  <c r="A46" i="5"/>
  <c r="E45" i="5"/>
  <c r="D45" i="5"/>
  <c r="C45" i="5"/>
  <c r="B45" i="5"/>
  <c r="A45" i="5"/>
  <c r="E44" i="5"/>
  <c r="D44" i="5"/>
  <c r="C44" i="5"/>
  <c r="B44" i="5"/>
  <c r="A44" i="5"/>
  <c r="E43" i="5"/>
  <c r="D43" i="5"/>
  <c r="C43" i="5"/>
  <c r="A43" i="5"/>
  <c r="B43" i="5" s="1"/>
  <c r="E42" i="5"/>
  <c r="D42" i="5"/>
  <c r="C42" i="5"/>
  <c r="A42" i="5"/>
  <c r="B42" i="5" s="1"/>
  <c r="E41" i="5"/>
  <c r="D41" i="5"/>
  <c r="C41" i="5"/>
  <c r="A41" i="5"/>
  <c r="B41" i="5" s="1"/>
  <c r="E40" i="5"/>
  <c r="D40" i="5"/>
  <c r="C40" i="5"/>
  <c r="A40" i="5"/>
  <c r="B40" i="5" s="1"/>
  <c r="E39" i="5"/>
  <c r="D39" i="5"/>
  <c r="C39" i="5"/>
  <c r="A39" i="5"/>
  <c r="B39" i="5" s="1"/>
  <c r="E38" i="5"/>
  <c r="D38" i="5"/>
  <c r="C38" i="5"/>
  <c r="B38" i="5"/>
  <c r="A38" i="5"/>
  <c r="E37" i="5"/>
  <c r="D37" i="5"/>
  <c r="C37" i="5"/>
  <c r="B37" i="5"/>
  <c r="A37" i="5"/>
  <c r="E36" i="5"/>
  <c r="D36" i="5"/>
  <c r="C36" i="5"/>
  <c r="B36" i="5"/>
  <c r="A36" i="5"/>
  <c r="E35" i="5"/>
  <c r="D35" i="5"/>
  <c r="C35" i="5"/>
  <c r="A35" i="5"/>
  <c r="B35" i="5" s="1"/>
  <c r="E34" i="5"/>
  <c r="D34" i="5"/>
  <c r="C34" i="5"/>
  <c r="A34" i="5"/>
  <c r="B34" i="5" s="1"/>
  <c r="E33" i="5"/>
  <c r="D33" i="5"/>
  <c r="C33" i="5"/>
  <c r="A33" i="5"/>
  <c r="B33" i="5" s="1"/>
  <c r="E32" i="5"/>
  <c r="D32" i="5"/>
  <c r="C32" i="5"/>
  <c r="A32" i="5"/>
  <c r="B32" i="5" s="1"/>
  <c r="E31" i="5"/>
  <c r="D31" i="5"/>
  <c r="C31" i="5"/>
  <c r="A31" i="5"/>
  <c r="B31" i="5" s="1"/>
  <c r="E30" i="5"/>
  <c r="D30" i="5"/>
  <c r="C30" i="5"/>
  <c r="B30" i="5"/>
  <c r="A30" i="5"/>
  <c r="E29" i="5"/>
  <c r="D29" i="5"/>
  <c r="C29" i="5"/>
  <c r="B29" i="5"/>
  <c r="A29" i="5"/>
  <c r="E28" i="5"/>
  <c r="D28" i="5"/>
  <c r="C28" i="5"/>
  <c r="B28" i="5"/>
  <c r="A28" i="5"/>
  <c r="E27" i="5"/>
  <c r="D27" i="5"/>
  <c r="C27" i="5"/>
  <c r="A27" i="5"/>
  <c r="B27" i="5" s="1"/>
  <c r="E26" i="5"/>
  <c r="D26" i="5"/>
  <c r="C26" i="5"/>
  <c r="A26" i="5"/>
  <c r="B26" i="5" s="1"/>
  <c r="E25" i="5"/>
  <c r="D25" i="5"/>
  <c r="C25" i="5"/>
  <c r="A25" i="5"/>
  <c r="B25" i="5" s="1"/>
  <c r="E24" i="5"/>
  <c r="D24" i="5"/>
  <c r="C24" i="5"/>
  <c r="A24" i="5"/>
  <c r="B24" i="5" s="1"/>
  <c r="E23" i="5"/>
  <c r="D23" i="5"/>
  <c r="C23" i="5"/>
  <c r="A23" i="5"/>
  <c r="B23" i="5" s="1"/>
  <c r="E22" i="5"/>
  <c r="D22" i="5"/>
  <c r="C22" i="5"/>
  <c r="B22" i="5"/>
  <c r="A22" i="5"/>
  <c r="E21" i="5"/>
  <c r="D21" i="5"/>
  <c r="C21" i="5"/>
  <c r="B21" i="5"/>
  <c r="A21" i="5"/>
  <c r="E20" i="5"/>
  <c r="D20" i="5"/>
  <c r="C20" i="5"/>
  <c r="B20" i="5"/>
  <c r="A20" i="5"/>
  <c r="E19" i="5"/>
  <c r="D19" i="5"/>
  <c r="C19" i="5"/>
  <c r="A19" i="5"/>
  <c r="B19" i="5" s="1"/>
  <c r="E18" i="5"/>
  <c r="D18" i="5"/>
  <c r="C18" i="5"/>
  <c r="A18" i="5"/>
  <c r="B18" i="5" s="1"/>
  <c r="E17" i="5"/>
  <c r="D17" i="5"/>
  <c r="C17" i="5"/>
  <c r="A17" i="5"/>
  <c r="B17" i="5" s="1"/>
  <c r="E16" i="5"/>
  <c r="D16" i="5"/>
  <c r="C16" i="5"/>
  <c r="A16" i="5"/>
  <c r="B16" i="5" s="1"/>
  <c r="E15" i="5"/>
  <c r="D15" i="5"/>
  <c r="C15" i="5"/>
  <c r="A15" i="5"/>
  <c r="B15" i="5" s="1"/>
  <c r="E14" i="5"/>
  <c r="D14" i="5"/>
  <c r="C14" i="5"/>
  <c r="B14" i="5"/>
  <c r="A14" i="5"/>
  <c r="E13" i="5"/>
  <c r="D13" i="5"/>
  <c r="C13" i="5"/>
  <c r="B13" i="5"/>
  <c r="A13" i="5"/>
  <c r="E12" i="5"/>
  <c r="D12" i="5"/>
  <c r="C12" i="5"/>
  <c r="B12" i="5"/>
  <c r="A12" i="5"/>
  <c r="E11" i="5"/>
  <c r="D11" i="5"/>
  <c r="C11" i="5"/>
  <c r="A11" i="5"/>
  <c r="B11" i="5" s="1"/>
  <c r="N10" i="5"/>
  <c r="E10" i="5"/>
  <c r="D10" i="5"/>
  <c r="C10" i="5"/>
  <c r="B10" i="5"/>
  <c r="A10" i="5"/>
  <c r="N9" i="5"/>
  <c r="O9" i="5" s="1"/>
  <c r="E9" i="5"/>
  <c r="D9" i="5"/>
  <c r="C9" i="5"/>
  <c r="A9" i="5"/>
  <c r="B9" i="5" s="1"/>
  <c r="N8" i="5"/>
  <c r="O8" i="5" s="1"/>
  <c r="E8" i="5"/>
  <c r="D8" i="5"/>
  <c r="C8" i="5"/>
  <c r="A8" i="5"/>
  <c r="B8" i="5" s="1"/>
  <c r="N7" i="5"/>
  <c r="E7" i="5"/>
  <c r="D7" i="5"/>
  <c r="C7" i="5"/>
  <c r="B7" i="5"/>
  <c r="A7" i="5"/>
  <c r="N6" i="5"/>
  <c r="O6" i="5" s="1"/>
  <c r="E6" i="5"/>
  <c r="D6" i="5"/>
  <c r="C6" i="5"/>
  <c r="A6" i="5"/>
  <c r="B6" i="5" s="1"/>
  <c r="E718" i="4"/>
  <c r="D718" i="4"/>
  <c r="C718" i="4"/>
  <c r="A718" i="4"/>
  <c r="B718" i="4" s="1"/>
  <c r="E717" i="4"/>
  <c r="D717" i="4"/>
  <c r="C717" i="4"/>
  <c r="A717" i="4"/>
  <c r="B717" i="4" s="1"/>
  <c r="E716" i="4"/>
  <c r="D716" i="4"/>
  <c r="C716" i="4"/>
  <c r="B716" i="4"/>
  <c r="A716" i="4"/>
  <c r="E715" i="4"/>
  <c r="D715" i="4"/>
  <c r="C715" i="4"/>
  <c r="B715" i="4"/>
  <c r="A715" i="4"/>
  <c r="E714" i="4"/>
  <c r="D714" i="4"/>
  <c r="C714" i="4"/>
  <c r="B714" i="4"/>
  <c r="A714" i="4"/>
  <c r="E713" i="4"/>
  <c r="D713" i="4"/>
  <c r="C713" i="4"/>
  <c r="A713" i="4"/>
  <c r="B713" i="4" s="1"/>
  <c r="E712" i="4"/>
  <c r="D712" i="4"/>
  <c r="C712" i="4"/>
  <c r="A712" i="4"/>
  <c r="B712" i="4" s="1"/>
  <c r="E711" i="4"/>
  <c r="D711" i="4"/>
  <c r="C711" i="4"/>
  <c r="A711" i="4"/>
  <c r="B711" i="4" s="1"/>
  <c r="E710" i="4"/>
  <c r="D710" i="4"/>
  <c r="C710" i="4"/>
  <c r="A710" i="4"/>
  <c r="B710" i="4" s="1"/>
  <c r="E709" i="4"/>
  <c r="D709" i="4"/>
  <c r="C709" i="4"/>
  <c r="A709" i="4"/>
  <c r="B709" i="4" s="1"/>
  <c r="E708" i="4"/>
  <c r="D708" i="4"/>
  <c r="C708" i="4"/>
  <c r="B708" i="4"/>
  <c r="A708" i="4"/>
  <c r="E707" i="4"/>
  <c r="D707" i="4"/>
  <c r="C707" i="4"/>
  <c r="B707" i="4"/>
  <c r="A707" i="4"/>
  <c r="E706" i="4"/>
  <c r="D706" i="4"/>
  <c r="C706" i="4"/>
  <c r="B706" i="4"/>
  <c r="A706" i="4"/>
  <c r="E705" i="4"/>
  <c r="D705" i="4"/>
  <c r="C705" i="4"/>
  <c r="A705" i="4"/>
  <c r="B705" i="4" s="1"/>
  <c r="E704" i="4"/>
  <c r="D704" i="4"/>
  <c r="C704" i="4"/>
  <c r="A704" i="4"/>
  <c r="B704" i="4" s="1"/>
  <c r="E703" i="4"/>
  <c r="D703" i="4"/>
  <c r="C703" i="4"/>
  <c r="A703" i="4"/>
  <c r="B703" i="4" s="1"/>
  <c r="E702" i="4"/>
  <c r="D702" i="4"/>
  <c r="C702" i="4"/>
  <c r="A702" i="4"/>
  <c r="B702" i="4" s="1"/>
  <c r="E701" i="4"/>
  <c r="D701" i="4"/>
  <c r="C701" i="4"/>
  <c r="A701" i="4"/>
  <c r="B701" i="4" s="1"/>
  <c r="E700" i="4"/>
  <c r="D700" i="4"/>
  <c r="C700" i="4"/>
  <c r="B700" i="4"/>
  <c r="A700" i="4"/>
  <c r="E699" i="4"/>
  <c r="D699" i="4"/>
  <c r="C699" i="4"/>
  <c r="B699" i="4"/>
  <c r="A699" i="4"/>
  <c r="E698" i="4"/>
  <c r="D698" i="4"/>
  <c r="C698" i="4"/>
  <c r="B698" i="4"/>
  <c r="A698" i="4"/>
  <c r="E697" i="4"/>
  <c r="D697" i="4"/>
  <c r="C697" i="4"/>
  <c r="A697" i="4"/>
  <c r="B697" i="4" s="1"/>
  <c r="E696" i="4"/>
  <c r="D696" i="4"/>
  <c r="C696" i="4"/>
  <c r="A696" i="4"/>
  <c r="B696" i="4" s="1"/>
  <c r="E695" i="4"/>
  <c r="D695" i="4"/>
  <c r="C695" i="4"/>
  <c r="A695" i="4"/>
  <c r="B695" i="4" s="1"/>
  <c r="E694" i="4"/>
  <c r="D694" i="4"/>
  <c r="C694" i="4"/>
  <c r="A694" i="4"/>
  <c r="B694" i="4" s="1"/>
  <c r="E693" i="4"/>
  <c r="D693" i="4"/>
  <c r="C693" i="4"/>
  <c r="A693" i="4"/>
  <c r="B693" i="4" s="1"/>
  <c r="E692" i="4"/>
  <c r="D692" i="4"/>
  <c r="C692" i="4"/>
  <c r="B692" i="4"/>
  <c r="A692" i="4"/>
  <c r="E691" i="4"/>
  <c r="D691" i="4"/>
  <c r="C691" i="4"/>
  <c r="B691" i="4"/>
  <c r="A691" i="4"/>
  <c r="E690" i="4"/>
  <c r="D690" i="4"/>
  <c r="C690" i="4"/>
  <c r="B690" i="4"/>
  <c r="A690" i="4"/>
  <c r="E689" i="4"/>
  <c r="D689" i="4"/>
  <c r="C689" i="4"/>
  <c r="A689" i="4"/>
  <c r="B689" i="4" s="1"/>
  <c r="E688" i="4"/>
  <c r="D688" i="4"/>
  <c r="C688" i="4"/>
  <c r="B688" i="4"/>
  <c r="A688" i="4"/>
  <c r="E687" i="4"/>
  <c r="D687" i="4"/>
  <c r="C687" i="4"/>
  <c r="A687" i="4"/>
  <c r="B687" i="4" s="1"/>
  <c r="E686" i="4"/>
  <c r="D686" i="4"/>
  <c r="C686" i="4"/>
  <c r="A686" i="4"/>
  <c r="B686" i="4" s="1"/>
  <c r="E685" i="4"/>
  <c r="D685" i="4"/>
  <c r="C685" i="4"/>
  <c r="A685" i="4"/>
  <c r="B685" i="4" s="1"/>
  <c r="E684" i="4"/>
  <c r="D684" i="4"/>
  <c r="C684" i="4"/>
  <c r="B684" i="4"/>
  <c r="A684" i="4"/>
  <c r="E683" i="4"/>
  <c r="D683" i="4"/>
  <c r="C683" i="4"/>
  <c r="B683" i="4"/>
  <c r="A683" i="4"/>
  <c r="E682" i="4"/>
  <c r="D682" i="4"/>
  <c r="C682" i="4"/>
  <c r="B682" i="4"/>
  <c r="A682" i="4"/>
  <c r="E681" i="4"/>
  <c r="D681" i="4"/>
  <c r="C681" i="4"/>
  <c r="B681" i="4"/>
  <c r="A681" i="4"/>
  <c r="E680" i="4"/>
  <c r="D680" i="4"/>
  <c r="C680" i="4"/>
  <c r="A680" i="4"/>
  <c r="B680" i="4" s="1"/>
  <c r="E679" i="4"/>
  <c r="D679" i="4"/>
  <c r="C679" i="4"/>
  <c r="A679" i="4"/>
  <c r="B679" i="4" s="1"/>
  <c r="E678" i="4"/>
  <c r="D678" i="4"/>
  <c r="C678" i="4"/>
  <c r="A678" i="4"/>
  <c r="B678" i="4" s="1"/>
  <c r="E677" i="4"/>
  <c r="D677" i="4"/>
  <c r="C677" i="4"/>
  <c r="A677" i="4"/>
  <c r="B677" i="4" s="1"/>
  <c r="E676" i="4"/>
  <c r="D676" i="4"/>
  <c r="C676" i="4"/>
  <c r="B676" i="4"/>
  <c r="A676" i="4"/>
  <c r="E675" i="4"/>
  <c r="D675" i="4"/>
  <c r="C675" i="4"/>
  <c r="B675" i="4"/>
  <c r="A675" i="4"/>
  <c r="E674" i="4"/>
  <c r="D674" i="4"/>
  <c r="C674" i="4"/>
  <c r="B674" i="4"/>
  <c r="A674" i="4"/>
  <c r="E673" i="4"/>
  <c r="D673" i="4"/>
  <c r="C673" i="4"/>
  <c r="A673" i="4"/>
  <c r="B673" i="4" s="1"/>
  <c r="E672" i="4"/>
  <c r="D672" i="4"/>
  <c r="C672" i="4"/>
  <c r="B672" i="4"/>
  <c r="A672" i="4"/>
  <c r="E671" i="4"/>
  <c r="D671" i="4"/>
  <c r="C671" i="4"/>
  <c r="A671" i="4"/>
  <c r="B671" i="4" s="1"/>
  <c r="E670" i="4"/>
  <c r="D670" i="4"/>
  <c r="C670" i="4"/>
  <c r="A670" i="4"/>
  <c r="B670" i="4" s="1"/>
  <c r="E669" i="4"/>
  <c r="D669" i="4"/>
  <c r="C669" i="4"/>
  <c r="A669" i="4"/>
  <c r="B669" i="4" s="1"/>
  <c r="E668" i="4"/>
  <c r="D668" i="4"/>
  <c r="C668" i="4"/>
  <c r="B668" i="4"/>
  <c r="A668" i="4"/>
  <c r="E667" i="4"/>
  <c r="D667" i="4"/>
  <c r="C667" i="4"/>
  <c r="B667" i="4"/>
  <c r="A667" i="4"/>
  <c r="E666" i="4"/>
  <c r="D666" i="4"/>
  <c r="C666" i="4"/>
  <c r="B666" i="4"/>
  <c r="A666" i="4"/>
  <c r="E665" i="4"/>
  <c r="D665" i="4"/>
  <c r="C665" i="4"/>
  <c r="B665" i="4"/>
  <c r="A665" i="4"/>
  <c r="E664" i="4"/>
  <c r="D664" i="4"/>
  <c r="C664" i="4"/>
  <c r="A664" i="4"/>
  <c r="B664" i="4" s="1"/>
  <c r="E663" i="4"/>
  <c r="D663" i="4"/>
  <c r="C663" i="4"/>
  <c r="A663" i="4"/>
  <c r="B663" i="4" s="1"/>
  <c r="E662" i="4"/>
  <c r="D662" i="4"/>
  <c r="C662" i="4"/>
  <c r="A662" i="4"/>
  <c r="B662" i="4" s="1"/>
  <c r="E661" i="4"/>
  <c r="D661" i="4"/>
  <c r="C661" i="4"/>
  <c r="A661" i="4"/>
  <c r="B661" i="4" s="1"/>
  <c r="E660" i="4"/>
  <c r="D660" i="4"/>
  <c r="C660" i="4"/>
  <c r="B660" i="4"/>
  <c r="A660" i="4"/>
  <c r="E659" i="4"/>
  <c r="D659" i="4"/>
  <c r="C659" i="4"/>
  <c r="B659" i="4"/>
  <c r="A659" i="4"/>
  <c r="E658" i="4"/>
  <c r="D658" i="4"/>
  <c r="C658" i="4"/>
  <c r="B658" i="4"/>
  <c r="A658" i="4"/>
  <c r="E657" i="4"/>
  <c r="D657" i="4"/>
  <c r="C657" i="4"/>
  <c r="A657" i="4"/>
  <c r="B657" i="4" s="1"/>
  <c r="E656" i="4"/>
  <c r="D656" i="4"/>
  <c r="C656" i="4"/>
  <c r="A656" i="4"/>
  <c r="B656" i="4" s="1"/>
  <c r="E655" i="4"/>
  <c r="D655" i="4"/>
  <c r="C655" i="4"/>
  <c r="A655" i="4"/>
  <c r="B655" i="4" s="1"/>
  <c r="E654" i="4"/>
  <c r="D654" i="4"/>
  <c r="C654" i="4"/>
  <c r="A654" i="4"/>
  <c r="B654" i="4" s="1"/>
  <c r="E653" i="4"/>
  <c r="D653" i="4"/>
  <c r="C653" i="4"/>
  <c r="A653" i="4"/>
  <c r="B653" i="4" s="1"/>
  <c r="E652" i="4"/>
  <c r="D652" i="4"/>
  <c r="C652" i="4"/>
  <c r="B652" i="4"/>
  <c r="A652" i="4"/>
  <c r="E651" i="4"/>
  <c r="D651" i="4"/>
  <c r="C651" i="4"/>
  <c r="B651" i="4"/>
  <c r="A651" i="4"/>
  <c r="E650" i="4"/>
  <c r="D650" i="4"/>
  <c r="C650" i="4"/>
  <c r="B650" i="4"/>
  <c r="A650" i="4"/>
  <c r="E649" i="4"/>
  <c r="D649" i="4"/>
  <c r="C649" i="4"/>
  <c r="A649" i="4"/>
  <c r="B649" i="4" s="1"/>
  <c r="E648" i="4"/>
  <c r="D648" i="4"/>
  <c r="C648" i="4"/>
  <c r="A648" i="4"/>
  <c r="B648" i="4" s="1"/>
  <c r="E647" i="4"/>
  <c r="D647" i="4"/>
  <c r="C647" i="4"/>
  <c r="A647" i="4"/>
  <c r="B647" i="4" s="1"/>
  <c r="E646" i="4"/>
  <c r="D646" i="4"/>
  <c r="C646" i="4"/>
  <c r="A646" i="4"/>
  <c r="B646" i="4" s="1"/>
  <c r="E645" i="4"/>
  <c r="D645" i="4"/>
  <c r="C645" i="4"/>
  <c r="A645" i="4"/>
  <c r="B645" i="4" s="1"/>
  <c r="E644" i="4"/>
  <c r="D644" i="4"/>
  <c r="C644" i="4"/>
  <c r="B644" i="4"/>
  <c r="A644" i="4"/>
  <c r="E643" i="4"/>
  <c r="D643" i="4"/>
  <c r="C643" i="4"/>
  <c r="B643" i="4"/>
  <c r="A643" i="4"/>
  <c r="E642" i="4"/>
  <c r="D642" i="4"/>
  <c r="C642" i="4"/>
  <c r="B642" i="4"/>
  <c r="A642" i="4"/>
  <c r="E641" i="4"/>
  <c r="D641" i="4"/>
  <c r="C641" i="4"/>
  <c r="A641" i="4"/>
  <c r="B641" i="4" s="1"/>
  <c r="E640" i="4"/>
  <c r="D640" i="4"/>
  <c r="C640" i="4"/>
  <c r="A640" i="4"/>
  <c r="B640" i="4" s="1"/>
  <c r="E639" i="4"/>
  <c r="D639" i="4"/>
  <c r="C639" i="4"/>
  <c r="A639" i="4"/>
  <c r="B639" i="4" s="1"/>
  <c r="E638" i="4"/>
  <c r="D638" i="4"/>
  <c r="C638" i="4"/>
  <c r="A638" i="4"/>
  <c r="B638" i="4" s="1"/>
  <c r="E637" i="4"/>
  <c r="D637" i="4"/>
  <c r="C637" i="4"/>
  <c r="A637" i="4"/>
  <c r="B637" i="4" s="1"/>
  <c r="E636" i="4"/>
  <c r="D636" i="4"/>
  <c r="C636" i="4"/>
  <c r="B636" i="4"/>
  <c r="A636" i="4"/>
  <c r="E635" i="4"/>
  <c r="D635" i="4"/>
  <c r="C635" i="4"/>
  <c r="B635" i="4"/>
  <c r="A635" i="4"/>
  <c r="E634" i="4"/>
  <c r="D634" i="4"/>
  <c r="C634" i="4"/>
  <c r="B634" i="4"/>
  <c r="A634" i="4"/>
  <c r="E633" i="4"/>
  <c r="D633" i="4"/>
  <c r="C633" i="4"/>
  <c r="A633" i="4"/>
  <c r="B633" i="4" s="1"/>
  <c r="E632" i="4"/>
  <c r="D632" i="4"/>
  <c r="C632" i="4"/>
  <c r="A632" i="4"/>
  <c r="B632" i="4" s="1"/>
  <c r="E631" i="4"/>
  <c r="D631" i="4"/>
  <c r="C631" i="4"/>
  <c r="A631" i="4"/>
  <c r="B631" i="4" s="1"/>
  <c r="E630" i="4"/>
  <c r="D630" i="4"/>
  <c r="C630" i="4"/>
  <c r="A630" i="4"/>
  <c r="B630" i="4" s="1"/>
  <c r="E629" i="4"/>
  <c r="D629" i="4"/>
  <c r="C629" i="4"/>
  <c r="A629" i="4"/>
  <c r="B629" i="4" s="1"/>
  <c r="E628" i="4"/>
  <c r="D628" i="4"/>
  <c r="C628" i="4"/>
  <c r="B628" i="4"/>
  <c r="A628" i="4"/>
  <c r="E627" i="4"/>
  <c r="D627" i="4"/>
  <c r="C627" i="4"/>
  <c r="B627" i="4"/>
  <c r="A627" i="4"/>
  <c r="E626" i="4"/>
  <c r="D626" i="4"/>
  <c r="C626" i="4"/>
  <c r="B626" i="4"/>
  <c r="A626" i="4"/>
  <c r="E625" i="4"/>
  <c r="D625" i="4"/>
  <c r="C625" i="4"/>
  <c r="A625" i="4"/>
  <c r="B625" i="4" s="1"/>
  <c r="E624" i="4"/>
  <c r="D624" i="4"/>
  <c r="C624" i="4"/>
  <c r="B624" i="4"/>
  <c r="A624" i="4"/>
  <c r="E623" i="4"/>
  <c r="D623" i="4"/>
  <c r="C623" i="4"/>
  <c r="A623" i="4"/>
  <c r="B623" i="4" s="1"/>
  <c r="E622" i="4"/>
  <c r="D622" i="4"/>
  <c r="C622" i="4"/>
  <c r="A622" i="4"/>
  <c r="B622" i="4" s="1"/>
  <c r="E621" i="4"/>
  <c r="D621" i="4"/>
  <c r="C621" i="4"/>
  <c r="A621" i="4"/>
  <c r="B621" i="4" s="1"/>
  <c r="E620" i="4"/>
  <c r="D620" i="4"/>
  <c r="C620" i="4"/>
  <c r="B620" i="4"/>
  <c r="A620" i="4"/>
  <c r="E619" i="4"/>
  <c r="D619" i="4"/>
  <c r="C619" i="4"/>
  <c r="B619" i="4"/>
  <c r="A619" i="4"/>
  <c r="E618" i="4"/>
  <c r="D618" i="4"/>
  <c r="C618" i="4"/>
  <c r="B618" i="4"/>
  <c r="A618" i="4"/>
  <c r="E617" i="4"/>
  <c r="D617" i="4"/>
  <c r="C617" i="4"/>
  <c r="B617" i="4"/>
  <c r="A617" i="4"/>
  <c r="E616" i="4"/>
  <c r="D616" i="4"/>
  <c r="C616" i="4"/>
  <c r="A616" i="4"/>
  <c r="B616" i="4" s="1"/>
  <c r="E615" i="4"/>
  <c r="D615" i="4"/>
  <c r="C615" i="4"/>
  <c r="A615" i="4"/>
  <c r="B615" i="4" s="1"/>
  <c r="E614" i="4"/>
  <c r="D614" i="4"/>
  <c r="C614" i="4"/>
  <c r="A614" i="4"/>
  <c r="B614" i="4" s="1"/>
  <c r="E613" i="4"/>
  <c r="D613" i="4"/>
  <c r="C613" i="4"/>
  <c r="A613" i="4"/>
  <c r="B613" i="4" s="1"/>
  <c r="E612" i="4"/>
  <c r="D612" i="4"/>
  <c r="C612" i="4"/>
  <c r="B612" i="4"/>
  <c r="A612" i="4"/>
  <c r="E611" i="4"/>
  <c r="D611" i="4"/>
  <c r="C611" i="4"/>
  <c r="B611" i="4"/>
  <c r="A611" i="4"/>
  <c r="E610" i="4"/>
  <c r="D610" i="4"/>
  <c r="C610" i="4"/>
  <c r="B610" i="4"/>
  <c r="A610" i="4"/>
  <c r="E609" i="4"/>
  <c r="D609" i="4"/>
  <c r="C609" i="4"/>
  <c r="A609" i="4"/>
  <c r="B609" i="4" s="1"/>
  <c r="E608" i="4"/>
  <c r="D608" i="4"/>
  <c r="C608" i="4"/>
  <c r="B608" i="4"/>
  <c r="A608" i="4"/>
  <c r="E607" i="4"/>
  <c r="D607" i="4"/>
  <c r="C607" i="4"/>
  <c r="A607" i="4"/>
  <c r="B607" i="4" s="1"/>
  <c r="E606" i="4"/>
  <c r="D606" i="4"/>
  <c r="C606" i="4"/>
  <c r="A606" i="4"/>
  <c r="B606" i="4" s="1"/>
  <c r="E605" i="4"/>
  <c r="D605" i="4"/>
  <c r="C605" i="4"/>
  <c r="A605" i="4"/>
  <c r="B605" i="4" s="1"/>
  <c r="E604" i="4"/>
  <c r="D604" i="4"/>
  <c r="C604" i="4"/>
  <c r="B604" i="4"/>
  <c r="A604" i="4"/>
  <c r="E603" i="4"/>
  <c r="D603" i="4"/>
  <c r="C603" i="4"/>
  <c r="B603" i="4"/>
  <c r="A603" i="4"/>
  <c r="E602" i="4"/>
  <c r="D602" i="4"/>
  <c r="C602" i="4"/>
  <c r="B602" i="4"/>
  <c r="A602" i="4"/>
  <c r="E601" i="4"/>
  <c r="D601" i="4"/>
  <c r="C601" i="4"/>
  <c r="B601" i="4"/>
  <c r="A601" i="4"/>
  <c r="E600" i="4"/>
  <c r="D600" i="4"/>
  <c r="C600" i="4"/>
  <c r="A600" i="4"/>
  <c r="B600" i="4" s="1"/>
  <c r="E599" i="4"/>
  <c r="D599" i="4"/>
  <c r="C599" i="4"/>
  <c r="A599" i="4"/>
  <c r="B599" i="4" s="1"/>
  <c r="E598" i="4"/>
  <c r="D598" i="4"/>
  <c r="C598" i="4"/>
  <c r="A598" i="4"/>
  <c r="B598" i="4" s="1"/>
  <c r="E597" i="4"/>
  <c r="D597" i="4"/>
  <c r="C597" i="4"/>
  <c r="A597" i="4"/>
  <c r="B597" i="4" s="1"/>
  <c r="E596" i="4"/>
  <c r="D596" i="4"/>
  <c r="C596" i="4"/>
  <c r="B596" i="4"/>
  <c r="A596" i="4"/>
  <c r="E595" i="4"/>
  <c r="D595" i="4"/>
  <c r="C595" i="4"/>
  <c r="B595" i="4"/>
  <c r="A595" i="4"/>
  <c r="E594" i="4"/>
  <c r="D594" i="4"/>
  <c r="C594" i="4"/>
  <c r="B594" i="4"/>
  <c r="A594" i="4"/>
  <c r="E593" i="4"/>
  <c r="D593" i="4"/>
  <c r="C593" i="4"/>
  <c r="A593" i="4"/>
  <c r="B593" i="4" s="1"/>
  <c r="E592" i="4"/>
  <c r="D592" i="4"/>
  <c r="C592" i="4"/>
  <c r="A592" i="4"/>
  <c r="B592" i="4" s="1"/>
  <c r="E591" i="4"/>
  <c r="D591" i="4"/>
  <c r="C591" i="4"/>
  <c r="A591" i="4"/>
  <c r="B591" i="4" s="1"/>
  <c r="E590" i="4"/>
  <c r="D590" i="4"/>
  <c r="C590" i="4"/>
  <c r="A590" i="4"/>
  <c r="B590" i="4" s="1"/>
  <c r="E589" i="4"/>
  <c r="D589" i="4"/>
  <c r="C589" i="4"/>
  <c r="A589" i="4"/>
  <c r="B589" i="4" s="1"/>
  <c r="E588" i="4"/>
  <c r="D588" i="4"/>
  <c r="C588" i="4"/>
  <c r="B588" i="4"/>
  <c r="A588" i="4"/>
  <c r="E587" i="4"/>
  <c r="D587" i="4"/>
  <c r="C587" i="4"/>
  <c r="B587" i="4"/>
  <c r="A587" i="4"/>
  <c r="E586" i="4"/>
  <c r="D586" i="4"/>
  <c r="C586" i="4"/>
  <c r="B586" i="4"/>
  <c r="A586" i="4"/>
  <c r="E585" i="4"/>
  <c r="D585" i="4"/>
  <c r="C585" i="4"/>
  <c r="A585" i="4"/>
  <c r="B585" i="4" s="1"/>
  <c r="E584" i="4"/>
  <c r="D584" i="4"/>
  <c r="C584" i="4"/>
  <c r="A584" i="4"/>
  <c r="B584" i="4" s="1"/>
  <c r="E583" i="4"/>
  <c r="D583" i="4"/>
  <c r="C583" i="4"/>
  <c r="A583" i="4"/>
  <c r="B583" i="4" s="1"/>
  <c r="E582" i="4"/>
  <c r="D582" i="4"/>
  <c r="C582" i="4"/>
  <c r="A582" i="4"/>
  <c r="B582" i="4" s="1"/>
  <c r="E581" i="4"/>
  <c r="D581" i="4"/>
  <c r="C581" i="4"/>
  <c r="A581" i="4"/>
  <c r="B581" i="4" s="1"/>
  <c r="E580" i="4"/>
  <c r="D580" i="4"/>
  <c r="C580" i="4"/>
  <c r="B580" i="4"/>
  <c r="A580" i="4"/>
  <c r="E579" i="4"/>
  <c r="D579" i="4"/>
  <c r="C579" i="4"/>
  <c r="B579" i="4"/>
  <c r="A579" i="4"/>
  <c r="E578" i="4"/>
  <c r="D578" i="4"/>
  <c r="C578" i="4"/>
  <c r="B578" i="4"/>
  <c r="A578" i="4"/>
  <c r="E577" i="4"/>
  <c r="D577" i="4"/>
  <c r="C577" i="4"/>
  <c r="A577" i="4"/>
  <c r="B577" i="4" s="1"/>
  <c r="E576" i="4"/>
  <c r="D576" i="4"/>
  <c r="C576" i="4"/>
  <c r="A576" i="4"/>
  <c r="B576" i="4" s="1"/>
  <c r="E575" i="4"/>
  <c r="D575" i="4"/>
  <c r="C575" i="4"/>
  <c r="A575" i="4"/>
  <c r="B575" i="4" s="1"/>
  <c r="E574" i="4"/>
  <c r="D574" i="4"/>
  <c r="C574" i="4"/>
  <c r="A574" i="4"/>
  <c r="B574" i="4" s="1"/>
  <c r="E573" i="4"/>
  <c r="D573" i="4"/>
  <c r="C573" i="4"/>
  <c r="A573" i="4"/>
  <c r="B573" i="4" s="1"/>
  <c r="E572" i="4"/>
  <c r="D572" i="4"/>
  <c r="C572" i="4"/>
  <c r="B572" i="4"/>
  <c r="A572" i="4"/>
  <c r="E571" i="4"/>
  <c r="D571" i="4"/>
  <c r="C571" i="4"/>
  <c r="B571" i="4"/>
  <c r="A571" i="4"/>
  <c r="E570" i="4"/>
  <c r="D570" i="4"/>
  <c r="C570" i="4"/>
  <c r="B570" i="4"/>
  <c r="A570" i="4"/>
  <c r="E569" i="4"/>
  <c r="D569" i="4"/>
  <c r="C569" i="4"/>
  <c r="A569" i="4"/>
  <c r="B569" i="4" s="1"/>
  <c r="E568" i="4"/>
  <c r="D568" i="4"/>
  <c r="C568" i="4"/>
  <c r="A568" i="4"/>
  <c r="B568" i="4" s="1"/>
  <c r="E567" i="4"/>
  <c r="D567" i="4"/>
  <c r="C567" i="4"/>
  <c r="A567" i="4"/>
  <c r="B567" i="4" s="1"/>
  <c r="E566" i="4"/>
  <c r="D566" i="4"/>
  <c r="C566" i="4"/>
  <c r="A566" i="4"/>
  <c r="B566" i="4" s="1"/>
  <c r="E565" i="4"/>
  <c r="D565" i="4"/>
  <c r="C565" i="4"/>
  <c r="A565" i="4"/>
  <c r="B565" i="4" s="1"/>
  <c r="E564" i="4"/>
  <c r="D564" i="4"/>
  <c r="C564" i="4"/>
  <c r="B564" i="4"/>
  <c r="A564" i="4"/>
  <c r="E563" i="4"/>
  <c r="D563" i="4"/>
  <c r="C563" i="4"/>
  <c r="B563" i="4"/>
  <c r="A563" i="4"/>
  <c r="E562" i="4"/>
  <c r="D562" i="4"/>
  <c r="C562" i="4"/>
  <c r="B562" i="4"/>
  <c r="A562" i="4"/>
  <c r="E561" i="4"/>
  <c r="D561" i="4"/>
  <c r="C561" i="4"/>
  <c r="A561" i="4"/>
  <c r="B561" i="4" s="1"/>
  <c r="E560" i="4"/>
  <c r="D560" i="4"/>
  <c r="C560" i="4"/>
  <c r="B560" i="4"/>
  <c r="A560" i="4"/>
  <c r="E559" i="4"/>
  <c r="D559" i="4"/>
  <c r="C559" i="4"/>
  <c r="A559" i="4"/>
  <c r="B559" i="4" s="1"/>
  <c r="E558" i="4"/>
  <c r="D558" i="4"/>
  <c r="C558" i="4"/>
  <c r="A558" i="4"/>
  <c r="B558" i="4" s="1"/>
  <c r="E557" i="4"/>
  <c r="D557" i="4"/>
  <c r="C557" i="4"/>
  <c r="A557" i="4"/>
  <c r="B557" i="4" s="1"/>
  <c r="E556" i="4"/>
  <c r="D556" i="4"/>
  <c r="C556" i="4"/>
  <c r="B556" i="4"/>
  <c r="A556" i="4"/>
  <c r="E555" i="4"/>
  <c r="D555" i="4"/>
  <c r="C555" i="4"/>
  <c r="B555" i="4"/>
  <c r="A555" i="4"/>
  <c r="E554" i="4"/>
  <c r="D554" i="4"/>
  <c r="C554" i="4"/>
  <c r="B554" i="4"/>
  <c r="A554" i="4"/>
  <c r="E553" i="4"/>
  <c r="D553" i="4"/>
  <c r="C553" i="4"/>
  <c r="B553" i="4"/>
  <c r="A553" i="4"/>
  <c r="E552" i="4"/>
  <c r="D552" i="4"/>
  <c r="C552" i="4"/>
  <c r="A552" i="4"/>
  <c r="B552" i="4" s="1"/>
  <c r="E551" i="4"/>
  <c r="D551" i="4"/>
  <c r="C551" i="4"/>
  <c r="A551" i="4"/>
  <c r="B551" i="4" s="1"/>
  <c r="E550" i="4"/>
  <c r="D550" i="4"/>
  <c r="C550" i="4"/>
  <c r="A550" i="4"/>
  <c r="B550" i="4" s="1"/>
  <c r="E549" i="4"/>
  <c r="D549" i="4"/>
  <c r="C549" i="4"/>
  <c r="A549" i="4"/>
  <c r="B549" i="4" s="1"/>
  <c r="E548" i="4"/>
  <c r="D548" i="4"/>
  <c r="C548" i="4"/>
  <c r="B548" i="4"/>
  <c r="A548" i="4"/>
  <c r="E547" i="4"/>
  <c r="D547" i="4"/>
  <c r="C547" i="4"/>
  <c r="B547" i="4"/>
  <c r="A547" i="4"/>
  <c r="E546" i="4"/>
  <c r="D546" i="4"/>
  <c r="C546" i="4"/>
  <c r="B546" i="4"/>
  <c r="A546" i="4"/>
  <c r="E545" i="4"/>
  <c r="D545" i="4"/>
  <c r="C545" i="4"/>
  <c r="A545" i="4"/>
  <c r="B545" i="4" s="1"/>
  <c r="E544" i="4"/>
  <c r="D544" i="4"/>
  <c r="C544" i="4"/>
  <c r="B544" i="4"/>
  <c r="A544" i="4"/>
  <c r="E543" i="4"/>
  <c r="D543" i="4"/>
  <c r="C543" i="4"/>
  <c r="A543" i="4"/>
  <c r="B543" i="4" s="1"/>
  <c r="E542" i="4"/>
  <c r="D542" i="4"/>
  <c r="C542" i="4"/>
  <c r="A542" i="4"/>
  <c r="B542" i="4" s="1"/>
  <c r="E541" i="4"/>
  <c r="D541" i="4"/>
  <c r="C541" i="4"/>
  <c r="A541" i="4"/>
  <c r="B541" i="4" s="1"/>
  <c r="E540" i="4"/>
  <c r="D540" i="4"/>
  <c r="C540" i="4"/>
  <c r="B540" i="4"/>
  <c r="A540" i="4"/>
  <c r="E539" i="4"/>
  <c r="D539" i="4"/>
  <c r="C539" i="4"/>
  <c r="B539" i="4"/>
  <c r="A539" i="4"/>
  <c r="E538" i="4"/>
  <c r="D538" i="4"/>
  <c r="C538" i="4"/>
  <c r="B538" i="4"/>
  <c r="A538" i="4"/>
  <c r="E537" i="4"/>
  <c r="D537" i="4"/>
  <c r="C537" i="4"/>
  <c r="B537" i="4"/>
  <c r="A537" i="4"/>
  <c r="E536" i="4"/>
  <c r="D536" i="4"/>
  <c r="C536" i="4"/>
  <c r="A536" i="4"/>
  <c r="B536" i="4" s="1"/>
  <c r="E535" i="4"/>
  <c r="D535" i="4"/>
  <c r="C535" i="4"/>
  <c r="A535" i="4"/>
  <c r="B535" i="4" s="1"/>
  <c r="E534" i="4"/>
  <c r="D534" i="4"/>
  <c r="C534" i="4"/>
  <c r="A534" i="4"/>
  <c r="B534" i="4" s="1"/>
  <c r="E533" i="4"/>
  <c r="D533" i="4"/>
  <c r="C533" i="4"/>
  <c r="A533" i="4"/>
  <c r="B533" i="4" s="1"/>
  <c r="E532" i="4"/>
  <c r="D532" i="4"/>
  <c r="C532" i="4"/>
  <c r="B532" i="4"/>
  <c r="A532" i="4"/>
  <c r="E531" i="4"/>
  <c r="D531" i="4"/>
  <c r="C531" i="4"/>
  <c r="B531" i="4"/>
  <c r="A531" i="4"/>
  <c r="E530" i="4"/>
  <c r="D530" i="4"/>
  <c r="C530" i="4"/>
  <c r="B530" i="4"/>
  <c r="A530" i="4"/>
  <c r="E529" i="4"/>
  <c r="D529" i="4"/>
  <c r="C529" i="4"/>
  <c r="A529" i="4"/>
  <c r="B529" i="4" s="1"/>
  <c r="E528" i="4"/>
  <c r="D528" i="4"/>
  <c r="C528" i="4"/>
  <c r="A528" i="4"/>
  <c r="B528" i="4" s="1"/>
  <c r="E527" i="4"/>
  <c r="D527" i="4"/>
  <c r="C527" i="4"/>
  <c r="A527" i="4"/>
  <c r="B527" i="4" s="1"/>
  <c r="E526" i="4"/>
  <c r="D526" i="4"/>
  <c r="C526" i="4"/>
  <c r="A526" i="4"/>
  <c r="B526" i="4" s="1"/>
  <c r="E525" i="4"/>
  <c r="D525" i="4"/>
  <c r="C525" i="4"/>
  <c r="A525" i="4"/>
  <c r="B525" i="4" s="1"/>
  <c r="E524" i="4"/>
  <c r="D524" i="4"/>
  <c r="C524" i="4"/>
  <c r="B524" i="4"/>
  <c r="A524" i="4"/>
  <c r="E523" i="4"/>
  <c r="D523" i="4"/>
  <c r="C523" i="4"/>
  <c r="B523" i="4"/>
  <c r="A523" i="4"/>
  <c r="E522" i="4"/>
  <c r="D522" i="4"/>
  <c r="C522" i="4"/>
  <c r="B522" i="4"/>
  <c r="A522" i="4"/>
  <c r="E521" i="4"/>
  <c r="D521" i="4"/>
  <c r="C521" i="4"/>
  <c r="A521" i="4"/>
  <c r="B521" i="4" s="1"/>
  <c r="E520" i="4"/>
  <c r="D520" i="4"/>
  <c r="C520" i="4"/>
  <c r="A520" i="4"/>
  <c r="B520" i="4" s="1"/>
  <c r="E519" i="4"/>
  <c r="D519" i="4"/>
  <c r="C519" i="4"/>
  <c r="A519" i="4"/>
  <c r="B519" i="4" s="1"/>
  <c r="E518" i="4"/>
  <c r="D518" i="4"/>
  <c r="C518" i="4"/>
  <c r="A518" i="4"/>
  <c r="B518" i="4" s="1"/>
  <c r="E517" i="4"/>
  <c r="D517" i="4"/>
  <c r="C517" i="4"/>
  <c r="A517" i="4"/>
  <c r="B517" i="4" s="1"/>
  <c r="E516" i="4"/>
  <c r="D516" i="4"/>
  <c r="C516" i="4"/>
  <c r="B516" i="4"/>
  <c r="A516" i="4"/>
  <c r="E515" i="4"/>
  <c r="D515" i="4"/>
  <c r="C515" i="4"/>
  <c r="B515" i="4"/>
  <c r="A515" i="4"/>
  <c r="E514" i="4"/>
  <c r="D514" i="4"/>
  <c r="C514" i="4"/>
  <c r="B514" i="4"/>
  <c r="A514" i="4"/>
  <c r="E513" i="4"/>
  <c r="D513" i="4"/>
  <c r="C513" i="4"/>
  <c r="A513" i="4"/>
  <c r="B513" i="4" s="1"/>
  <c r="E512" i="4"/>
  <c r="D512" i="4"/>
  <c r="C512" i="4"/>
  <c r="A512" i="4"/>
  <c r="B512" i="4" s="1"/>
  <c r="E511" i="4"/>
  <c r="D511" i="4"/>
  <c r="C511" i="4"/>
  <c r="A511" i="4"/>
  <c r="B511" i="4" s="1"/>
  <c r="E510" i="4"/>
  <c r="D510" i="4"/>
  <c r="C510" i="4"/>
  <c r="A510" i="4"/>
  <c r="B510" i="4" s="1"/>
  <c r="E509" i="4"/>
  <c r="D509" i="4"/>
  <c r="C509" i="4"/>
  <c r="A509" i="4"/>
  <c r="B509" i="4" s="1"/>
  <c r="E508" i="4"/>
  <c r="D508" i="4"/>
  <c r="C508" i="4"/>
  <c r="B508" i="4"/>
  <c r="A508" i="4"/>
  <c r="E507" i="4"/>
  <c r="D507" i="4"/>
  <c r="C507" i="4"/>
  <c r="B507" i="4"/>
  <c r="A507" i="4"/>
  <c r="E506" i="4"/>
  <c r="D506" i="4"/>
  <c r="C506" i="4"/>
  <c r="B506" i="4"/>
  <c r="A506" i="4"/>
  <c r="E505" i="4"/>
  <c r="D505" i="4"/>
  <c r="C505" i="4"/>
  <c r="A505" i="4"/>
  <c r="B505" i="4" s="1"/>
  <c r="E504" i="4"/>
  <c r="D504" i="4"/>
  <c r="C504" i="4"/>
  <c r="A504" i="4"/>
  <c r="B504" i="4" s="1"/>
  <c r="E503" i="4"/>
  <c r="D503" i="4"/>
  <c r="C503" i="4"/>
  <c r="A503" i="4"/>
  <c r="B503" i="4" s="1"/>
  <c r="E502" i="4"/>
  <c r="D502" i="4"/>
  <c r="C502" i="4"/>
  <c r="A502" i="4"/>
  <c r="B502" i="4" s="1"/>
  <c r="E501" i="4"/>
  <c r="D501" i="4"/>
  <c r="C501" i="4"/>
  <c r="A501" i="4"/>
  <c r="B501" i="4" s="1"/>
  <c r="E500" i="4"/>
  <c r="D500" i="4"/>
  <c r="C500" i="4"/>
  <c r="B500" i="4"/>
  <c r="A500" i="4"/>
  <c r="E499" i="4"/>
  <c r="D499" i="4"/>
  <c r="C499" i="4"/>
  <c r="B499" i="4"/>
  <c r="A499" i="4"/>
  <c r="E498" i="4"/>
  <c r="D498" i="4"/>
  <c r="C498" i="4"/>
  <c r="B498" i="4"/>
  <c r="A498" i="4"/>
  <c r="E497" i="4"/>
  <c r="D497" i="4"/>
  <c r="C497" i="4"/>
  <c r="A497" i="4"/>
  <c r="B497" i="4" s="1"/>
  <c r="E496" i="4"/>
  <c r="D496" i="4"/>
  <c r="C496" i="4"/>
  <c r="B496" i="4"/>
  <c r="A496" i="4"/>
  <c r="E495" i="4"/>
  <c r="D495" i="4"/>
  <c r="C495" i="4"/>
  <c r="A495" i="4"/>
  <c r="B495" i="4" s="1"/>
  <c r="E494" i="4"/>
  <c r="D494" i="4"/>
  <c r="C494" i="4"/>
  <c r="A494" i="4"/>
  <c r="B494" i="4" s="1"/>
  <c r="E493" i="4"/>
  <c r="D493" i="4"/>
  <c r="C493" i="4"/>
  <c r="A493" i="4"/>
  <c r="B493" i="4" s="1"/>
  <c r="E492" i="4"/>
  <c r="D492" i="4"/>
  <c r="C492" i="4"/>
  <c r="B492" i="4"/>
  <c r="A492" i="4"/>
  <c r="E491" i="4"/>
  <c r="D491" i="4"/>
  <c r="C491" i="4"/>
  <c r="B491" i="4"/>
  <c r="A491" i="4"/>
  <c r="E490" i="4"/>
  <c r="D490" i="4"/>
  <c r="C490" i="4"/>
  <c r="B490" i="4"/>
  <c r="A490" i="4"/>
  <c r="E489" i="4"/>
  <c r="D489" i="4"/>
  <c r="C489" i="4"/>
  <c r="B489" i="4"/>
  <c r="A489" i="4"/>
  <c r="E488" i="4"/>
  <c r="D488" i="4"/>
  <c r="C488" i="4"/>
  <c r="A488" i="4"/>
  <c r="B488" i="4" s="1"/>
  <c r="E487" i="4"/>
  <c r="D487" i="4"/>
  <c r="C487" i="4"/>
  <c r="A487" i="4"/>
  <c r="B487" i="4" s="1"/>
  <c r="E486" i="4"/>
  <c r="D486" i="4"/>
  <c r="C486" i="4"/>
  <c r="A486" i="4"/>
  <c r="B486" i="4" s="1"/>
  <c r="E485" i="4"/>
  <c r="D485" i="4"/>
  <c r="C485" i="4"/>
  <c r="A485" i="4"/>
  <c r="B485" i="4" s="1"/>
  <c r="E484" i="4"/>
  <c r="D484" i="4"/>
  <c r="C484" i="4"/>
  <c r="B484" i="4"/>
  <c r="A484" i="4"/>
  <c r="E483" i="4"/>
  <c r="D483" i="4"/>
  <c r="C483" i="4"/>
  <c r="B483" i="4"/>
  <c r="A483" i="4"/>
  <c r="E482" i="4"/>
  <c r="D482" i="4"/>
  <c r="C482" i="4"/>
  <c r="B482" i="4"/>
  <c r="A482" i="4"/>
  <c r="E481" i="4"/>
  <c r="D481" i="4"/>
  <c r="C481" i="4"/>
  <c r="A481" i="4"/>
  <c r="B481" i="4" s="1"/>
  <c r="E480" i="4"/>
  <c r="D480" i="4"/>
  <c r="C480" i="4"/>
  <c r="B480" i="4"/>
  <c r="A480" i="4"/>
  <c r="E479" i="4"/>
  <c r="D479" i="4"/>
  <c r="C479" i="4"/>
  <c r="A479" i="4"/>
  <c r="B479" i="4" s="1"/>
  <c r="E478" i="4"/>
  <c r="D478" i="4"/>
  <c r="C478" i="4"/>
  <c r="A478" i="4"/>
  <c r="B478" i="4" s="1"/>
  <c r="E477" i="4"/>
  <c r="D477" i="4"/>
  <c r="C477" i="4"/>
  <c r="A477" i="4"/>
  <c r="B477" i="4" s="1"/>
  <c r="E476" i="4"/>
  <c r="D476" i="4"/>
  <c r="C476" i="4"/>
  <c r="B476" i="4"/>
  <c r="A476" i="4"/>
  <c r="E475" i="4"/>
  <c r="D475" i="4"/>
  <c r="C475" i="4"/>
  <c r="B475" i="4"/>
  <c r="A475" i="4"/>
  <c r="E474" i="4"/>
  <c r="D474" i="4"/>
  <c r="C474" i="4"/>
  <c r="B474" i="4"/>
  <c r="A474" i="4"/>
  <c r="E473" i="4"/>
  <c r="D473" i="4"/>
  <c r="C473" i="4"/>
  <c r="B473" i="4"/>
  <c r="A473" i="4"/>
  <c r="E472" i="4"/>
  <c r="D472" i="4"/>
  <c r="C472" i="4"/>
  <c r="A472" i="4"/>
  <c r="B472" i="4" s="1"/>
  <c r="E471" i="4"/>
  <c r="D471" i="4"/>
  <c r="C471" i="4"/>
  <c r="A471" i="4"/>
  <c r="B471" i="4" s="1"/>
  <c r="E470" i="4"/>
  <c r="D470" i="4"/>
  <c r="C470" i="4"/>
  <c r="A470" i="4"/>
  <c r="B470" i="4" s="1"/>
  <c r="E469" i="4"/>
  <c r="D469" i="4"/>
  <c r="C469" i="4"/>
  <c r="A469" i="4"/>
  <c r="B469" i="4" s="1"/>
  <c r="E468" i="4"/>
  <c r="D468" i="4"/>
  <c r="C468" i="4"/>
  <c r="B468" i="4"/>
  <c r="A468" i="4"/>
  <c r="E467" i="4"/>
  <c r="D467" i="4"/>
  <c r="C467" i="4"/>
  <c r="B467" i="4"/>
  <c r="A467" i="4"/>
  <c r="E466" i="4"/>
  <c r="D466" i="4"/>
  <c r="C466" i="4"/>
  <c r="B466" i="4"/>
  <c r="A466" i="4"/>
  <c r="E465" i="4"/>
  <c r="D465" i="4"/>
  <c r="C465" i="4"/>
  <c r="A465" i="4"/>
  <c r="B465" i="4" s="1"/>
  <c r="E464" i="4"/>
  <c r="D464" i="4"/>
  <c r="C464" i="4"/>
  <c r="A464" i="4"/>
  <c r="B464" i="4" s="1"/>
  <c r="E463" i="4"/>
  <c r="D463" i="4"/>
  <c r="C463" i="4"/>
  <c r="A463" i="4"/>
  <c r="B463" i="4" s="1"/>
  <c r="E462" i="4"/>
  <c r="D462" i="4"/>
  <c r="C462" i="4"/>
  <c r="A462" i="4"/>
  <c r="B462" i="4" s="1"/>
  <c r="E461" i="4"/>
  <c r="D461" i="4"/>
  <c r="C461" i="4"/>
  <c r="A461" i="4"/>
  <c r="B461" i="4" s="1"/>
  <c r="E460" i="4"/>
  <c r="D460" i="4"/>
  <c r="C460" i="4"/>
  <c r="B460" i="4"/>
  <c r="A460" i="4"/>
  <c r="E459" i="4"/>
  <c r="D459" i="4"/>
  <c r="C459" i="4"/>
  <c r="B459" i="4"/>
  <c r="A459" i="4"/>
  <c r="E458" i="4"/>
  <c r="D458" i="4"/>
  <c r="C458" i="4"/>
  <c r="B458" i="4"/>
  <c r="A458" i="4"/>
  <c r="E457" i="4"/>
  <c r="D457" i="4"/>
  <c r="C457" i="4"/>
  <c r="A457" i="4"/>
  <c r="B457" i="4" s="1"/>
  <c r="E456" i="4"/>
  <c r="D456" i="4"/>
  <c r="C456" i="4"/>
  <c r="A456" i="4"/>
  <c r="B456" i="4" s="1"/>
  <c r="E455" i="4"/>
  <c r="D455" i="4"/>
  <c r="C455" i="4"/>
  <c r="A455" i="4"/>
  <c r="B455" i="4" s="1"/>
  <c r="E454" i="4"/>
  <c r="D454" i="4"/>
  <c r="C454" i="4"/>
  <c r="A454" i="4"/>
  <c r="B454" i="4" s="1"/>
  <c r="E453" i="4"/>
  <c r="D453" i="4"/>
  <c r="C453" i="4"/>
  <c r="A453" i="4"/>
  <c r="B453" i="4" s="1"/>
  <c r="E452" i="4"/>
  <c r="D452" i="4"/>
  <c r="C452" i="4"/>
  <c r="B452" i="4"/>
  <c r="A452" i="4"/>
  <c r="E451" i="4"/>
  <c r="D451" i="4"/>
  <c r="C451" i="4"/>
  <c r="B451" i="4"/>
  <c r="A451" i="4"/>
  <c r="E450" i="4"/>
  <c r="D450" i="4"/>
  <c r="C450" i="4"/>
  <c r="B450" i="4"/>
  <c r="A450" i="4"/>
  <c r="E449" i="4"/>
  <c r="D449" i="4"/>
  <c r="C449" i="4"/>
  <c r="A449" i="4"/>
  <c r="B449" i="4" s="1"/>
  <c r="E448" i="4"/>
  <c r="D448" i="4"/>
  <c r="C448" i="4"/>
  <c r="A448" i="4"/>
  <c r="B448" i="4" s="1"/>
  <c r="E447" i="4"/>
  <c r="D447" i="4"/>
  <c r="C447" i="4"/>
  <c r="A447" i="4"/>
  <c r="B447" i="4" s="1"/>
  <c r="E446" i="4"/>
  <c r="D446" i="4"/>
  <c r="C446" i="4"/>
  <c r="A446" i="4"/>
  <c r="B446" i="4" s="1"/>
  <c r="E445" i="4"/>
  <c r="D445" i="4"/>
  <c r="C445" i="4"/>
  <c r="A445" i="4"/>
  <c r="B445" i="4" s="1"/>
  <c r="E444" i="4"/>
  <c r="D444" i="4"/>
  <c r="C444" i="4"/>
  <c r="B444" i="4"/>
  <c r="A444" i="4"/>
  <c r="E443" i="4"/>
  <c r="D443" i="4"/>
  <c r="C443" i="4"/>
  <c r="B443" i="4"/>
  <c r="A443" i="4"/>
  <c r="E442" i="4"/>
  <c r="D442" i="4"/>
  <c r="C442" i="4"/>
  <c r="B442" i="4"/>
  <c r="A442" i="4"/>
  <c r="E441" i="4"/>
  <c r="D441" i="4"/>
  <c r="C441" i="4"/>
  <c r="A441" i="4"/>
  <c r="B441" i="4" s="1"/>
  <c r="E440" i="4"/>
  <c r="D440" i="4"/>
  <c r="C440" i="4"/>
  <c r="A440" i="4"/>
  <c r="B440" i="4" s="1"/>
  <c r="E439" i="4"/>
  <c r="D439" i="4"/>
  <c r="C439" i="4"/>
  <c r="A439" i="4"/>
  <c r="B439" i="4" s="1"/>
  <c r="E438" i="4"/>
  <c r="D438" i="4"/>
  <c r="C438" i="4"/>
  <c r="A438" i="4"/>
  <c r="B438" i="4" s="1"/>
  <c r="E437" i="4"/>
  <c r="D437" i="4"/>
  <c r="C437" i="4"/>
  <c r="A437" i="4"/>
  <c r="B437" i="4" s="1"/>
  <c r="E436" i="4"/>
  <c r="D436" i="4"/>
  <c r="C436" i="4"/>
  <c r="B436" i="4"/>
  <c r="A436" i="4"/>
  <c r="E435" i="4"/>
  <c r="D435" i="4"/>
  <c r="C435" i="4"/>
  <c r="A435" i="4"/>
  <c r="B435" i="4" s="1"/>
  <c r="E434" i="4"/>
  <c r="D434" i="4"/>
  <c r="C434" i="4"/>
  <c r="B434" i="4"/>
  <c r="A434" i="4"/>
  <c r="E433" i="4"/>
  <c r="D433" i="4"/>
  <c r="C433" i="4"/>
  <c r="A433" i="4"/>
  <c r="B433" i="4" s="1"/>
  <c r="E432" i="4"/>
  <c r="D432" i="4"/>
  <c r="C432" i="4"/>
  <c r="B432" i="4"/>
  <c r="A432" i="4"/>
  <c r="E431" i="4"/>
  <c r="D431" i="4"/>
  <c r="C431" i="4"/>
  <c r="A431" i="4"/>
  <c r="B431" i="4" s="1"/>
  <c r="E430" i="4"/>
  <c r="D430" i="4"/>
  <c r="C430" i="4"/>
  <c r="A430" i="4"/>
  <c r="B430" i="4" s="1"/>
  <c r="E429" i="4"/>
  <c r="D429" i="4"/>
  <c r="C429" i="4"/>
  <c r="A429" i="4"/>
  <c r="B429" i="4" s="1"/>
  <c r="E428" i="4"/>
  <c r="D428" i="4"/>
  <c r="C428" i="4"/>
  <c r="B428" i="4"/>
  <c r="A428" i="4"/>
  <c r="E427" i="4"/>
  <c r="D427" i="4"/>
  <c r="C427" i="4"/>
  <c r="A427" i="4"/>
  <c r="B427" i="4" s="1"/>
  <c r="E426" i="4"/>
  <c r="D426" i="4"/>
  <c r="C426" i="4"/>
  <c r="B426" i="4"/>
  <c r="A426" i="4"/>
  <c r="E425" i="4"/>
  <c r="D425" i="4"/>
  <c r="C425" i="4"/>
  <c r="A425" i="4"/>
  <c r="B425" i="4" s="1"/>
  <c r="E424" i="4"/>
  <c r="D424" i="4"/>
  <c r="C424" i="4"/>
  <c r="A424" i="4"/>
  <c r="B424" i="4" s="1"/>
  <c r="E423" i="4"/>
  <c r="D423" i="4"/>
  <c r="C423" i="4"/>
  <c r="A423" i="4"/>
  <c r="B423" i="4" s="1"/>
  <c r="E422" i="4"/>
  <c r="D422" i="4"/>
  <c r="C422" i="4"/>
  <c r="A422" i="4"/>
  <c r="B422" i="4" s="1"/>
  <c r="E421" i="4"/>
  <c r="D421" i="4"/>
  <c r="C421" i="4"/>
  <c r="A421" i="4"/>
  <c r="B421" i="4" s="1"/>
  <c r="E420" i="4"/>
  <c r="D420" i="4"/>
  <c r="C420" i="4"/>
  <c r="B420" i="4"/>
  <c r="A420" i="4"/>
  <c r="E419" i="4"/>
  <c r="D419" i="4"/>
  <c r="C419" i="4"/>
  <c r="A419" i="4"/>
  <c r="B419" i="4" s="1"/>
  <c r="E418" i="4"/>
  <c r="D418" i="4"/>
  <c r="C418" i="4"/>
  <c r="B418" i="4"/>
  <c r="A418" i="4"/>
  <c r="E417" i="4"/>
  <c r="D417" i="4"/>
  <c r="C417" i="4"/>
  <c r="A417" i="4"/>
  <c r="B417" i="4" s="1"/>
  <c r="E416" i="4"/>
  <c r="D416" i="4"/>
  <c r="C416" i="4"/>
  <c r="A416" i="4"/>
  <c r="B416" i="4" s="1"/>
  <c r="E415" i="4"/>
  <c r="D415" i="4"/>
  <c r="C415" i="4"/>
  <c r="A415" i="4"/>
  <c r="B415" i="4" s="1"/>
  <c r="E414" i="4"/>
  <c r="D414" i="4"/>
  <c r="C414" i="4"/>
  <c r="A414" i="4"/>
  <c r="B414" i="4" s="1"/>
  <c r="E413" i="4"/>
  <c r="D413" i="4"/>
  <c r="C413" i="4"/>
  <c r="A413" i="4"/>
  <c r="B413" i="4" s="1"/>
  <c r="E412" i="4"/>
  <c r="D412" i="4"/>
  <c r="C412" i="4"/>
  <c r="B412" i="4"/>
  <c r="A412" i="4"/>
  <c r="E411" i="4"/>
  <c r="D411" i="4"/>
  <c r="C411" i="4"/>
  <c r="A411" i="4"/>
  <c r="B411" i="4" s="1"/>
  <c r="E410" i="4"/>
  <c r="D410" i="4"/>
  <c r="C410" i="4"/>
  <c r="B410" i="4"/>
  <c r="A410" i="4"/>
  <c r="E409" i="4"/>
  <c r="D409" i="4"/>
  <c r="C409" i="4"/>
  <c r="A409" i="4"/>
  <c r="B409" i="4" s="1"/>
  <c r="E408" i="4"/>
  <c r="D408" i="4"/>
  <c r="C408" i="4"/>
  <c r="B408" i="4"/>
  <c r="A408" i="4"/>
  <c r="E407" i="4"/>
  <c r="D407" i="4"/>
  <c r="C407" i="4"/>
  <c r="A407" i="4"/>
  <c r="B407" i="4" s="1"/>
  <c r="E406" i="4"/>
  <c r="D406" i="4"/>
  <c r="C406" i="4"/>
  <c r="A406" i="4"/>
  <c r="B406" i="4" s="1"/>
  <c r="E405" i="4"/>
  <c r="D405" i="4"/>
  <c r="C405" i="4"/>
  <c r="A405" i="4"/>
  <c r="B405" i="4" s="1"/>
  <c r="E404" i="4"/>
  <c r="D404" i="4"/>
  <c r="C404" i="4"/>
  <c r="B404" i="4"/>
  <c r="A404" i="4"/>
  <c r="E403" i="4"/>
  <c r="D403" i="4"/>
  <c r="C403" i="4"/>
  <c r="A403" i="4"/>
  <c r="B403" i="4" s="1"/>
  <c r="E402" i="4"/>
  <c r="D402" i="4"/>
  <c r="C402" i="4"/>
  <c r="B402" i="4"/>
  <c r="A402" i="4"/>
  <c r="E401" i="4"/>
  <c r="D401" i="4"/>
  <c r="C401" i="4"/>
  <c r="A401" i="4"/>
  <c r="B401" i="4" s="1"/>
  <c r="E400" i="4"/>
  <c r="D400" i="4"/>
  <c r="C400" i="4"/>
  <c r="B400" i="4"/>
  <c r="A400" i="4"/>
  <c r="E399" i="4"/>
  <c r="D399" i="4"/>
  <c r="C399" i="4"/>
  <c r="A399" i="4"/>
  <c r="B399" i="4" s="1"/>
  <c r="E398" i="4"/>
  <c r="D398" i="4"/>
  <c r="C398" i="4"/>
  <c r="A398" i="4"/>
  <c r="B398" i="4" s="1"/>
  <c r="E397" i="4"/>
  <c r="D397" i="4"/>
  <c r="C397" i="4"/>
  <c r="A397" i="4"/>
  <c r="B397" i="4" s="1"/>
  <c r="E396" i="4"/>
  <c r="D396" i="4"/>
  <c r="C396" i="4"/>
  <c r="B396" i="4"/>
  <c r="A396" i="4"/>
  <c r="E395" i="4"/>
  <c r="D395" i="4"/>
  <c r="C395" i="4"/>
  <c r="A395" i="4"/>
  <c r="B395" i="4" s="1"/>
  <c r="E394" i="4"/>
  <c r="D394" i="4"/>
  <c r="C394" i="4"/>
  <c r="B394" i="4"/>
  <c r="A394" i="4"/>
  <c r="E393" i="4"/>
  <c r="D393" i="4"/>
  <c r="C393" i="4"/>
  <c r="A393" i="4"/>
  <c r="B393" i="4" s="1"/>
  <c r="E392" i="4"/>
  <c r="D392" i="4"/>
  <c r="C392" i="4"/>
  <c r="A392" i="4"/>
  <c r="B392" i="4" s="1"/>
  <c r="E391" i="4"/>
  <c r="D391" i="4"/>
  <c r="C391" i="4"/>
  <c r="A391" i="4"/>
  <c r="B391" i="4" s="1"/>
  <c r="E390" i="4"/>
  <c r="D390" i="4"/>
  <c r="C390" i="4"/>
  <c r="A390" i="4"/>
  <c r="B390" i="4" s="1"/>
  <c r="E389" i="4"/>
  <c r="D389" i="4"/>
  <c r="C389" i="4"/>
  <c r="A389" i="4"/>
  <c r="B389" i="4" s="1"/>
  <c r="E388" i="4"/>
  <c r="D388" i="4"/>
  <c r="C388" i="4"/>
  <c r="B388" i="4"/>
  <c r="A388" i="4"/>
  <c r="E387" i="4"/>
  <c r="D387" i="4"/>
  <c r="C387" i="4"/>
  <c r="A387" i="4"/>
  <c r="B387" i="4" s="1"/>
  <c r="E386" i="4"/>
  <c r="D386" i="4"/>
  <c r="C386" i="4"/>
  <c r="B386" i="4"/>
  <c r="A386" i="4"/>
  <c r="E385" i="4"/>
  <c r="D385" i="4"/>
  <c r="C385" i="4"/>
  <c r="A385" i="4"/>
  <c r="B385" i="4" s="1"/>
  <c r="E384" i="4"/>
  <c r="D384" i="4"/>
  <c r="C384" i="4"/>
  <c r="A384" i="4"/>
  <c r="B384" i="4" s="1"/>
  <c r="E383" i="4"/>
  <c r="D383" i="4"/>
  <c r="C383" i="4"/>
  <c r="A383" i="4"/>
  <c r="B383" i="4" s="1"/>
  <c r="E382" i="4"/>
  <c r="D382" i="4"/>
  <c r="C382" i="4"/>
  <c r="A382" i="4"/>
  <c r="B382" i="4" s="1"/>
  <c r="E381" i="4"/>
  <c r="D381" i="4"/>
  <c r="C381" i="4"/>
  <c r="A381" i="4"/>
  <c r="B381" i="4" s="1"/>
  <c r="E380" i="4"/>
  <c r="D380" i="4"/>
  <c r="C380" i="4"/>
  <c r="B380" i="4"/>
  <c r="A380" i="4"/>
  <c r="E379" i="4"/>
  <c r="D379" i="4"/>
  <c r="C379" i="4"/>
  <c r="A379" i="4"/>
  <c r="B379" i="4" s="1"/>
  <c r="E378" i="4"/>
  <c r="D378" i="4"/>
  <c r="C378" i="4"/>
  <c r="B378" i="4"/>
  <c r="A378" i="4"/>
  <c r="E377" i="4"/>
  <c r="D377" i="4"/>
  <c r="C377" i="4"/>
  <c r="A377" i="4"/>
  <c r="B377" i="4" s="1"/>
  <c r="E376" i="4"/>
  <c r="D376" i="4"/>
  <c r="C376" i="4"/>
  <c r="B376" i="4"/>
  <c r="A376" i="4"/>
  <c r="E375" i="4"/>
  <c r="D375" i="4"/>
  <c r="C375" i="4"/>
  <c r="A375" i="4"/>
  <c r="B375" i="4" s="1"/>
  <c r="E374" i="4"/>
  <c r="D374" i="4"/>
  <c r="C374" i="4"/>
  <c r="A374" i="4"/>
  <c r="B374" i="4" s="1"/>
  <c r="E373" i="4"/>
  <c r="D373" i="4"/>
  <c r="C373" i="4"/>
  <c r="A373" i="4"/>
  <c r="B373" i="4" s="1"/>
  <c r="E372" i="4"/>
  <c r="D372" i="4"/>
  <c r="C372" i="4"/>
  <c r="B372" i="4"/>
  <c r="A372" i="4"/>
  <c r="E371" i="4"/>
  <c r="D371" i="4"/>
  <c r="C371" i="4"/>
  <c r="A371" i="4"/>
  <c r="B371" i="4" s="1"/>
  <c r="E370" i="4"/>
  <c r="D370" i="4"/>
  <c r="C370" i="4"/>
  <c r="B370" i="4"/>
  <c r="A370" i="4"/>
  <c r="E369" i="4"/>
  <c r="D369" i="4"/>
  <c r="C369" i="4"/>
  <c r="A369" i="4"/>
  <c r="B369" i="4" s="1"/>
  <c r="E368" i="4"/>
  <c r="D368" i="4"/>
  <c r="C368" i="4"/>
  <c r="B368" i="4"/>
  <c r="A368" i="4"/>
  <c r="E367" i="4"/>
  <c r="D367" i="4"/>
  <c r="C367" i="4"/>
  <c r="A367" i="4"/>
  <c r="B367" i="4" s="1"/>
  <c r="E366" i="4"/>
  <c r="D366" i="4"/>
  <c r="C366" i="4"/>
  <c r="A366" i="4"/>
  <c r="B366" i="4" s="1"/>
  <c r="E365" i="4"/>
  <c r="D365" i="4"/>
  <c r="C365" i="4"/>
  <c r="A365" i="4"/>
  <c r="B365" i="4" s="1"/>
  <c r="E364" i="4"/>
  <c r="D364" i="4"/>
  <c r="C364" i="4"/>
  <c r="B364" i="4"/>
  <c r="A364" i="4"/>
  <c r="E363" i="4"/>
  <c r="D363" i="4"/>
  <c r="C363" i="4"/>
  <c r="A363" i="4"/>
  <c r="B363" i="4" s="1"/>
  <c r="E362" i="4"/>
  <c r="D362" i="4"/>
  <c r="C362" i="4"/>
  <c r="B362" i="4"/>
  <c r="A362" i="4"/>
  <c r="E361" i="4"/>
  <c r="D361" i="4"/>
  <c r="C361" i="4"/>
  <c r="A361" i="4"/>
  <c r="B361" i="4" s="1"/>
  <c r="E360" i="4"/>
  <c r="D360" i="4"/>
  <c r="C360" i="4"/>
  <c r="A360" i="4"/>
  <c r="B360" i="4" s="1"/>
  <c r="E359" i="4"/>
  <c r="D359" i="4"/>
  <c r="C359" i="4"/>
  <c r="A359" i="4"/>
  <c r="B359" i="4" s="1"/>
  <c r="E358" i="4"/>
  <c r="D358" i="4"/>
  <c r="C358" i="4"/>
  <c r="A358" i="4"/>
  <c r="B358" i="4" s="1"/>
  <c r="E357" i="4"/>
  <c r="D357" i="4"/>
  <c r="C357" i="4"/>
  <c r="A357" i="4"/>
  <c r="B357" i="4" s="1"/>
  <c r="E356" i="4"/>
  <c r="D356" i="4"/>
  <c r="C356" i="4"/>
  <c r="B356" i="4"/>
  <c r="A356" i="4"/>
  <c r="E355" i="4"/>
  <c r="D355" i="4"/>
  <c r="C355" i="4"/>
  <c r="A355" i="4"/>
  <c r="B355" i="4" s="1"/>
  <c r="E354" i="4"/>
  <c r="D354" i="4"/>
  <c r="C354" i="4"/>
  <c r="B354" i="4"/>
  <c r="A354" i="4"/>
  <c r="E353" i="4"/>
  <c r="D353" i="4"/>
  <c r="C353" i="4"/>
  <c r="A353" i="4"/>
  <c r="B353" i="4" s="1"/>
  <c r="E352" i="4"/>
  <c r="D352" i="4"/>
  <c r="C352" i="4"/>
  <c r="A352" i="4"/>
  <c r="B352" i="4" s="1"/>
  <c r="E351" i="4"/>
  <c r="D351" i="4"/>
  <c r="C351" i="4"/>
  <c r="A351" i="4"/>
  <c r="B351" i="4" s="1"/>
  <c r="E350" i="4"/>
  <c r="D350" i="4"/>
  <c r="C350" i="4"/>
  <c r="A350" i="4"/>
  <c r="B350" i="4" s="1"/>
  <c r="E349" i="4"/>
  <c r="D349" i="4"/>
  <c r="C349" i="4"/>
  <c r="A349" i="4"/>
  <c r="B349" i="4" s="1"/>
  <c r="E348" i="4"/>
  <c r="D348" i="4"/>
  <c r="C348" i="4"/>
  <c r="B348" i="4"/>
  <c r="A348" i="4"/>
  <c r="E347" i="4"/>
  <c r="D347" i="4"/>
  <c r="C347" i="4"/>
  <c r="A347" i="4"/>
  <c r="B347" i="4" s="1"/>
  <c r="E346" i="4"/>
  <c r="D346" i="4"/>
  <c r="C346" i="4"/>
  <c r="B346" i="4"/>
  <c r="A346" i="4"/>
  <c r="E345" i="4"/>
  <c r="D345" i="4"/>
  <c r="C345" i="4"/>
  <c r="A345" i="4"/>
  <c r="B345" i="4" s="1"/>
  <c r="E344" i="4"/>
  <c r="D344" i="4"/>
  <c r="C344" i="4"/>
  <c r="B344" i="4"/>
  <c r="A344" i="4"/>
  <c r="E343" i="4"/>
  <c r="D343" i="4"/>
  <c r="C343" i="4"/>
  <c r="A343" i="4"/>
  <c r="B343" i="4" s="1"/>
  <c r="E342" i="4"/>
  <c r="D342" i="4"/>
  <c r="C342" i="4"/>
  <c r="A342" i="4"/>
  <c r="B342" i="4" s="1"/>
  <c r="E341" i="4"/>
  <c r="D341" i="4"/>
  <c r="C341" i="4"/>
  <c r="A341" i="4"/>
  <c r="B341" i="4" s="1"/>
  <c r="E340" i="4"/>
  <c r="D340" i="4"/>
  <c r="C340" i="4"/>
  <c r="B340" i="4"/>
  <c r="A340" i="4"/>
  <c r="E339" i="4"/>
  <c r="D339" i="4"/>
  <c r="C339" i="4"/>
  <c r="A339" i="4"/>
  <c r="B339" i="4" s="1"/>
  <c r="E338" i="4"/>
  <c r="D338" i="4"/>
  <c r="C338" i="4"/>
  <c r="B338" i="4"/>
  <c r="A338" i="4"/>
  <c r="E337" i="4"/>
  <c r="D337" i="4"/>
  <c r="C337" i="4"/>
  <c r="A337" i="4"/>
  <c r="B337" i="4" s="1"/>
  <c r="E336" i="4"/>
  <c r="D336" i="4"/>
  <c r="C336" i="4"/>
  <c r="B336" i="4"/>
  <c r="A336" i="4"/>
  <c r="E335" i="4"/>
  <c r="D335" i="4"/>
  <c r="C335" i="4"/>
  <c r="A335" i="4"/>
  <c r="B335" i="4" s="1"/>
  <c r="E334" i="4"/>
  <c r="D334" i="4"/>
  <c r="C334" i="4"/>
  <c r="A334" i="4"/>
  <c r="B334" i="4" s="1"/>
  <c r="E333" i="4"/>
  <c r="D333" i="4"/>
  <c r="C333" i="4"/>
  <c r="A333" i="4"/>
  <c r="B333" i="4" s="1"/>
  <c r="E332" i="4"/>
  <c r="D332" i="4"/>
  <c r="C332" i="4"/>
  <c r="B332" i="4"/>
  <c r="A332" i="4"/>
  <c r="E331" i="4"/>
  <c r="D331" i="4"/>
  <c r="C331" i="4"/>
  <c r="A331" i="4"/>
  <c r="B331" i="4" s="1"/>
  <c r="E330" i="4"/>
  <c r="D330" i="4"/>
  <c r="C330" i="4"/>
  <c r="B330" i="4"/>
  <c r="A330" i="4"/>
  <c r="E329" i="4"/>
  <c r="D329" i="4"/>
  <c r="C329" i="4"/>
  <c r="A329" i="4"/>
  <c r="B329" i="4" s="1"/>
  <c r="E328" i="4"/>
  <c r="D328" i="4"/>
  <c r="C328" i="4"/>
  <c r="A328" i="4"/>
  <c r="B328" i="4" s="1"/>
  <c r="E327" i="4"/>
  <c r="D327" i="4"/>
  <c r="C327" i="4"/>
  <c r="A327" i="4"/>
  <c r="B327" i="4" s="1"/>
  <c r="E326" i="4"/>
  <c r="D326" i="4"/>
  <c r="C326" i="4"/>
  <c r="A326" i="4"/>
  <c r="B326" i="4" s="1"/>
  <c r="E325" i="4"/>
  <c r="D325" i="4"/>
  <c r="C325" i="4"/>
  <c r="A325" i="4"/>
  <c r="B325" i="4" s="1"/>
  <c r="E324" i="4"/>
  <c r="D324" i="4"/>
  <c r="C324" i="4"/>
  <c r="B324" i="4"/>
  <c r="A324" i="4"/>
  <c r="E323" i="4"/>
  <c r="D323" i="4"/>
  <c r="C323" i="4"/>
  <c r="A323" i="4"/>
  <c r="B323" i="4" s="1"/>
  <c r="E322" i="4"/>
  <c r="D322" i="4"/>
  <c r="C322" i="4"/>
  <c r="B322" i="4"/>
  <c r="A322" i="4"/>
  <c r="E321" i="4"/>
  <c r="D321" i="4"/>
  <c r="C321" i="4"/>
  <c r="A321" i="4"/>
  <c r="B321" i="4" s="1"/>
  <c r="E320" i="4"/>
  <c r="D320" i="4"/>
  <c r="C320" i="4"/>
  <c r="A320" i="4"/>
  <c r="B320" i="4" s="1"/>
  <c r="E319" i="4"/>
  <c r="D319" i="4"/>
  <c r="C319" i="4"/>
  <c r="A319" i="4"/>
  <c r="B319" i="4" s="1"/>
  <c r="E318" i="4"/>
  <c r="D318" i="4"/>
  <c r="C318" i="4"/>
  <c r="A318" i="4"/>
  <c r="B318" i="4" s="1"/>
  <c r="E317" i="4"/>
  <c r="D317" i="4"/>
  <c r="C317" i="4"/>
  <c r="A317" i="4"/>
  <c r="B317" i="4" s="1"/>
  <c r="E316" i="4"/>
  <c r="D316" i="4"/>
  <c r="C316" i="4"/>
  <c r="B316" i="4"/>
  <c r="A316" i="4"/>
  <c r="E315" i="4"/>
  <c r="D315" i="4"/>
  <c r="C315" i="4"/>
  <c r="A315" i="4"/>
  <c r="B315" i="4" s="1"/>
  <c r="E314" i="4"/>
  <c r="D314" i="4"/>
  <c r="C314" i="4"/>
  <c r="B314" i="4"/>
  <c r="A314" i="4"/>
  <c r="E313" i="4"/>
  <c r="D313" i="4"/>
  <c r="C313" i="4"/>
  <c r="A313" i="4"/>
  <c r="B313" i="4" s="1"/>
  <c r="E312" i="4"/>
  <c r="D312" i="4"/>
  <c r="C312" i="4"/>
  <c r="B312" i="4"/>
  <c r="A312" i="4"/>
  <c r="E311" i="4"/>
  <c r="D311" i="4"/>
  <c r="C311" i="4"/>
  <c r="A311" i="4"/>
  <c r="B311" i="4" s="1"/>
  <c r="E310" i="4"/>
  <c r="D310" i="4"/>
  <c r="C310" i="4"/>
  <c r="A310" i="4"/>
  <c r="B310" i="4" s="1"/>
  <c r="E309" i="4"/>
  <c r="D309" i="4"/>
  <c r="C309" i="4"/>
  <c r="A309" i="4"/>
  <c r="B309" i="4" s="1"/>
  <c r="E308" i="4"/>
  <c r="D308" i="4"/>
  <c r="C308" i="4"/>
  <c r="B308" i="4"/>
  <c r="A308" i="4"/>
  <c r="E307" i="4"/>
  <c r="D307" i="4"/>
  <c r="C307" i="4"/>
  <c r="A307" i="4"/>
  <c r="B307" i="4" s="1"/>
  <c r="E306" i="4"/>
  <c r="D306" i="4"/>
  <c r="C306" i="4"/>
  <c r="B306" i="4"/>
  <c r="A306" i="4"/>
  <c r="E305" i="4"/>
  <c r="D305" i="4"/>
  <c r="C305" i="4"/>
  <c r="A305" i="4"/>
  <c r="B305" i="4" s="1"/>
  <c r="E304" i="4"/>
  <c r="D304" i="4"/>
  <c r="C304" i="4"/>
  <c r="B304" i="4"/>
  <c r="A304" i="4"/>
  <c r="E303" i="4"/>
  <c r="D303" i="4"/>
  <c r="C303" i="4"/>
  <c r="A303" i="4"/>
  <c r="B303" i="4" s="1"/>
  <c r="E302" i="4"/>
  <c r="D302" i="4"/>
  <c r="C302" i="4"/>
  <c r="A302" i="4"/>
  <c r="B302" i="4" s="1"/>
  <c r="E301" i="4"/>
  <c r="D301" i="4"/>
  <c r="C301" i="4"/>
  <c r="A301" i="4"/>
  <c r="B301" i="4" s="1"/>
  <c r="E300" i="4"/>
  <c r="D300" i="4"/>
  <c r="C300" i="4"/>
  <c r="B300" i="4"/>
  <c r="A300" i="4"/>
  <c r="E299" i="4"/>
  <c r="D299" i="4"/>
  <c r="C299" i="4"/>
  <c r="A299" i="4"/>
  <c r="B299" i="4" s="1"/>
  <c r="E298" i="4"/>
  <c r="D298" i="4"/>
  <c r="C298" i="4"/>
  <c r="B298" i="4"/>
  <c r="A298" i="4"/>
  <c r="E297" i="4"/>
  <c r="D297" i="4"/>
  <c r="C297" i="4"/>
  <c r="A297" i="4"/>
  <c r="B297" i="4" s="1"/>
  <c r="E296" i="4"/>
  <c r="D296" i="4"/>
  <c r="C296" i="4"/>
  <c r="A296" i="4"/>
  <c r="B296" i="4" s="1"/>
  <c r="E295" i="4"/>
  <c r="D295" i="4"/>
  <c r="C295" i="4"/>
  <c r="A295" i="4"/>
  <c r="B295" i="4" s="1"/>
  <c r="E294" i="4"/>
  <c r="D294" i="4"/>
  <c r="C294" i="4"/>
  <c r="A294" i="4"/>
  <c r="B294" i="4" s="1"/>
  <c r="E293" i="4"/>
  <c r="D293" i="4"/>
  <c r="C293" i="4"/>
  <c r="A293" i="4"/>
  <c r="B293" i="4" s="1"/>
  <c r="E292" i="4"/>
  <c r="D292" i="4"/>
  <c r="C292" i="4"/>
  <c r="B292" i="4"/>
  <c r="A292" i="4"/>
  <c r="E291" i="4"/>
  <c r="D291" i="4"/>
  <c r="C291" i="4"/>
  <c r="A291" i="4"/>
  <c r="B291" i="4" s="1"/>
  <c r="E290" i="4"/>
  <c r="D290" i="4"/>
  <c r="C290" i="4"/>
  <c r="B290" i="4"/>
  <c r="A290" i="4"/>
  <c r="E289" i="4"/>
  <c r="D289" i="4"/>
  <c r="C289" i="4"/>
  <c r="A289" i="4"/>
  <c r="B289" i="4" s="1"/>
  <c r="E288" i="4"/>
  <c r="D288" i="4"/>
  <c r="C288" i="4"/>
  <c r="B288" i="4"/>
  <c r="A288" i="4"/>
  <c r="E287" i="4"/>
  <c r="D287" i="4"/>
  <c r="C287" i="4"/>
  <c r="A287" i="4"/>
  <c r="B287" i="4" s="1"/>
  <c r="E286" i="4"/>
  <c r="D286" i="4"/>
  <c r="C286" i="4"/>
  <c r="A286" i="4"/>
  <c r="B286" i="4" s="1"/>
  <c r="E285" i="4"/>
  <c r="D285" i="4"/>
  <c r="C285" i="4"/>
  <c r="A285" i="4"/>
  <c r="B285" i="4" s="1"/>
  <c r="E284" i="4"/>
  <c r="D284" i="4"/>
  <c r="C284" i="4"/>
  <c r="B284" i="4"/>
  <c r="A284" i="4"/>
  <c r="E283" i="4"/>
  <c r="D283" i="4"/>
  <c r="C283" i="4"/>
  <c r="A283" i="4"/>
  <c r="B283" i="4" s="1"/>
  <c r="E282" i="4"/>
  <c r="D282" i="4"/>
  <c r="C282" i="4"/>
  <c r="B282" i="4"/>
  <c r="A282" i="4"/>
  <c r="E281" i="4"/>
  <c r="D281" i="4"/>
  <c r="C281" i="4"/>
  <c r="A281" i="4"/>
  <c r="B281" i="4" s="1"/>
  <c r="E280" i="4"/>
  <c r="D280" i="4"/>
  <c r="C280" i="4"/>
  <c r="B280" i="4"/>
  <c r="A280" i="4"/>
  <c r="E279" i="4"/>
  <c r="D279" i="4"/>
  <c r="C279" i="4"/>
  <c r="A279" i="4"/>
  <c r="B279" i="4" s="1"/>
  <c r="E278" i="4"/>
  <c r="D278" i="4"/>
  <c r="C278" i="4"/>
  <c r="A278" i="4"/>
  <c r="B278" i="4" s="1"/>
  <c r="E277" i="4"/>
  <c r="D277" i="4"/>
  <c r="C277" i="4"/>
  <c r="A277" i="4"/>
  <c r="B277" i="4" s="1"/>
  <c r="E276" i="4"/>
  <c r="D276" i="4"/>
  <c r="C276" i="4"/>
  <c r="B276" i="4"/>
  <c r="A276" i="4"/>
  <c r="E275" i="4"/>
  <c r="D275" i="4"/>
  <c r="C275" i="4"/>
  <c r="A275" i="4"/>
  <c r="B275" i="4" s="1"/>
  <c r="E274" i="4"/>
  <c r="D274" i="4"/>
  <c r="C274" i="4"/>
  <c r="B274" i="4"/>
  <c r="A274" i="4"/>
  <c r="E273" i="4"/>
  <c r="D273" i="4"/>
  <c r="C273" i="4"/>
  <c r="A273" i="4"/>
  <c r="B273" i="4" s="1"/>
  <c r="E272" i="4"/>
  <c r="D272" i="4"/>
  <c r="C272" i="4"/>
  <c r="B272" i="4"/>
  <c r="A272" i="4"/>
  <c r="E271" i="4"/>
  <c r="D271" i="4"/>
  <c r="C271" i="4"/>
  <c r="A271" i="4"/>
  <c r="B271" i="4" s="1"/>
  <c r="E270" i="4"/>
  <c r="D270" i="4"/>
  <c r="C270" i="4"/>
  <c r="A270" i="4"/>
  <c r="B270" i="4" s="1"/>
  <c r="E269" i="4"/>
  <c r="D269" i="4"/>
  <c r="C269" i="4"/>
  <c r="A269" i="4"/>
  <c r="B269" i="4" s="1"/>
  <c r="E268" i="4"/>
  <c r="D268" i="4"/>
  <c r="C268" i="4"/>
  <c r="B268" i="4"/>
  <c r="A268" i="4"/>
  <c r="E267" i="4"/>
  <c r="D267" i="4"/>
  <c r="C267" i="4"/>
  <c r="A267" i="4"/>
  <c r="B267" i="4" s="1"/>
  <c r="E266" i="4"/>
  <c r="D266" i="4"/>
  <c r="C266" i="4"/>
  <c r="B266" i="4"/>
  <c r="A266" i="4"/>
  <c r="E265" i="4"/>
  <c r="D265" i="4"/>
  <c r="C265" i="4"/>
  <c r="A265" i="4"/>
  <c r="B265" i="4" s="1"/>
  <c r="E264" i="4"/>
  <c r="D264" i="4"/>
  <c r="C264" i="4"/>
  <c r="A264" i="4"/>
  <c r="B264" i="4" s="1"/>
  <c r="E263" i="4"/>
  <c r="D263" i="4"/>
  <c r="C263" i="4"/>
  <c r="A263" i="4"/>
  <c r="B263" i="4" s="1"/>
  <c r="E262" i="4"/>
  <c r="D262" i="4"/>
  <c r="C262" i="4"/>
  <c r="A262" i="4"/>
  <c r="B262" i="4" s="1"/>
  <c r="E261" i="4"/>
  <c r="D261" i="4"/>
  <c r="C261" i="4"/>
  <c r="A261" i="4"/>
  <c r="B261" i="4" s="1"/>
  <c r="E260" i="4"/>
  <c r="D260" i="4"/>
  <c r="C260" i="4"/>
  <c r="B260" i="4"/>
  <c r="A260" i="4"/>
  <c r="E259" i="4"/>
  <c r="D259" i="4"/>
  <c r="C259" i="4"/>
  <c r="A259" i="4"/>
  <c r="B259" i="4" s="1"/>
  <c r="E258" i="4"/>
  <c r="D258" i="4"/>
  <c r="C258" i="4"/>
  <c r="B258" i="4"/>
  <c r="A258" i="4"/>
  <c r="E257" i="4"/>
  <c r="D257" i="4"/>
  <c r="C257" i="4"/>
  <c r="A257" i="4"/>
  <c r="B257" i="4" s="1"/>
  <c r="E256" i="4"/>
  <c r="D256" i="4"/>
  <c r="C256" i="4"/>
  <c r="B256" i="4"/>
  <c r="A256" i="4"/>
  <c r="E255" i="4"/>
  <c r="D255" i="4"/>
  <c r="C255" i="4"/>
  <c r="A255" i="4"/>
  <c r="B255" i="4" s="1"/>
  <c r="E254" i="4"/>
  <c r="D254" i="4"/>
  <c r="C254" i="4"/>
  <c r="A254" i="4"/>
  <c r="B254" i="4" s="1"/>
  <c r="E253" i="4"/>
  <c r="D253" i="4"/>
  <c r="C253" i="4"/>
  <c r="A253" i="4"/>
  <c r="B253" i="4" s="1"/>
  <c r="E252" i="4"/>
  <c r="D252" i="4"/>
  <c r="C252" i="4"/>
  <c r="B252" i="4"/>
  <c r="A252" i="4"/>
  <c r="E251" i="4"/>
  <c r="D251" i="4"/>
  <c r="C251" i="4"/>
  <c r="A251" i="4"/>
  <c r="B251" i="4" s="1"/>
  <c r="E250" i="4"/>
  <c r="D250" i="4"/>
  <c r="C250" i="4"/>
  <c r="B250" i="4"/>
  <c r="A250" i="4"/>
  <c r="E249" i="4"/>
  <c r="D249" i="4"/>
  <c r="C249" i="4"/>
  <c r="A249" i="4"/>
  <c r="B249" i="4" s="1"/>
  <c r="E248" i="4"/>
  <c r="D248" i="4"/>
  <c r="C248" i="4"/>
  <c r="B248" i="4"/>
  <c r="A248" i="4"/>
  <c r="E247" i="4"/>
  <c r="D247" i="4"/>
  <c r="C247" i="4"/>
  <c r="A247" i="4"/>
  <c r="B247" i="4" s="1"/>
  <c r="E246" i="4"/>
  <c r="D246" i="4"/>
  <c r="C246" i="4"/>
  <c r="A246" i="4"/>
  <c r="B246" i="4" s="1"/>
  <c r="E245" i="4"/>
  <c r="D245" i="4"/>
  <c r="C245" i="4"/>
  <c r="A245" i="4"/>
  <c r="B245" i="4" s="1"/>
  <c r="E244" i="4"/>
  <c r="D244" i="4"/>
  <c r="C244" i="4"/>
  <c r="B244" i="4"/>
  <c r="A244" i="4"/>
  <c r="E243" i="4"/>
  <c r="D243" i="4"/>
  <c r="C243" i="4"/>
  <c r="A243" i="4"/>
  <c r="B243" i="4" s="1"/>
  <c r="E242" i="4"/>
  <c r="D242" i="4"/>
  <c r="C242" i="4"/>
  <c r="B242" i="4"/>
  <c r="A242" i="4"/>
  <c r="E241" i="4"/>
  <c r="D241" i="4"/>
  <c r="C241" i="4"/>
  <c r="A241" i="4"/>
  <c r="B241" i="4" s="1"/>
  <c r="E240" i="4"/>
  <c r="D240" i="4"/>
  <c r="C240" i="4"/>
  <c r="B240" i="4"/>
  <c r="A240" i="4"/>
  <c r="E239" i="4"/>
  <c r="D239" i="4"/>
  <c r="C239" i="4"/>
  <c r="A239" i="4"/>
  <c r="B239" i="4" s="1"/>
  <c r="E238" i="4"/>
  <c r="D238" i="4"/>
  <c r="C238" i="4"/>
  <c r="A238" i="4"/>
  <c r="B238" i="4" s="1"/>
  <c r="E237" i="4"/>
  <c r="D237" i="4"/>
  <c r="C237" i="4"/>
  <c r="A237" i="4"/>
  <c r="B237" i="4" s="1"/>
  <c r="E236" i="4"/>
  <c r="D236" i="4"/>
  <c r="C236" i="4"/>
  <c r="B236" i="4"/>
  <c r="A236" i="4"/>
  <c r="E235" i="4"/>
  <c r="D235" i="4"/>
  <c r="C235" i="4"/>
  <c r="A235" i="4"/>
  <c r="B235" i="4" s="1"/>
  <c r="E234" i="4"/>
  <c r="D234" i="4"/>
  <c r="C234" i="4"/>
  <c r="B234" i="4"/>
  <c r="A234" i="4"/>
  <c r="E233" i="4"/>
  <c r="D233" i="4"/>
  <c r="C233" i="4"/>
  <c r="A233" i="4"/>
  <c r="B233" i="4" s="1"/>
  <c r="E232" i="4"/>
  <c r="D232" i="4"/>
  <c r="C232" i="4"/>
  <c r="A232" i="4"/>
  <c r="B232" i="4" s="1"/>
  <c r="E231" i="4"/>
  <c r="D231" i="4"/>
  <c r="C231" i="4"/>
  <c r="A231" i="4"/>
  <c r="B231" i="4" s="1"/>
  <c r="E230" i="4"/>
  <c r="D230" i="4"/>
  <c r="C230" i="4"/>
  <c r="A230" i="4"/>
  <c r="B230" i="4" s="1"/>
  <c r="E229" i="4"/>
  <c r="D229" i="4"/>
  <c r="C229" i="4"/>
  <c r="A229" i="4"/>
  <c r="B229" i="4" s="1"/>
  <c r="E228" i="4"/>
  <c r="D228" i="4"/>
  <c r="C228" i="4"/>
  <c r="B228" i="4"/>
  <c r="A228" i="4"/>
  <c r="E227" i="4"/>
  <c r="D227" i="4"/>
  <c r="C227" i="4"/>
  <c r="A227" i="4"/>
  <c r="B227" i="4" s="1"/>
  <c r="E226" i="4"/>
  <c r="D226" i="4"/>
  <c r="C226" i="4"/>
  <c r="B226" i="4"/>
  <c r="A226" i="4"/>
  <c r="E225" i="4"/>
  <c r="D225" i="4"/>
  <c r="C225" i="4"/>
  <c r="A225" i="4"/>
  <c r="B225" i="4" s="1"/>
  <c r="E224" i="4"/>
  <c r="D224" i="4"/>
  <c r="C224" i="4"/>
  <c r="B224" i="4"/>
  <c r="A224" i="4"/>
  <c r="E223" i="4"/>
  <c r="D223" i="4"/>
  <c r="C223" i="4"/>
  <c r="A223" i="4"/>
  <c r="B223" i="4" s="1"/>
  <c r="E222" i="4"/>
  <c r="D222" i="4"/>
  <c r="C222" i="4"/>
  <c r="A222" i="4"/>
  <c r="B222" i="4" s="1"/>
  <c r="E221" i="4"/>
  <c r="D221" i="4"/>
  <c r="C221" i="4"/>
  <c r="A221" i="4"/>
  <c r="B221" i="4" s="1"/>
  <c r="E220" i="4"/>
  <c r="D220" i="4"/>
  <c r="C220" i="4"/>
  <c r="B220" i="4"/>
  <c r="A220" i="4"/>
  <c r="E219" i="4"/>
  <c r="D219" i="4"/>
  <c r="C219" i="4"/>
  <c r="A219" i="4"/>
  <c r="B219" i="4" s="1"/>
  <c r="E218" i="4"/>
  <c r="D218" i="4"/>
  <c r="C218" i="4"/>
  <c r="B218" i="4"/>
  <c r="A218" i="4"/>
  <c r="E217" i="4"/>
  <c r="D217" i="4"/>
  <c r="C217" i="4"/>
  <c r="A217" i="4"/>
  <c r="B217" i="4" s="1"/>
  <c r="E216" i="4"/>
  <c r="D216" i="4"/>
  <c r="C216" i="4"/>
  <c r="B216" i="4"/>
  <c r="A216" i="4"/>
  <c r="E215" i="4"/>
  <c r="D215" i="4"/>
  <c r="C215" i="4"/>
  <c r="A215" i="4"/>
  <c r="B215" i="4" s="1"/>
  <c r="E214" i="4"/>
  <c r="D214" i="4"/>
  <c r="C214" i="4"/>
  <c r="A214" i="4"/>
  <c r="B214" i="4" s="1"/>
  <c r="E213" i="4"/>
  <c r="D213" i="4"/>
  <c r="C213" i="4"/>
  <c r="A213" i="4"/>
  <c r="B213" i="4" s="1"/>
  <c r="E212" i="4"/>
  <c r="D212" i="4"/>
  <c r="C212" i="4"/>
  <c r="B212" i="4"/>
  <c r="A212" i="4"/>
  <c r="E211" i="4"/>
  <c r="D211" i="4"/>
  <c r="C211" i="4"/>
  <c r="A211" i="4"/>
  <c r="B211" i="4" s="1"/>
  <c r="E210" i="4"/>
  <c r="D210" i="4"/>
  <c r="C210" i="4"/>
  <c r="B210" i="4"/>
  <c r="A210" i="4"/>
  <c r="E209" i="4"/>
  <c r="D209" i="4"/>
  <c r="C209" i="4"/>
  <c r="A209" i="4"/>
  <c r="B209" i="4" s="1"/>
  <c r="E208" i="4"/>
  <c r="D208" i="4"/>
  <c r="C208" i="4"/>
  <c r="B208" i="4"/>
  <c r="A208" i="4"/>
  <c r="E207" i="4"/>
  <c r="D207" i="4"/>
  <c r="C207" i="4"/>
  <c r="A207" i="4"/>
  <c r="B207" i="4" s="1"/>
  <c r="E206" i="4"/>
  <c r="D206" i="4"/>
  <c r="C206" i="4"/>
  <c r="A206" i="4"/>
  <c r="B206" i="4" s="1"/>
  <c r="E205" i="4"/>
  <c r="D205" i="4"/>
  <c r="C205" i="4"/>
  <c r="A205" i="4"/>
  <c r="B205" i="4" s="1"/>
  <c r="E204" i="4"/>
  <c r="D204" i="4"/>
  <c r="C204" i="4"/>
  <c r="B204" i="4"/>
  <c r="A204" i="4"/>
  <c r="E203" i="4"/>
  <c r="D203" i="4"/>
  <c r="C203" i="4"/>
  <c r="A203" i="4"/>
  <c r="B203" i="4" s="1"/>
  <c r="E202" i="4"/>
  <c r="D202" i="4"/>
  <c r="C202" i="4"/>
  <c r="B202" i="4"/>
  <c r="A202" i="4"/>
  <c r="E201" i="4"/>
  <c r="D201" i="4"/>
  <c r="C201" i="4"/>
  <c r="A201" i="4"/>
  <c r="B201" i="4" s="1"/>
  <c r="E200" i="4"/>
  <c r="D200" i="4"/>
  <c r="C200" i="4"/>
  <c r="A200" i="4"/>
  <c r="B200" i="4" s="1"/>
  <c r="E199" i="4"/>
  <c r="D199" i="4"/>
  <c r="C199" i="4"/>
  <c r="A199" i="4"/>
  <c r="B199" i="4" s="1"/>
  <c r="E198" i="4"/>
  <c r="D198" i="4"/>
  <c r="C198" i="4"/>
  <c r="A198" i="4"/>
  <c r="B198" i="4" s="1"/>
  <c r="E197" i="4"/>
  <c r="D197" i="4"/>
  <c r="C197" i="4"/>
  <c r="A197" i="4"/>
  <c r="B197" i="4" s="1"/>
  <c r="E196" i="4"/>
  <c r="D196" i="4"/>
  <c r="C196" i="4"/>
  <c r="B196" i="4"/>
  <c r="A196" i="4"/>
  <c r="E195" i="4"/>
  <c r="D195" i="4"/>
  <c r="C195" i="4"/>
  <c r="A195" i="4"/>
  <c r="B195" i="4" s="1"/>
  <c r="E194" i="4"/>
  <c r="D194" i="4"/>
  <c r="C194" i="4"/>
  <c r="B194" i="4"/>
  <c r="A194" i="4"/>
  <c r="E193" i="4"/>
  <c r="D193" i="4"/>
  <c r="C193" i="4"/>
  <c r="A193" i="4"/>
  <c r="B193" i="4" s="1"/>
  <c r="E192" i="4"/>
  <c r="D192" i="4"/>
  <c r="C192" i="4"/>
  <c r="B192" i="4"/>
  <c r="A192" i="4"/>
  <c r="E191" i="4"/>
  <c r="D191" i="4"/>
  <c r="C191" i="4"/>
  <c r="A191" i="4"/>
  <c r="B191" i="4" s="1"/>
  <c r="E190" i="4"/>
  <c r="D190" i="4"/>
  <c r="C190" i="4"/>
  <c r="A190" i="4"/>
  <c r="B190" i="4" s="1"/>
  <c r="E189" i="4"/>
  <c r="D189" i="4"/>
  <c r="C189" i="4"/>
  <c r="A189" i="4"/>
  <c r="B189" i="4" s="1"/>
  <c r="E188" i="4"/>
  <c r="D188" i="4"/>
  <c r="C188" i="4"/>
  <c r="B188" i="4"/>
  <c r="A188" i="4"/>
  <c r="E187" i="4"/>
  <c r="D187" i="4"/>
  <c r="C187" i="4"/>
  <c r="A187" i="4"/>
  <c r="B187" i="4" s="1"/>
  <c r="E186" i="4"/>
  <c r="D186" i="4"/>
  <c r="C186" i="4"/>
  <c r="B186" i="4"/>
  <c r="A186" i="4"/>
  <c r="E185" i="4"/>
  <c r="D185" i="4"/>
  <c r="C185" i="4"/>
  <c r="A185" i="4"/>
  <c r="B185" i="4" s="1"/>
  <c r="E184" i="4"/>
  <c r="D184" i="4"/>
  <c r="C184" i="4"/>
  <c r="B184" i="4"/>
  <c r="A184" i="4"/>
  <c r="E183" i="4"/>
  <c r="D183" i="4"/>
  <c r="C183" i="4"/>
  <c r="A183" i="4"/>
  <c r="B183" i="4" s="1"/>
  <c r="E182" i="4"/>
  <c r="D182" i="4"/>
  <c r="C182" i="4"/>
  <c r="A182" i="4"/>
  <c r="B182" i="4" s="1"/>
  <c r="E181" i="4"/>
  <c r="D181" i="4"/>
  <c r="C181" i="4"/>
  <c r="A181" i="4"/>
  <c r="B181" i="4" s="1"/>
  <c r="E180" i="4"/>
  <c r="D180" i="4"/>
  <c r="C180" i="4"/>
  <c r="B180" i="4"/>
  <c r="A180" i="4"/>
  <c r="E179" i="4"/>
  <c r="D179" i="4"/>
  <c r="C179" i="4"/>
  <c r="A179" i="4"/>
  <c r="B179" i="4" s="1"/>
  <c r="E178" i="4"/>
  <c r="D178" i="4"/>
  <c r="C178" i="4"/>
  <c r="B178" i="4"/>
  <c r="A178" i="4"/>
  <c r="E177" i="4"/>
  <c r="D177" i="4"/>
  <c r="C177" i="4"/>
  <c r="A177" i="4"/>
  <c r="B177" i="4" s="1"/>
  <c r="E176" i="4"/>
  <c r="D176" i="4"/>
  <c r="C176" i="4"/>
  <c r="B176" i="4"/>
  <c r="A176" i="4"/>
  <c r="E175" i="4"/>
  <c r="D175" i="4"/>
  <c r="C175" i="4"/>
  <c r="A175" i="4"/>
  <c r="B175" i="4" s="1"/>
  <c r="E174" i="4"/>
  <c r="D174" i="4"/>
  <c r="C174" i="4"/>
  <c r="A174" i="4"/>
  <c r="B174" i="4" s="1"/>
  <c r="E173" i="4"/>
  <c r="D173" i="4"/>
  <c r="C173" i="4"/>
  <c r="A173" i="4"/>
  <c r="B173" i="4" s="1"/>
  <c r="E172" i="4"/>
  <c r="D172" i="4"/>
  <c r="C172" i="4"/>
  <c r="B172" i="4"/>
  <c r="A172" i="4"/>
  <c r="E171" i="4"/>
  <c r="D171" i="4"/>
  <c r="C171" i="4"/>
  <c r="A171" i="4"/>
  <c r="B171" i="4" s="1"/>
  <c r="E170" i="4"/>
  <c r="D170" i="4"/>
  <c r="C170" i="4"/>
  <c r="B170" i="4"/>
  <c r="A170" i="4"/>
  <c r="E169" i="4"/>
  <c r="D169" i="4"/>
  <c r="C169" i="4"/>
  <c r="A169" i="4"/>
  <c r="B169" i="4" s="1"/>
  <c r="E168" i="4"/>
  <c r="D168" i="4"/>
  <c r="C168" i="4"/>
  <c r="A168" i="4"/>
  <c r="B168" i="4" s="1"/>
  <c r="E167" i="4"/>
  <c r="D167" i="4"/>
  <c r="C167" i="4"/>
  <c r="A167" i="4"/>
  <c r="B167" i="4" s="1"/>
  <c r="E166" i="4"/>
  <c r="D166" i="4"/>
  <c r="C166" i="4"/>
  <c r="A166" i="4"/>
  <c r="B166" i="4" s="1"/>
  <c r="E165" i="4"/>
  <c r="D165" i="4"/>
  <c r="C165" i="4"/>
  <c r="A165" i="4"/>
  <c r="B165" i="4" s="1"/>
  <c r="E164" i="4"/>
  <c r="D164" i="4"/>
  <c r="C164" i="4"/>
  <c r="B164" i="4"/>
  <c r="A164" i="4"/>
  <c r="E163" i="4"/>
  <c r="D163" i="4"/>
  <c r="C163" i="4"/>
  <c r="A163" i="4"/>
  <c r="B163" i="4" s="1"/>
  <c r="E162" i="4"/>
  <c r="D162" i="4"/>
  <c r="C162" i="4"/>
  <c r="B162" i="4"/>
  <c r="A162" i="4"/>
  <c r="E161" i="4"/>
  <c r="D161" i="4"/>
  <c r="C161" i="4"/>
  <c r="A161" i="4"/>
  <c r="B161" i="4" s="1"/>
  <c r="E160" i="4"/>
  <c r="D160" i="4"/>
  <c r="C160" i="4"/>
  <c r="B160" i="4"/>
  <c r="A160" i="4"/>
  <c r="E159" i="4"/>
  <c r="D159" i="4"/>
  <c r="C159" i="4"/>
  <c r="A159" i="4"/>
  <c r="B159" i="4" s="1"/>
  <c r="E158" i="4"/>
  <c r="D158" i="4"/>
  <c r="C158" i="4"/>
  <c r="A158" i="4"/>
  <c r="B158" i="4" s="1"/>
  <c r="E157" i="4"/>
  <c r="D157" i="4"/>
  <c r="C157" i="4"/>
  <c r="A157" i="4"/>
  <c r="B157" i="4" s="1"/>
  <c r="E156" i="4"/>
  <c r="D156" i="4"/>
  <c r="C156" i="4"/>
  <c r="B156" i="4"/>
  <c r="A156" i="4"/>
  <c r="E155" i="4"/>
  <c r="D155" i="4"/>
  <c r="C155" i="4"/>
  <c r="A155" i="4"/>
  <c r="B155" i="4" s="1"/>
  <c r="E154" i="4"/>
  <c r="D154" i="4"/>
  <c r="C154" i="4"/>
  <c r="B154" i="4"/>
  <c r="A154" i="4"/>
  <c r="E153" i="4"/>
  <c r="D153" i="4"/>
  <c r="C153" i="4"/>
  <c r="A153" i="4"/>
  <c r="B153" i="4" s="1"/>
  <c r="E152" i="4"/>
  <c r="D152" i="4"/>
  <c r="C152" i="4"/>
  <c r="B152" i="4"/>
  <c r="A152" i="4"/>
  <c r="E151" i="4"/>
  <c r="D151" i="4"/>
  <c r="C151" i="4"/>
  <c r="A151" i="4"/>
  <c r="B151" i="4" s="1"/>
  <c r="E150" i="4"/>
  <c r="D150" i="4"/>
  <c r="C150" i="4"/>
  <c r="A150" i="4"/>
  <c r="B150" i="4" s="1"/>
  <c r="E149" i="4"/>
  <c r="D149" i="4"/>
  <c r="C149" i="4"/>
  <c r="A149" i="4"/>
  <c r="B149" i="4" s="1"/>
  <c r="E148" i="4"/>
  <c r="D148" i="4"/>
  <c r="C148" i="4"/>
  <c r="B148" i="4"/>
  <c r="A148" i="4"/>
  <c r="E147" i="4"/>
  <c r="D147" i="4"/>
  <c r="C147" i="4"/>
  <c r="A147" i="4"/>
  <c r="B147" i="4" s="1"/>
  <c r="E146" i="4"/>
  <c r="D146" i="4"/>
  <c r="C146" i="4"/>
  <c r="B146" i="4"/>
  <c r="A146" i="4"/>
  <c r="E145" i="4"/>
  <c r="D145" i="4"/>
  <c r="C145" i="4"/>
  <c r="A145" i="4"/>
  <c r="B145" i="4" s="1"/>
  <c r="E144" i="4"/>
  <c r="D144" i="4"/>
  <c r="C144" i="4"/>
  <c r="B144" i="4"/>
  <c r="A144" i="4"/>
  <c r="E143" i="4"/>
  <c r="D143" i="4"/>
  <c r="C143" i="4"/>
  <c r="A143" i="4"/>
  <c r="B143" i="4" s="1"/>
  <c r="E142" i="4"/>
  <c r="D142" i="4"/>
  <c r="C142" i="4"/>
  <c r="A142" i="4"/>
  <c r="B142" i="4" s="1"/>
  <c r="E141" i="4"/>
  <c r="D141" i="4"/>
  <c r="C141" i="4"/>
  <c r="A141" i="4"/>
  <c r="B141" i="4" s="1"/>
  <c r="E140" i="4"/>
  <c r="D140" i="4"/>
  <c r="C140" i="4"/>
  <c r="B140" i="4"/>
  <c r="A140" i="4"/>
  <c r="E139" i="4"/>
  <c r="D139" i="4"/>
  <c r="C139" i="4"/>
  <c r="A139" i="4"/>
  <c r="B139" i="4" s="1"/>
  <c r="E138" i="4"/>
  <c r="D138" i="4"/>
  <c r="C138" i="4"/>
  <c r="B138" i="4"/>
  <c r="A138" i="4"/>
  <c r="E137" i="4"/>
  <c r="D137" i="4"/>
  <c r="C137" i="4"/>
  <c r="A137" i="4"/>
  <c r="B137" i="4" s="1"/>
  <c r="E136" i="4"/>
  <c r="D136" i="4"/>
  <c r="C136" i="4"/>
  <c r="A136" i="4"/>
  <c r="B136" i="4" s="1"/>
  <c r="E135" i="4"/>
  <c r="D135" i="4"/>
  <c r="C135" i="4"/>
  <c r="A135" i="4"/>
  <c r="B135" i="4" s="1"/>
  <c r="E134" i="4"/>
  <c r="D134" i="4"/>
  <c r="C134" i="4"/>
  <c r="A134" i="4"/>
  <c r="B134" i="4" s="1"/>
  <c r="E133" i="4"/>
  <c r="D133" i="4"/>
  <c r="C133" i="4"/>
  <c r="A133" i="4"/>
  <c r="B133" i="4" s="1"/>
  <c r="E132" i="4"/>
  <c r="D132" i="4"/>
  <c r="C132" i="4"/>
  <c r="B132" i="4"/>
  <c r="A132" i="4"/>
  <c r="E131" i="4"/>
  <c r="D131" i="4"/>
  <c r="C131" i="4"/>
  <c r="A131" i="4"/>
  <c r="B131" i="4" s="1"/>
  <c r="E130" i="4"/>
  <c r="D130" i="4"/>
  <c r="C130" i="4"/>
  <c r="B130" i="4"/>
  <c r="A130" i="4"/>
  <c r="E129" i="4"/>
  <c r="D129" i="4"/>
  <c r="C129" i="4"/>
  <c r="A129" i="4"/>
  <c r="B129" i="4" s="1"/>
  <c r="E128" i="4"/>
  <c r="D128" i="4"/>
  <c r="C128" i="4"/>
  <c r="B128" i="4"/>
  <c r="A128" i="4"/>
  <c r="E127" i="4"/>
  <c r="D127" i="4"/>
  <c r="C127" i="4"/>
  <c r="A127" i="4"/>
  <c r="B127" i="4" s="1"/>
  <c r="E126" i="4"/>
  <c r="D126" i="4"/>
  <c r="C126" i="4"/>
  <c r="A126" i="4"/>
  <c r="B126" i="4" s="1"/>
  <c r="E125" i="4"/>
  <c r="D125" i="4"/>
  <c r="C125" i="4"/>
  <c r="A125" i="4"/>
  <c r="B125" i="4" s="1"/>
  <c r="E124" i="4"/>
  <c r="D124" i="4"/>
  <c r="C124" i="4"/>
  <c r="B124" i="4"/>
  <c r="A124" i="4"/>
  <c r="E123" i="4"/>
  <c r="D123" i="4"/>
  <c r="C123" i="4"/>
  <c r="A123" i="4"/>
  <c r="B123" i="4" s="1"/>
  <c r="E122" i="4"/>
  <c r="D122" i="4"/>
  <c r="C122" i="4"/>
  <c r="B122" i="4"/>
  <c r="A122" i="4"/>
  <c r="E121" i="4"/>
  <c r="D121" i="4"/>
  <c r="C121" i="4"/>
  <c r="A121" i="4"/>
  <c r="B121" i="4" s="1"/>
  <c r="E120" i="4"/>
  <c r="D120" i="4"/>
  <c r="C120" i="4"/>
  <c r="B120" i="4"/>
  <c r="A120" i="4"/>
  <c r="E119" i="4"/>
  <c r="D119" i="4"/>
  <c r="C119" i="4"/>
  <c r="A119" i="4"/>
  <c r="B119" i="4" s="1"/>
  <c r="E118" i="4"/>
  <c r="D118" i="4"/>
  <c r="C118" i="4"/>
  <c r="A118" i="4"/>
  <c r="B118" i="4" s="1"/>
  <c r="E117" i="4"/>
  <c r="D117" i="4"/>
  <c r="C117" i="4"/>
  <c r="A117" i="4"/>
  <c r="B117" i="4" s="1"/>
  <c r="E116" i="4"/>
  <c r="D116" i="4"/>
  <c r="C116" i="4"/>
  <c r="B116" i="4"/>
  <c r="A116" i="4"/>
  <c r="E115" i="4"/>
  <c r="D115" i="4"/>
  <c r="C115" i="4"/>
  <c r="A115" i="4"/>
  <c r="B115" i="4" s="1"/>
  <c r="E114" i="4"/>
  <c r="D114" i="4"/>
  <c r="C114" i="4"/>
  <c r="B114" i="4"/>
  <c r="A114" i="4"/>
  <c r="E113" i="4"/>
  <c r="D113" i="4"/>
  <c r="C113" i="4"/>
  <c r="A113" i="4"/>
  <c r="B113" i="4" s="1"/>
  <c r="E112" i="4"/>
  <c r="D112" i="4"/>
  <c r="C112" i="4"/>
  <c r="B112" i="4"/>
  <c r="A112" i="4"/>
  <c r="E111" i="4"/>
  <c r="D111" i="4"/>
  <c r="C111" i="4"/>
  <c r="A111" i="4"/>
  <c r="B111" i="4" s="1"/>
  <c r="E110" i="4"/>
  <c r="D110" i="4"/>
  <c r="C110" i="4"/>
  <c r="A110" i="4"/>
  <c r="B110" i="4" s="1"/>
  <c r="E109" i="4"/>
  <c r="D109" i="4"/>
  <c r="C109" i="4"/>
  <c r="A109" i="4"/>
  <c r="B109" i="4" s="1"/>
  <c r="E108" i="4"/>
  <c r="D108" i="4"/>
  <c r="C108" i="4"/>
  <c r="B108" i="4"/>
  <c r="A108" i="4"/>
  <c r="E107" i="4"/>
  <c r="D107" i="4"/>
  <c r="C107" i="4"/>
  <c r="A107" i="4"/>
  <c r="B107" i="4" s="1"/>
  <c r="E106" i="4"/>
  <c r="D106" i="4"/>
  <c r="C106" i="4"/>
  <c r="B106" i="4"/>
  <c r="A106" i="4"/>
  <c r="E105" i="4"/>
  <c r="D105" i="4"/>
  <c r="C105" i="4"/>
  <c r="A105" i="4"/>
  <c r="B105" i="4" s="1"/>
  <c r="E104" i="4"/>
  <c r="D104" i="4"/>
  <c r="C104" i="4"/>
  <c r="A104" i="4"/>
  <c r="B104" i="4" s="1"/>
  <c r="E103" i="4"/>
  <c r="D103" i="4"/>
  <c r="C103" i="4"/>
  <c r="A103" i="4"/>
  <c r="B103" i="4" s="1"/>
  <c r="E102" i="4"/>
  <c r="D102" i="4"/>
  <c r="C102" i="4"/>
  <c r="A102" i="4"/>
  <c r="B102" i="4" s="1"/>
  <c r="E101" i="4"/>
  <c r="D101" i="4"/>
  <c r="C101" i="4"/>
  <c r="A101" i="4"/>
  <c r="B101" i="4" s="1"/>
  <c r="E100" i="4"/>
  <c r="D100" i="4"/>
  <c r="C100" i="4"/>
  <c r="B100" i="4"/>
  <c r="A100" i="4"/>
  <c r="E99" i="4"/>
  <c r="D99" i="4"/>
  <c r="C99" i="4"/>
  <c r="A99" i="4"/>
  <c r="B99" i="4" s="1"/>
  <c r="E98" i="4"/>
  <c r="D98" i="4"/>
  <c r="C98" i="4"/>
  <c r="B98" i="4"/>
  <c r="A98" i="4"/>
  <c r="E97" i="4"/>
  <c r="D97" i="4"/>
  <c r="C97" i="4"/>
  <c r="A97" i="4"/>
  <c r="B97" i="4" s="1"/>
  <c r="E96" i="4"/>
  <c r="D96" i="4"/>
  <c r="C96" i="4"/>
  <c r="B96" i="4"/>
  <c r="A96" i="4"/>
  <c r="E95" i="4"/>
  <c r="D95" i="4"/>
  <c r="C95" i="4"/>
  <c r="A95" i="4"/>
  <c r="B95" i="4" s="1"/>
  <c r="E94" i="4"/>
  <c r="D94" i="4"/>
  <c r="C94" i="4"/>
  <c r="A94" i="4"/>
  <c r="B94" i="4" s="1"/>
  <c r="E93" i="4"/>
  <c r="D93" i="4"/>
  <c r="C93" i="4"/>
  <c r="A93" i="4"/>
  <c r="B93" i="4" s="1"/>
  <c r="E92" i="4"/>
  <c r="D92" i="4"/>
  <c r="C92" i="4"/>
  <c r="B92" i="4"/>
  <c r="A92" i="4"/>
  <c r="E91" i="4"/>
  <c r="D91" i="4"/>
  <c r="C91" i="4"/>
  <c r="A91" i="4"/>
  <c r="B91" i="4" s="1"/>
  <c r="E90" i="4"/>
  <c r="D90" i="4"/>
  <c r="C90" i="4"/>
  <c r="B90" i="4"/>
  <c r="A90" i="4"/>
  <c r="E89" i="4"/>
  <c r="D89" i="4"/>
  <c r="C89" i="4"/>
  <c r="A89" i="4"/>
  <c r="B89" i="4" s="1"/>
  <c r="E88" i="4"/>
  <c r="D88" i="4"/>
  <c r="C88" i="4"/>
  <c r="B88" i="4"/>
  <c r="A88" i="4"/>
  <c r="E87" i="4"/>
  <c r="D87" i="4"/>
  <c r="C87" i="4"/>
  <c r="A87" i="4"/>
  <c r="B87" i="4" s="1"/>
  <c r="E86" i="4"/>
  <c r="D86" i="4"/>
  <c r="C86" i="4"/>
  <c r="A86" i="4"/>
  <c r="B86" i="4" s="1"/>
  <c r="E85" i="4"/>
  <c r="D85" i="4"/>
  <c r="C85" i="4"/>
  <c r="A85" i="4"/>
  <c r="B85" i="4" s="1"/>
  <c r="E84" i="4"/>
  <c r="D84" i="4"/>
  <c r="C84" i="4"/>
  <c r="B84" i="4"/>
  <c r="A84" i="4"/>
  <c r="E83" i="4"/>
  <c r="D83" i="4"/>
  <c r="C83" i="4"/>
  <c r="A83" i="4"/>
  <c r="B83" i="4" s="1"/>
  <c r="E82" i="4"/>
  <c r="D82" i="4"/>
  <c r="C82" i="4"/>
  <c r="B82" i="4"/>
  <c r="A82" i="4"/>
  <c r="E81" i="4"/>
  <c r="D81" i="4"/>
  <c r="C81" i="4"/>
  <c r="A81" i="4"/>
  <c r="B81" i="4" s="1"/>
  <c r="E80" i="4"/>
  <c r="D80" i="4"/>
  <c r="C80" i="4"/>
  <c r="B80" i="4"/>
  <c r="A80" i="4"/>
  <c r="E79" i="4"/>
  <c r="D79" i="4"/>
  <c r="C79" i="4"/>
  <c r="A79" i="4"/>
  <c r="B79" i="4" s="1"/>
  <c r="E78" i="4"/>
  <c r="D78" i="4"/>
  <c r="C78" i="4"/>
  <c r="A78" i="4"/>
  <c r="B78" i="4" s="1"/>
  <c r="E77" i="4"/>
  <c r="D77" i="4"/>
  <c r="C77" i="4"/>
  <c r="A77" i="4"/>
  <c r="B77" i="4" s="1"/>
  <c r="E76" i="4"/>
  <c r="D76" i="4"/>
  <c r="C76" i="4"/>
  <c r="B76" i="4"/>
  <c r="A76" i="4"/>
  <c r="E75" i="4"/>
  <c r="D75" i="4"/>
  <c r="C75" i="4"/>
  <c r="A75" i="4"/>
  <c r="B75" i="4" s="1"/>
  <c r="E74" i="4"/>
  <c r="D74" i="4"/>
  <c r="C74" i="4"/>
  <c r="B74" i="4"/>
  <c r="A74" i="4"/>
  <c r="E73" i="4"/>
  <c r="D73" i="4"/>
  <c r="C73" i="4"/>
  <c r="A73" i="4"/>
  <c r="B73" i="4" s="1"/>
  <c r="E72" i="4"/>
  <c r="D72" i="4"/>
  <c r="C72" i="4"/>
  <c r="A72" i="4"/>
  <c r="B72" i="4" s="1"/>
  <c r="E71" i="4"/>
  <c r="D71" i="4"/>
  <c r="C71" i="4"/>
  <c r="A71" i="4"/>
  <c r="B71" i="4" s="1"/>
  <c r="E70" i="4"/>
  <c r="D70" i="4"/>
  <c r="C70" i="4"/>
  <c r="A70" i="4"/>
  <c r="B70" i="4" s="1"/>
  <c r="E69" i="4"/>
  <c r="D69" i="4"/>
  <c r="C69" i="4"/>
  <c r="A69" i="4"/>
  <c r="B69" i="4" s="1"/>
  <c r="E68" i="4"/>
  <c r="D68" i="4"/>
  <c r="C68" i="4"/>
  <c r="B68" i="4"/>
  <c r="A68" i="4"/>
  <c r="E67" i="4"/>
  <c r="D67" i="4"/>
  <c r="C67" i="4"/>
  <c r="A67" i="4"/>
  <c r="B67" i="4" s="1"/>
  <c r="E66" i="4"/>
  <c r="D66" i="4"/>
  <c r="C66" i="4"/>
  <c r="B66" i="4"/>
  <c r="A66" i="4"/>
  <c r="E65" i="4"/>
  <c r="D65" i="4"/>
  <c r="C65" i="4"/>
  <c r="A65" i="4"/>
  <c r="B65" i="4" s="1"/>
  <c r="E64" i="4"/>
  <c r="D64" i="4"/>
  <c r="C64" i="4"/>
  <c r="B64" i="4"/>
  <c r="A64" i="4"/>
  <c r="E63" i="4"/>
  <c r="D63" i="4"/>
  <c r="C63" i="4"/>
  <c r="A63" i="4"/>
  <c r="B63" i="4" s="1"/>
  <c r="E62" i="4"/>
  <c r="D62" i="4"/>
  <c r="C62" i="4"/>
  <c r="A62" i="4"/>
  <c r="B62" i="4" s="1"/>
  <c r="E61" i="4"/>
  <c r="D61" i="4"/>
  <c r="C61" i="4"/>
  <c r="A61" i="4"/>
  <c r="B61" i="4" s="1"/>
  <c r="E60" i="4"/>
  <c r="D60" i="4"/>
  <c r="C60" i="4"/>
  <c r="B60" i="4"/>
  <c r="A60" i="4"/>
  <c r="E59" i="4"/>
  <c r="D59" i="4"/>
  <c r="C59" i="4"/>
  <c r="A59" i="4"/>
  <c r="B59" i="4" s="1"/>
  <c r="E58" i="4"/>
  <c r="D58" i="4"/>
  <c r="C58" i="4"/>
  <c r="B58" i="4"/>
  <c r="A58" i="4"/>
  <c r="E57" i="4"/>
  <c r="D57" i="4"/>
  <c r="C57" i="4"/>
  <c r="A57" i="4"/>
  <c r="B57" i="4" s="1"/>
  <c r="E56" i="4"/>
  <c r="D56" i="4"/>
  <c r="C56" i="4"/>
  <c r="B56" i="4"/>
  <c r="A56" i="4"/>
  <c r="E55" i="4"/>
  <c r="D55" i="4"/>
  <c r="C55" i="4"/>
  <c r="A55" i="4"/>
  <c r="B55" i="4" s="1"/>
  <c r="E54" i="4"/>
  <c r="D54" i="4"/>
  <c r="C54" i="4"/>
  <c r="A54" i="4"/>
  <c r="B54" i="4" s="1"/>
  <c r="E53" i="4"/>
  <c r="D53" i="4"/>
  <c r="C53" i="4"/>
  <c r="A53" i="4"/>
  <c r="B53" i="4" s="1"/>
  <c r="E52" i="4"/>
  <c r="D52" i="4"/>
  <c r="C52" i="4"/>
  <c r="B52" i="4"/>
  <c r="A52" i="4"/>
  <c r="E51" i="4"/>
  <c r="D51" i="4"/>
  <c r="C51" i="4"/>
  <c r="A51" i="4"/>
  <c r="B51" i="4" s="1"/>
  <c r="E50" i="4"/>
  <c r="D50" i="4"/>
  <c r="C50" i="4"/>
  <c r="B50" i="4"/>
  <c r="A50" i="4"/>
  <c r="E49" i="4"/>
  <c r="D49" i="4"/>
  <c r="C49" i="4"/>
  <c r="A49" i="4"/>
  <c r="B49" i="4" s="1"/>
  <c r="E48" i="4"/>
  <c r="D48" i="4"/>
  <c r="C48" i="4"/>
  <c r="B48" i="4"/>
  <c r="A48" i="4"/>
  <c r="E47" i="4"/>
  <c r="D47" i="4"/>
  <c r="C47" i="4"/>
  <c r="A47" i="4"/>
  <c r="B47" i="4" s="1"/>
  <c r="E46" i="4"/>
  <c r="D46" i="4"/>
  <c r="C46" i="4"/>
  <c r="A46" i="4"/>
  <c r="B46" i="4" s="1"/>
  <c r="E45" i="4"/>
  <c r="D45" i="4"/>
  <c r="C45" i="4"/>
  <c r="A45" i="4"/>
  <c r="B45" i="4" s="1"/>
  <c r="E44" i="4"/>
  <c r="D44" i="4"/>
  <c r="C44" i="4"/>
  <c r="B44" i="4"/>
  <c r="A44" i="4"/>
  <c r="E43" i="4"/>
  <c r="D43" i="4"/>
  <c r="C43" i="4"/>
  <c r="A43" i="4"/>
  <c r="B43" i="4" s="1"/>
  <c r="E42" i="4"/>
  <c r="D42" i="4"/>
  <c r="C42" i="4"/>
  <c r="B42" i="4"/>
  <c r="A42" i="4"/>
  <c r="E41" i="4"/>
  <c r="D41" i="4"/>
  <c r="C41" i="4"/>
  <c r="A41" i="4"/>
  <c r="B41" i="4" s="1"/>
  <c r="E40" i="4"/>
  <c r="D40" i="4"/>
  <c r="C40" i="4"/>
  <c r="A40" i="4"/>
  <c r="B40" i="4" s="1"/>
  <c r="E39" i="4"/>
  <c r="D39" i="4"/>
  <c r="C39" i="4"/>
  <c r="A39" i="4"/>
  <c r="B39" i="4" s="1"/>
  <c r="E38" i="4"/>
  <c r="D38" i="4"/>
  <c r="C38" i="4"/>
  <c r="A38" i="4"/>
  <c r="B38" i="4" s="1"/>
  <c r="E37" i="4"/>
  <c r="D37" i="4"/>
  <c r="C37" i="4"/>
  <c r="A37" i="4"/>
  <c r="B37" i="4" s="1"/>
  <c r="E36" i="4"/>
  <c r="D36" i="4"/>
  <c r="C36" i="4"/>
  <c r="B36" i="4"/>
  <c r="A36" i="4"/>
  <c r="E35" i="4"/>
  <c r="D35" i="4"/>
  <c r="C35" i="4"/>
  <c r="A35" i="4"/>
  <c r="B35" i="4" s="1"/>
  <c r="E34" i="4"/>
  <c r="D34" i="4"/>
  <c r="C34" i="4"/>
  <c r="B34" i="4"/>
  <c r="A34" i="4"/>
  <c r="E33" i="4"/>
  <c r="D33" i="4"/>
  <c r="C33" i="4"/>
  <c r="A33" i="4"/>
  <c r="B33" i="4" s="1"/>
  <c r="E32" i="4"/>
  <c r="D32" i="4"/>
  <c r="C32" i="4"/>
  <c r="B32" i="4"/>
  <c r="A32" i="4"/>
  <c r="E31" i="4"/>
  <c r="D31" i="4"/>
  <c r="C31" i="4"/>
  <c r="A31" i="4"/>
  <c r="B31" i="4" s="1"/>
  <c r="E30" i="4"/>
  <c r="D30" i="4"/>
  <c r="C30" i="4"/>
  <c r="A30" i="4"/>
  <c r="B30" i="4" s="1"/>
  <c r="E29" i="4"/>
  <c r="D29" i="4"/>
  <c r="C29" i="4"/>
  <c r="A29" i="4"/>
  <c r="B29" i="4" s="1"/>
  <c r="E28" i="4"/>
  <c r="D28" i="4"/>
  <c r="C28" i="4"/>
  <c r="B28" i="4"/>
  <c r="A28" i="4"/>
  <c r="E27" i="4"/>
  <c r="D27" i="4"/>
  <c r="C27" i="4"/>
  <c r="A27" i="4"/>
  <c r="B27" i="4" s="1"/>
  <c r="E26" i="4"/>
  <c r="D26" i="4"/>
  <c r="C26" i="4"/>
  <c r="B26" i="4"/>
  <c r="A26" i="4"/>
  <c r="E25" i="4"/>
  <c r="D25" i="4"/>
  <c r="C25" i="4"/>
  <c r="A25" i="4"/>
  <c r="B25" i="4" s="1"/>
  <c r="E24" i="4"/>
  <c r="D24" i="4"/>
  <c r="C24" i="4"/>
  <c r="B24" i="4"/>
  <c r="A24" i="4"/>
  <c r="E23" i="4"/>
  <c r="D23" i="4"/>
  <c r="C23" i="4"/>
  <c r="A23" i="4"/>
  <c r="B23" i="4" s="1"/>
  <c r="E22" i="4"/>
  <c r="D22" i="4"/>
  <c r="C22" i="4"/>
  <c r="A22" i="4"/>
  <c r="B22" i="4" s="1"/>
  <c r="E21" i="4"/>
  <c r="D21" i="4"/>
  <c r="C21" i="4"/>
  <c r="A21" i="4"/>
  <c r="B21" i="4" s="1"/>
  <c r="E20" i="4"/>
  <c r="D20" i="4"/>
  <c r="C20" i="4"/>
  <c r="B20" i="4"/>
  <c r="A20" i="4"/>
  <c r="E19" i="4"/>
  <c r="D19" i="4"/>
  <c r="C19" i="4"/>
  <c r="A19" i="4"/>
  <c r="B19" i="4" s="1"/>
  <c r="E18" i="4"/>
  <c r="D18" i="4"/>
  <c r="C18" i="4"/>
  <c r="B18" i="4"/>
  <c r="A18" i="4"/>
  <c r="E17" i="4"/>
  <c r="D17" i="4"/>
  <c r="C17" i="4"/>
  <c r="A17" i="4"/>
  <c r="B17" i="4" s="1"/>
  <c r="E16" i="4"/>
  <c r="D16" i="4"/>
  <c r="C16" i="4"/>
  <c r="B16" i="4"/>
  <c r="A16" i="4"/>
  <c r="E15" i="4"/>
  <c r="D15" i="4"/>
  <c r="C15" i="4"/>
  <c r="A15" i="4"/>
  <c r="B15" i="4" s="1"/>
  <c r="E14" i="4"/>
  <c r="D14" i="4"/>
  <c r="C14" i="4"/>
  <c r="A14" i="4"/>
  <c r="B14" i="4" s="1"/>
  <c r="E13" i="4"/>
  <c r="D13" i="4"/>
  <c r="C13" i="4"/>
  <c r="A13" i="4"/>
  <c r="B13" i="4" s="1"/>
  <c r="E12" i="4"/>
  <c r="D12" i="4"/>
  <c r="C12" i="4"/>
  <c r="B12" i="4"/>
  <c r="A12" i="4"/>
  <c r="E11" i="4"/>
  <c r="D11" i="4"/>
  <c r="C11" i="4"/>
  <c r="A11" i="4"/>
  <c r="B11" i="4" s="1"/>
  <c r="N10" i="4"/>
  <c r="E10" i="4"/>
  <c r="D10" i="4"/>
  <c r="C10" i="4"/>
  <c r="A10" i="4"/>
  <c r="B10" i="4" s="1"/>
  <c r="N9" i="4"/>
  <c r="O9" i="4" s="1"/>
  <c r="E9" i="4"/>
  <c r="D9" i="4"/>
  <c r="C9" i="4"/>
  <c r="B9" i="4"/>
  <c r="A9" i="4"/>
  <c r="O8" i="4"/>
  <c r="N8" i="4"/>
  <c r="E8" i="4"/>
  <c r="D8" i="4"/>
  <c r="C8" i="4"/>
  <c r="A8" i="4"/>
  <c r="B8" i="4" s="1"/>
  <c r="N7" i="4"/>
  <c r="E7" i="4"/>
  <c r="D7" i="4"/>
  <c r="C7" i="4"/>
  <c r="B7" i="4"/>
  <c r="A7" i="4"/>
  <c r="O6" i="4"/>
  <c r="N6" i="4"/>
  <c r="E6" i="4"/>
  <c r="D6" i="4"/>
  <c r="C6" i="4"/>
  <c r="A6" i="4"/>
  <c r="B6" i="4" s="1"/>
  <c r="E718" i="3"/>
  <c r="D718" i="3"/>
  <c r="C718" i="3"/>
  <c r="A718" i="3"/>
  <c r="B718" i="3" s="1"/>
  <c r="E717" i="3"/>
  <c r="D717" i="3"/>
  <c r="C717" i="3"/>
  <c r="A717" i="3"/>
  <c r="B717" i="3" s="1"/>
  <c r="E716" i="3"/>
  <c r="D716" i="3"/>
  <c r="C716" i="3"/>
  <c r="A716" i="3"/>
  <c r="B716" i="3" s="1"/>
  <c r="E715" i="3"/>
  <c r="D715" i="3"/>
  <c r="C715" i="3"/>
  <c r="A715" i="3"/>
  <c r="B715" i="3" s="1"/>
  <c r="E714" i="3"/>
  <c r="D714" i="3"/>
  <c r="C714" i="3"/>
  <c r="B714" i="3"/>
  <c r="A714" i="3"/>
  <c r="E713" i="3"/>
  <c r="D713" i="3"/>
  <c r="C713" i="3"/>
  <c r="B713" i="3"/>
  <c r="A713" i="3"/>
  <c r="E712" i="3"/>
  <c r="D712" i="3"/>
  <c r="C712" i="3"/>
  <c r="B712" i="3"/>
  <c r="A712" i="3"/>
  <c r="E711" i="3"/>
  <c r="D711" i="3"/>
  <c r="C711" i="3"/>
  <c r="A711" i="3"/>
  <c r="B711" i="3" s="1"/>
  <c r="E710" i="3"/>
  <c r="D710" i="3"/>
  <c r="C710" i="3"/>
  <c r="A710" i="3"/>
  <c r="B710" i="3" s="1"/>
  <c r="E709" i="3"/>
  <c r="D709" i="3"/>
  <c r="C709" i="3"/>
  <c r="A709" i="3"/>
  <c r="B709" i="3" s="1"/>
  <c r="E708" i="3"/>
  <c r="D708" i="3"/>
  <c r="C708" i="3"/>
  <c r="B708" i="3"/>
  <c r="A708" i="3"/>
  <c r="E707" i="3"/>
  <c r="D707" i="3"/>
  <c r="C707" i="3"/>
  <c r="A707" i="3"/>
  <c r="B707" i="3" s="1"/>
  <c r="E706" i="3"/>
  <c r="D706" i="3"/>
  <c r="C706" i="3"/>
  <c r="B706" i="3"/>
  <c r="A706" i="3"/>
  <c r="E705" i="3"/>
  <c r="D705" i="3"/>
  <c r="C705" i="3"/>
  <c r="B705" i="3"/>
  <c r="A705" i="3"/>
  <c r="E704" i="3"/>
  <c r="D704" i="3"/>
  <c r="C704" i="3"/>
  <c r="B704" i="3"/>
  <c r="A704" i="3"/>
  <c r="E703" i="3"/>
  <c r="D703" i="3"/>
  <c r="C703" i="3"/>
  <c r="B703" i="3"/>
  <c r="A703" i="3"/>
  <c r="E702" i="3"/>
  <c r="D702" i="3"/>
  <c r="C702" i="3"/>
  <c r="A702" i="3"/>
  <c r="B702" i="3" s="1"/>
  <c r="E701" i="3"/>
  <c r="D701" i="3"/>
  <c r="C701" i="3"/>
  <c r="A701" i="3"/>
  <c r="B701" i="3" s="1"/>
  <c r="E700" i="3"/>
  <c r="D700" i="3"/>
  <c r="C700" i="3"/>
  <c r="B700" i="3"/>
  <c r="A700" i="3"/>
  <c r="E699" i="3"/>
  <c r="D699" i="3"/>
  <c r="C699" i="3"/>
  <c r="A699" i="3"/>
  <c r="B699" i="3" s="1"/>
  <c r="E698" i="3"/>
  <c r="D698" i="3"/>
  <c r="C698" i="3"/>
  <c r="B698" i="3"/>
  <c r="A698" i="3"/>
  <c r="E697" i="3"/>
  <c r="D697" i="3"/>
  <c r="C697" i="3"/>
  <c r="A697" i="3"/>
  <c r="B697" i="3" s="1"/>
  <c r="E696" i="3"/>
  <c r="D696" i="3"/>
  <c r="C696" i="3"/>
  <c r="B696" i="3"/>
  <c r="A696" i="3"/>
  <c r="E695" i="3"/>
  <c r="D695" i="3"/>
  <c r="C695" i="3"/>
  <c r="B695" i="3"/>
  <c r="A695" i="3"/>
  <c r="E694" i="3"/>
  <c r="D694" i="3"/>
  <c r="C694" i="3"/>
  <c r="B694" i="3"/>
  <c r="A694" i="3"/>
  <c r="E693" i="3"/>
  <c r="D693" i="3"/>
  <c r="C693" i="3"/>
  <c r="A693" i="3"/>
  <c r="B693" i="3" s="1"/>
  <c r="E692" i="3"/>
  <c r="D692" i="3"/>
  <c r="C692" i="3"/>
  <c r="A692" i="3"/>
  <c r="B692" i="3" s="1"/>
  <c r="E691" i="3"/>
  <c r="D691" i="3"/>
  <c r="C691" i="3"/>
  <c r="A691" i="3"/>
  <c r="B691" i="3" s="1"/>
  <c r="E690" i="3"/>
  <c r="D690" i="3"/>
  <c r="C690" i="3"/>
  <c r="B690" i="3"/>
  <c r="A690" i="3"/>
  <c r="E689" i="3"/>
  <c r="D689" i="3"/>
  <c r="C689" i="3"/>
  <c r="A689" i="3"/>
  <c r="B689" i="3" s="1"/>
  <c r="E688" i="3"/>
  <c r="D688" i="3"/>
  <c r="C688" i="3"/>
  <c r="B688" i="3"/>
  <c r="A688" i="3"/>
  <c r="E687" i="3"/>
  <c r="D687" i="3"/>
  <c r="C687" i="3"/>
  <c r="A687" i="3"/>
  <c r="B687" i="3" s="1"/>
  <c r="E686" i="3"/>
  <c r="D686" i="3"/>
  <c r="C686" i="3"/>
  <c r="A686" i="3"/>
  <c r="B686" i="3" s="1"/>
  <c r="E685" i="3"/>
  <c r="D685" i="3"/>
  <c r="C685" i="3"/>
  <c r="A685" i="3"/>
  <c r="B685" i="3" s="1"/>
  <c r="E684" i="3"/>
  <c r="D684" i="3"/>
  <c r="C684" i="3"/>
  <c r="A684" i="3"/>
  <c r="B684" i="3" s="1"/>
  <c r="E683" i="3"/>
  <c r="D683" i="3"/>
  <c r="C683" i="3"/>
  <c r="A683" i="3"/>
  <c r="B683" i="3" s="1"/>
  <c r="E682" i="3"/>
  <c r="D682" i="3"/>
  <c r="C682" i="3"/>
  <c r="B682" i="3"/>
  <c r="A682" i="3"/>
  <c r="E681" i="3"/>
  <c r="D681" i="3"/>
  <c r="C681" i="3"/>
  <c r="B681" i="3"/>
  <c r="A681" i="3"/>
  <c r="E680" i="3"/>
  <c r="D680" i="3"/>
  <c r="C680" i="3"/>
  <c r="B680" i="3"/>
  <c r="A680" i="3"/>
  <c r="E679" i="3"/>
  <c r="D679" i="3"/>
  <c r="C679" i="3"/>
  <c r="A679" i="3"/>
  <c r="B679" i="3" s="1"/>
  <c r="E678" i="3"/>
  <c r="D678" i="3"/>
  <c r="C678" i="3"/>
  <c r="A678" i="3"/>
  <c r="B678" i="3" s="1"/>
  <c r="E677" i="3"/>
  <c r="D677" i="3"/>
  <c r="C677" i="3"/>
  <c r="A677" i="3"/>
  <c r="B677" i="3" s="1"/>
  <c r="E676" i="3"/>
  <c r="D676" i="3"/>
  <c r="C676" i="3"/>
  <c r="B676" i="3"/>
  <c r="A676" i="3"/>
  <c r="E675" i="3"/>
  <c r="D675" i="3"/>
  <c r="C675" i="3"/>
  <c r="A675" i="3"/>
  <c r="B675" i="3" s="1"/>
  <c r="E674" i="3"/>
  <c r="D674" i="3"/>
  <c r="C674" i="3"/>
  <c r="B674" i="3"/>
  <c r="A674" i="3"/>
  <c r="E673" i="3"/>
  <c r="D673" i="3"/>
  <c r="C673" i="3"/>
  <c r="B673" i="3"/>
  <c r="A673" i="3"/>
  <c r="E672" i="3"/>
  <c r="D672" i="3"/>
  <c r="C672" i="3"/>
  <c r="B672" i="3"/>
  <c r="A672" i="3"/>
  <c r="E671" i="3"/>
  <c r="D671" i="3"/>
  <c r="C671" i="3"/>
  <c r="B671" i="3"/>
  <c r="A671" i="3"/>
  <c r="E670" i="3"/>
  <c r="D670" i="3"/>
  <c r="C670" i="3"/>
  <c r="A670" i="3"/>
  <c r="B670" i="3" s="1"/>
  <c r="E669" i="3"/>
  <c r="D669" i="3"/>
  <c r="C669" i="3"/>
  <c r="A669" i="3"/>
  <c r="B669" i="3" s="1"/>
  <c r="E668" i="3"/>
  <c r="D668" i="3"/>
  <c r="C668" i="3"/>
  <c r="B668" i="3"/>
  <c r="A668" i="3"/>
  <c r="E667" i="3"/>
  <c r="D667" i="3"/>
  <c r="C667" i="3"/>
  <c r="A667" i="3"/>
  <c r="B667" i="3" s="1"/>
  <c r="E666" i="3"/>
  <c r="D666" i="3"/>
  <c r="C666" i="3"/>
  <c r="B666" i="3"/>
  <c r="A666" i="3"/>
  <c r="E665" i="3"/>
  <c r="D665" i="3"/>
  <c r="C665" i="3"/>
  <c r="A665" i="3"/>
  <c r="B665" i="3" s="1"/>
  <c r="E664" i="3"/>
  <c r="D664" i="3"/>
  <c r="C664" i="3"/>
  <c r="B664" i="3"/>
  <c r="A664" i="3"/>
  <c r="E663" i="3"/>
  <c r="D663" i="3"/>
  <c r="C663" i="3"/>
  <c r="B663" i="3"/>
  <c r="A663" i="3"/>
  <c r="E662" i="3"/>
  <c r="D662" i="3"/>
  <c r="C662" i="3"/>
  <c r="B662" i="3"/>
  <c r="A662" i="3"/>
  <c r="E661" i="3"/>
  <c r="D661" i="3"/>
  <c r="C661" i="3"/>
  <c r="A661" i="3"/>
  <c r="B661" i="3" s="1"/>
  <c r="E660" i="3"/>
  <c r="D660" i="3"/>
  <c r="C660" i="3"/>
  <c r="A660" i="3"/>
  <c r="B660" i="3" s="1"/>
  <c r="E659" i="3"/>
  <c r="D659" i="3"/>
  <c r="C659" i="3"/>
  <c r="A659" i="3"/>
  <c r="B659" i="3" s="1"/>
  <c r="E658" i="3"/>
  <c r="D658" i="3"/>
  <c r="C658" i="3"/>
  <c r="B658" i="3"/>
  <c r="A658" i="3"/>
  <c r="E657" i="3"/>
  <c r="D657" i="3"/>
  <c r="C657" i="3"/>
  <c r="A657" i="3"/>
  <c r="B657" i="3" s="1"/>
  <c r="E656" i="3"/>
  <c r="D656" i="3"/>
  <c r="C656" i="3"/>
  <c r="B656" i="3"/>
  <c r="A656" i="3"/>
  <c r="E655" i="3"/>
  <c r="D655" i="3"/>
  <c r="C655" i="3"/>
  <c r="A655" i="3"/>
  <c r="B655" i="3" s="1"/>
  <c r="E654" i="3"/>
  <c r="D654" i="3"/>
  <c r="C654" i="3"/>
  <c r="A654" i="3"/>
  <c r="B654" i="3" s="1"/>
  <c r="E653" i="3"/>
  <c r="D653" i="3"/>
  <c r="C653" i="3"/>
  <c r="A653" i="3"/>
  <c r="B653" i="3" s="1"/>
  <c r="E652" i="3"/>
  <c r="D652" i="3"/>
  <c r="C652" i="3"/>
  <c r="A652" i="3"/>
  <c r="B652" i="3" s="1"/>
  <c r="E651" i="3"/>
  <c r="D651" i="3"/>
  <c r="C651" i="3"/>
  <c r="A651" i="3"/>
  <c r="B651" i="3" s="1"/>
  <c r="E650" i="3"/>
  <c r="D650" i="3"/>
  <c r="C650" i="3"/>
  <c r="B650" i="3"/>
  <c r="A650" i="3"/>
  <c r="E649" i="3"/>
  <c r="D649" i="3"/>
  <c r="C649" i="3"/>
  <c r="B649" i="3"/>
  <c r="A649" i="3"/>
  <c r="E648" i="3"/>
  <c r="D648" i="3"/>
  <c r="C648" i="3"/>
  <c r="B648" i="3"/>
  <c r="A648" i="3"/>
  <c r="E647" i="3"/>
  <c r="D647" i="3"/>
  <c r="C647" i="3"/>
  <c r="A647" i="3"/>
  <c r="B647" i="3" s="1"/>
  <c r="E646" i="3"/>
  <c r="D646" i="3"/>
  <c r="C646" i="3"/>
  <c r="A646" i="3"/>
  <c r="B646" i="3" s="1"/>
  <c r="E645" i="3"/>
  <c r="D645" i="3"/>
  <c r="C645" i="3"/>
  <c r="A645" i="3"/>
  <c r="B645" i="3" s="1"/>
  <c r="E644" i="3"/>
  <c r="D644" i="3"/>
  <c r="C644" i="3"/>
  <c r="B644" i="3"/>
  <c r="A644" i="3"/>
  <c r="E643" i="3"/>
  <c r="D643" i="3"/>
  <c r="C643" i="3"/>
  <c r="A643" i="3"/>
  <c r="B643" i="3" s="1"/>
  <c r="E642" i="3"/>
  <c r="D642" i="3"/>
  <c r="C642" i="3"/>
  <c r="B642" i="3"/>
  <c r="A642" i="3"/>
  <c r="E641" i="3"/>
  <c r="D641" i="3"/>
  <c r="C641" i="3"/>
  <c r="B641" i="3"/>
  <c r="A641" i="3"/>
  <c r="E640" i="3"/>
  <c r="D640" i="3"/>
  <c r="C640" i="3"/>
  <c r="B640" i="3"/>
  <c r="A640" i="3"/>
  <c r="E639" i="3"/>
  <c r="D639" i="3"/>
  <c r="C639" i="3"/>
  <c r="B639" i="3"/>
  <c r="A639" i="3"/>
  <c r="E638" i="3"/>
  <c r="D638" i="3"/>
  <c r="C638" i="3"/>
  <c r="A638" i="3"/>
  <c r="B638" i="3" s="1"/>
  <c r="E637" i="3"/>
  <c r="D637" i="3"/>
  <c r="C637" i="3"/>
  <c r="A637" i="3"/>
  <c r="B637" i="3" s="1"/>
  <c r="E636" i="3"/>
  <c r="D636" i="3"/>
  <c r="C636" i="3"/>
  <c r="B636" i="3"/>
  <c r="A636" i="3"/>
  <c r="E635" i="3"/>
  <c r="D635" i="3"/>
  <c r="C635" i="3"/>
  <c r="A635" i="3"/>
  <c r="B635" i="3" s="1"/>
  <c r="E634" i="3"/>
  <c r="D634" i="3"/>
  <c r="C634" i="3"/>
  <c r="B634" i="3"/>
  <c r="A634" i="3"/>
  <c r="E633" i="3"/>
  <c r="D633" i="3"/>
  <c r="C633" i="3"/>
  <c r="A633" i="3"/>
  <c r="B633" i="3" s="1"/>
  <c r="E632" i="3"/>
  <c r="D632" i="3"/>
  <c r="C632" i="3"/>
  <c r="B632" i="3"/>
  <c r="A632" i="3"/>
  <c r="E631" i="3"/>
  <c r="D631" i="3"/>
  <c r="C631" i="3"/>
  <c r="B631" i="3"/>
  <c r="A631" i="3"/>
  <c r="E630" i="3"/>
  <c r="D630" i="3"/>
  <c r="C630" i="3"/>
  <c r="B630" i="3"/>
  <c r="A630" i="3"/>
  <c r="E629" i="3"/>
  <c r="D629" i="3"/>
  <c r="C629" i="3"/>
  <c r="A629" i="3"/>
  <c r="B629" i="3" s="1"/>
  <c r="E628" i="3"/>
  <c r="D628" i="3"/>
  <c r="C628" i="3"/>
  <c r="A628" i="3"/>
  <c r="B628" i="3" s="1"/>
  <c r="E627" i="3"/>
  <c r="D627" i="3"/>
  <c r="C627" i="3"/>
  <c r="A627" i="3"/>
  <c r="B627" i="3" s="1"/>
  <c r="E626" i="3"/>
  <c r="D626" i="3"/>
  <c r="C626" i="3"/>
  <c r="B626" i="3"/>
  <c r="A626" i="3"/>
  <c r="E625" i="3"/>
  <c r="D625" i="3"/>
  <c r="C625" i="3"/>
  <c r="A625" i="3"/>
  <c r="B625" i="3" s="1"/>
  <c r="E624" i="3"/>
  <c r="D624" i="3"/>
  <c r="C624" i="3"/>
  <c r="B624" i="3"/>
  <c r="A624" i="3"/>
  <c r="E623" i="3"/>
  <c r="D623" i="3"/>
  <c r="C623" i="3"/>
  <c r="A623" i="3"/>
  <c r="B623" i="3" s="1"/>
  <c r="E622" i="3"/>
  <c r="D622" i="3"/>
  <c r="C622" i="3"/>
  <c r="A622" i="3"/>
  <c r="B622" i="3" s="1"/>
  <c r="E621" i="3"/>
  <c r="D621" i="3"/>
  <c r="C621" i="3"/>
  <c r="A621" i="3"/>
  <c r="B621" i="3" s="1"/>
  <c r="E620" i="3"/>
  <c r="D620" i="3"/>
  <c r="C620" i="3"/>
  <c r="A620" i="3"/>
  <c r="B620" i="3" s="1"/>
  <c r="E619" i="3"/>
  <c r="D619" i="3"/>
  <c r="C619" i="3"/>
  <c r="A619" i="3"/>
  <c r="B619" i="3" s="1"/>
  <c r="E618" i="3"/>
  <c r="D618" i="3"/>
  <c r="C618" i="3"/>
  <c r="B618" i="3"/>
  <c r="A618" i="3"/>
  <c r="E617" i="3"/>
  <c r="D617" i="3"/>
  <c r="C617" i="3"/>
  <c r="B617" i="3"/>
  <c r="A617" i="3"/>
  <c r="E616" i="3"/>
  <c r="D616" i="3"/>
  <c r="C616" i="3"/>
  <c r="B616" i="3"/>
  <c r="A616" i="3"/>
  <c r="E615" i="3"/>
  <c r="D615" i="3"/>
  <c r="C615" i="3"/>
  <c r="A615" i="3"/>
  <c r="B615" i="3" s="1"/>
  <c r="E614" i="3"/>
  <c r="D614" i="3"/>
  <c r="C614" i="3"/>
  <c r="A614" i="3"/>
  <c r="B614" i="3" s="1"/>
  <c r="E613" i="3"/>
  <c r="D613" i="3"/>
  <c r="C613" i="3"/>
  <c r="A613" i="3"/>
  <c r="B613" i="3" s="1"/>
  <c r="E612" i="3"/>
  <c r="D612" i="3"/>
  <c r="C612" i="3"/>
  <c r="B612" i="3"/>
  <c r="A612" i="3"/>
  <c r="E611" i="3"/>
  <c r="D611" i="3"/>
  <c r="C611" i="3"/>
  <c r="A611" i="3"/>
  <c r="B611" i="3" s="1"/>
  <c r="E610" i="3"/>
  <c r="D610" i="3"/>
  <c r="C610" i="3"/>
  <c r="B610" i="3"/>
  <c r="A610" i="3"/>
  <c r="E609" i="3"/>
  <c r="D609" i="3"/>
  <c r="C609" i="3"/>
  <c r="B609" i="3"/>
  <c r="A609" i="3"/>
  <c r="E608" i="3"/>
  <c r="D608" i="3"/>
  <c r="C608" i="3"/>
  <c r="B608" i="3"/>
  <c r="A608" i="3"/>
  <c r="E607" i="3"/>
  <c r="D607" i="3"/>
  <c r="C607" i="3"/>
  <c r="B607" i="3"/>
  <c r="A607" i="3"/>
  <c r="E606" i="3"/>
  <c r="D606" i="3"/>
  <c r="C606" i="3"/>
  <c r="A606" i="3"/>
  <c r="B606" i="3" s="1"/>
  <c r="E605" i="3"/>
  <c r="D605" i="3"/>
  <c r="C605" i="3"/>
  <c r="A605" i="3"/>
  <c r="B605" i="3" s="1"/>
  <c r="E604" i="3"/>
  <c r="D604" i="3"/>
  <c r="C604" i="3"/>
  <c r="B604" i="3"/>
  <c r="A604" i="3"/>
  <c r="E603" i="3"/>
  <c r="D603" i="3"/>
  <c r="C603" i="3"/>
  <c r="A603" i="3"/>
  <c r="B603" i="3" s="1"/>
  <c r="E602" i="3"/>
  <c r="D602" i="3"/>
  <c r="C602" i="3"/>
  <c r="B602" i="3"/>
  <c r="A602" i="3"/>
  <c r="E601" i="3"/>
  <c r="D601" i="3"/>
  <c r="C601" i="3"/>
  <c r="A601" i="3"/>
  <c r="B601" i="3" s="1"/>
  <c r="E600" i="3"/>
  <c r="D600" i="3"/>
  <c r="C600" i="3"/>
  <c r="B600" i="3"/>
  <c r="A600" i="3"/>
  <c r="E599" i="3"/>
  <c r="D599" i="3"/>
  <c r="C599" i="3"/>
  <c r="B599" i="3"/>
  <c r="A599" i="3"/>
  <c r="E598" i="3"/>
  <c r="D598" i="3"/>
  <c r="C598" i="3"/>
  <c r="B598" i="3"/>
  <c r="A598" i="3"/>
  <c r="E597" i="3"/>
  <c r="D597" i="3"/>
  <c r="C597" i="3"/>
  <c r="A597" i="3"/>
  <c r="B597" i="3" s="1"/>
  <c r="E596" i="3"/>
  <c r="D596" i="3"/>
  <c r="C596" i="3"/>
  <c r="A596" i="3"/>
  <c r="B596" i="3" s="1"/>
  <c r="E595" i="3"/>
  <c r="D595" i="3"/>
  <c r="C595" i="3"/>
  <c r="A595" i="3"/>
  <c r="B595" i="3" s="1"/>
  <c r="E594" i="3"/>
  <c r="D594" i="3"/>
  <c r="C594" i="3"/>
  <c r="B594" i="3"/>
  <c r="A594" i="3"/>
  <c r="E593" i="3"/>
  <c r="D593" i="3"/>
  <c r="C593" i="3"/>
  <c r="A593" i="3"/>
  <c r="B593" i="3" s="1"/>
  <c r="E592" i="3"/>
  <c r="D592" i="3"/>
  <c r="C592" i="3"/>
  <c r="B592" i="3"/>
  <c r="A592" i="3"/>
  <c r="E591" i="3"/>
  <c r="D591" i="3"/>
  <c r="C591" i="3"/>
  <c r="A591" i="3"/>
  <c r="B591" i="3" s="1"/>
  <c r="E590" i="3"/>
  <c r="D590" i="3"/>
  <c r="C590" i="3"/>
  <c r="A590" i="3"/>
  <c r="B590" i="3" s="1"/>
  <c r="E589" i="3"/>
  <c r="D589" i="3"/>
  <c r="C589" i="3"/>
  <c r="A589" i="3"/>
  <c r="B589" i="3" s="1"/>
  <c r="E588" i="3"/>
  <c r="D588" i="3"/>
  <c r="C588" i="3"/>
  <c r="A588" i="3"/>
  <c r="B588" i="3" s="1"/>
  <c r="E587" i="3"/>
  <c r="D587" i="3"/>
  <c r="C587" i="3"/>
  <c r="A587" i="3"/>
  <c r="B587" i="3" s="1"/>
  <c r="E586" i="3"/>
  <c r="D586" i="3"/>
  <c r="C586" i="3"/>
  <c r="B586" i="3"/>
  <c r="A586" i="3"/>
  <c r="E585" i="3"/>
  <c r="D585" i="3"/>
  <c r="C585" i="3"/>
  <c r="B585" i="3"/>
  <c r="A585" i="3"/>
  <c r="E584" i="3"/>
  <c r="D584" i="3"/>
  <c r="C584" i="3"/>
  <c r="B584" i="3"/>
  <c r="A584" i="3"/>
  <c r="E583" i="3"/>
  <c r="D583" i="3"/>
  <c r="C583" i="3"/>
  <c r="A583" i="3"/>
  <c r="B583" i="3" s="1"/>
  <c r="E582" i="3"/>
  <c r="D582" i="3"/>
  <c r="C582" i="3"/>
  <c r="A582" i="3"/>
  <c r="B582" i="3" s="1"/>
  <c r="E581" i="3"/>
  <c r="D581" i="3"/>
  <c r="C581" i="3"/>
  <c r="A581" i="3"/>
  <c r="B581" i="3" s="1"/>
  <c r="E580" i="3"/>
  <c r="D580" i="3"/>
  <c r="C580" i="3"/>
  <c r="B580" i="3"/>
  <c r="A580" i="3"/>
  <c r="E579" i="3"/>
  <c r="D579" i="3"/>
  <c r="C579" i="3"/>
  <c r="A579" i="3"/>
  <c r="B579" i="3" s="1"/>
  <c r="E578" i="3"/>
  <c r="D578" i="3"/>
  <c r="C578" i="3"/>
  <c r="B578" i="3"/>
  <c r="A578" i="3"/>
  <c r="E577" i="3"/>
  <c r="D577" i="3"/>
  <c r="C577" i="3"/>
  <c r="B577" i="3"/>
  <c r="A577" i="3"/>
  <c r="E576" i="3"/>
  <c r="D576" i="3"/>
  <c r="C576" i="3"/>
  <c r="B576" i="3"/>
  <c r="A576" i="3"/>
  <c r="E575" i="3"/>
  <c r="D575" i="3"/>
  <c r="C575" i="3"/>
  <c r="B575" i="3"/>
  <c r="A575" i="3"/>
  <c r="E574" i="3"/>
  <c r="D574" i="3"/>
  <c r="C574" i="3"/>
  <c r="A574" i="3"/>
  <c r="B574" i="3" s="1"/>
  <c r="E573" i="3"/>
  <c r="D573" i="3"/>
  <c r="C573" i="3"/>
  <c r="A573" i="3"/>
  <c r="B573" i="3" s="1"/>
  <c r="E572" i="3"/>
  <c r="D572" i="3"/>
  <c r="C572" i="3"/>
  <c r="B572" i="3"/>
  <c r="A572" i="3"/>
  <c r="E571" i="3"/>
  <c r="D571" i="3"/>
  <c r="C571" i="3"/>
  <c r="A571" i="3"/>
  <c r="B571" i="3" s="1"/>
  <c r="E570" i="3"/>
  <c r="D570" i="3"/>
  <c r="C570" i="3"/>
  <c r="B570" i="3"/>
  <c r="A570" i="3"/>
  <c r="E569" i="3"/>
  <c r="D569" i="3"/>
  <c r="C569" i="3"/>
  <c r="A569" i="3"/>
  <c r="B569" i="3" s="1"/>
  <c r="E568" i="3"/>
  <c r="D568" i="3"/>
  <c r="C568" i="3"/>
  <c r="B568" i="3"/>
  <c r="A568" i="3"/>
  <c r="E567" i="3"/>
  <c r="D567" i="3"/>
  <c r="C567" i="3"/>
  <c r="B567" i="3"/>
  <c r="A567" i="3"/>
  <c r="E566" i="3"/>
  <c r="D566" i="3"/>
  <c r="C566" i="3"/>
  <c r="B566" i="3"/>
  <c r="A566" i="3"/>
  <c r="E565" i="3"/>
  <c r="D565" i="3"/>
  <c r="C565" i="3"/>
  <c r="A565" i="3"/>
  <c r="B565" i="3" s="1"/>
  <c r="E564" i="3"/>
  <c r="D564" i="3"/>
  <c r="C564" i="3"/>
  <c r="A564" i="3"/>
  <c r="B564" i="3" s="1"/>
  <c r="E563" i="3"/>
  <c r="D563" i="3"/>
  <c r="C563" i="3"/>
  <c r="A563" i="3"/>
  <c r="B563" i="3" s="1"/>
  <c r="E562" i="3"/>
  <c r="D562" i="3"/>
  <c r="C562" i="3"/>
  <c r="B562" i="3"/>
  <c r="A562" i="3"/>
  <c r="E561" i="3"/>
  <c r="D561" i="3"/>
  <c r="C561" i="3"/>
  <c r="A561" i="3"/>
  <c r="B561" i="3" s="1"/>
  <c r="E560" i="3"/>
  <c r="D560" i="3"/>
  <c r="C560" i="3"/>
  <c r="B560" i="3"/>
  <c r="A560" i="3"/>
  <c r="E559" i="3"/>
  <c r="D559" i="3"/>
  <c r="C559" i="3"/>
  <c r="A559" i="3"/>
  <c r="B559" i="3" s="1"/>
  <c r="E558" i="3"/>
  <c r="D558" i="3"/>
  <c r="C558" i="3"/>
  <c r="A558" i="3"/>
  <c r="B558" i="3" s="1"/>
  <c r="E557" i="3"/>
  <c r="D557" i="3"/>
  <c r="C557" i="3"/>
  <c r="A557" i="3"/>
  <c r="B557" i="3" s="1"/>
  <c r="E556" i="3"/>
  <c r="D556" i="3"/>
  <c r="C556" i="3"/>
  <c r="A556" i="3"/>
  <c r="B556" i="3" s="1"/>
  <c r="E555" i="3"/>
  <c r="D555" i="3"/>
  <c r="C555" i="3"/>
  <c r="A555" i="3"/>
  <c r="B555" i="3" s="1"/>
  <c r="E554" i="3"/>
  <c r="D554" i="3"/>
  <c r="C554" i="3"/>
  <c r="B554" i="3"/>
  <c r="A554" i="3"/>
  <c r="E553" i="3"/>
  <c r="D553" i="3"/>
  <c r="C553" i="3"/>
  <c r="B553" i="3"/>
  <c r="A553" i="3"/>
  <c r="E552" i="3"/>
  <c r="D552" i="3"/>
  <c r="C552" i="3"/>
  <c r="B552" i="3"/>
  <c r="A552" i="3"/>
  <c r="E551" i="3"/>
  <c r="D551" i="3"/>
  <c r="C551" i="3"/>
  <c r="A551" i="3"/>
  <c r="B551" i="3" s="1"/>
  <c r="E550" i="3"/>
  <c r="D550" i="3"/>
  <c r="C550" i="3"/>
  <c r="A550" i="3"/>
  <c r="B550" i="3" s="1"/>
  <c r="E549" i="3"/>
  <c r="D549" i="3"/>
  <c r="C549" i="3"/>
  <c r="A549" i="3"/>
  <c r="B549" i="3" s="1"/>
  <c r="E548" i="3"/>
  <c r="D548" i="3"/>
  <c r="C548" i="3"/>
  <c r="B548" i="3"/>
  <c r="A548" i="3"/>
  <c r="E547" i="3"/>
  <c r="D547" i="3"/>
  <c r="C547" i="3"/>
  <c r="A547" i="3"/>
  <c r="B547" i="3" s="1"/>
  <c r="E546" i="3"/>
  <c r="D546" i="3"/>
  <c r="C546" i="3"/>
  <c r="B546" i="3"/>
  <c r="A546" i="3"/>
  <c r="E545" i="3"/>
  <c r="D545" i="3"/>
  <c r="C545" i="3"/>
  <c r="B545" i="3"/>
  <c r="A545" i="3"/>
  <c r="E544" i="3"/>
  <c r="D544" i="3"/>
  <c r="C544" i="3"/>
  <c r="B544" i="3"/>
  <c r="A544" i="3"/>
  <c r="E543" i="3"/>
  <c r="D543" i="3"/>
  <c r="C543" i="3"/>
  <c r="B543" i="3"/>
  <c r="A543" i="3"/>
  <c r="E542" i="3"/>
  <c r="D542" i="3"/>
  <c r="C542" i="3"/>
  <c r="A542" i="3"/>
  <c r="B542" i="3" s="1"/>
  <c r="E541" i="3"/>
  <c r="D541" i="3"/>
  <c r="C541" i="3"/>
  <c r="A541" i="3"/>
  <c r="B541" i="3" s="1"/>
  <c r="E540" i="3"/>
  <c r="D540" i="3"/>
  <c r="C540" i="3"/>
  <c r="B540" i="3"/>
  <c r="A540" i="3"/>
  <c r="E539" i="3"/>
  <c r="D539" i="3"/>
  <c r="C539" i="3"/>
  <c r="A539" i="3"/>
  <c r="B539" i="3" s="1"/>
  <c r="E538" i="3"/>
  <c r="D538" i="3"/>
  <c r="C538" i="3"/>
  <c r="B538" i="3"/>
  <c r="A538" i="3"/>
  <c r="E537" i="3"/>
  <c r="D537" i="3"/>
  <c r="C537" i="3"/>
  <c r="A537" i="3"/>
  <c r="B537" i="3" s="1"/>
  <c r="E536" i="3"/>
  <c r="D536" i="3"/>
  <c r="C536" i="3"/>
  <c r="B536" i="3"/>
  <c r="A536" i="3"/>
  <c r="E535" i="3"/>
  <c r="D535" i="3"/>
  <c r="C535" i="3"/>
  <c r="B535" i="3"/>
  <c r="A535" i="3"/>
  <c r="E534" i="3"/>
  <c r="D534" i="3"/>
  <c r="C534" i="3"/>
  <c r="B534" i="3"/>
  <c r="A534" i="3"/>
  <c r="E533" i="3"/>
  <c r="D533" i="3"/>
  <c r="C533" i="3"/>
  <c r="A533" i="3"/>
  <c r="B533" i="3" s="1"/>
  <c r="E532" i="3"/>
  <c r="D532" i="3"/>
  <c r="C532" i="3"/>
  <c r="A532" i="3"/>
  <c r="B532" i="3" s="1"/>
  <c r="E531" i="3"/>
  <c r="D531" i="3"/>
  <c r="C531" i="3"/>
  <c r="A531" i="3"/>
  <c r="B531" i="3" s="1"/>
  <c r="E530" i="3"/>
  <c r="D530" i="3"/>
  <c r="C530" i="3"/>
  <c r="B530" i="3"/>
  <c r="A530" i="3"/>
  <c r="E529" i="3"/>
  <c r="D529" i="3"/>
  <c r="C529" i="3"/>
  <c r="A529" i="3"/>
  <c r="B529" i="3" s="1"/>
  <c r="E528" i="3"/>
  <c r="D528" i="3"/>
  <c r="C528" i="3"/>
  <c r="B528" i="3"/>
  <c r="A528" i="3"/>
  <c r="E527" i="3"/>
  <c r="D527" i="3"/>
  <c r="C527" i="3"/>
  <c r="A527" i="3"/>
  <c r="B527" i="3" s="1"/>
  <c r="E526" i="3"/>
  <c r="D526" i="3"/>
  <c r="C526" i="3"/>
  <c r="A526" i="3"/>
  <c r="B526" i="3" s="1"/>
  <c r="E525" i="3"/>
  <c r="D525" i="3"/>
  <c r="C525" i="3"/>
  <c r="A525" i="3"/>
  <c r="B525" i="3" s="1"/>
  <c r="E524" i="3"/>
  <c r="D524" i="3"/>
  <c r="C524" i="3"/>
  <c r="A524" i="3"/>
  <c r="B524" i="3" s="1"/>
  <c r="E523" i="3"/>
  <c r="D523" i="3"/>
  <c r="C523" i="3"/>
  <c r="A523" i="3"/>
  <c r="B523" i="3" s="1"/>
  <c r="E522" i="3"/>
  <c r="D522" i="3"/>
  <c r="C522" i="3"/>
  <c r="B522" i="3"/>
  <c r="A522" i="3"/>
  <c r="E521" i="3"/>
  <c r="D521" i="3"/>
  <c r="C521" i="3"/>
  <c r="B521" i="3"/>
  <c r="A521" i="3"/>
  <c r="E520" i="3"/>
  <c r="D520" i="3"/>
  <c r="C520" i="3"/>
  <c r="B520" i="3"/>
  <c r="A520" i="3"/>
  <c r="E519" i="3"/>
  <c r="D519" i="3"/>
  <c r="C519" i="3"/>
  <c r="A519" i="3"/>
  <c r="B519" i="3" s="1"/>
  <c r="E518" i="3"/>
  <c r="D518" i="3"/>
  <c r="C518" i="3"/>
  <c r="A518" i="3"/>
  <c r="B518" i="3" s="1"/>
  <c r="E517" i="3"/>
  <c r="D517" i="3"/>
  <c r="C517" i="3"/>
  <c r="A517" i="3"/>
  <c r="B517" i="3" s="1"/>
  <c r="E516" i="3"/>
  <c r="D516" i="3"/>
  <c r="C516" i="3"/>
  <c r="B516" i="3"/>
  <c r="A516" i="3"/>
  <c r="E515" i="3"/>
  <c r="D515" i="3"/>
  <c r="C515" i="3"/>
  <c r="A515" i="3"/>
  <c r="B515" i="3" s="1"/>
  <c r="E514" i="3"/>
  <c r="D514" i="3"/>
  <c r="C514" i="3"/>
  <c r="B514" i="3"/>
  <c r="A514" i="3"/>
  <c r="E513" i="3"/>
  <c r="D513" i="3"/>
  <c r="C513" i="3"/>
  <c r="B513" i="3"/>
  <c r="A513" i="3"/>
  <c r="E512" i="3"/>
  <c r="D512" i="3"/>
  <c r="C512" i="3"/>
  <c r="B512" i="3"/>
  <c r="A512" i="3"/>
  <c r="E511" i="3"/>
  <c r="D511" i="3"/>
  <c r="C511" i="3"/>
  <c r="B511" i="3"/>
  <c r="A511" i="3"/>
  <c r="E510" i="3"/>
  <c r="D510" i="3"/>
  <c r="C510" i="3"/>
  <c r="A510" i="3"/>
  <c r="B510" i="3" s="1"/>
  <c r="E509" i="3"/>
  <c r="D509" i="3"/>
  <c r="C509" i="3"/>
  <c r="A509" i="3"/>
  <c r="B509" i="3" s="1"/>
  <c r="E508" i="3"/>
  <c r="D508" i="3"/>
  <c r="C508" i="3"/>
  <c r="B508" i="3"/>
  <c r="A508" i="3"/>
  <c r="E507" i="3"/>
  <c r="D507" i="3"/>
  <c r="C507" i="3"/>
  <c r="A507" i="3"/>
  <c r="B507" i="3" s="1"/>
  <c r="E506" i="3"/>
  <c r="D506" i="3"/>
  <c r="C506" i="3"/>
  <c r="B506" i="3"/>
  <c r="A506" i="3"/>
  <c r="E505" i="3"/>
  <c r="D505" i="3"/>
  <c r="C505" i="3"/>
  <c r="A505" i="3"/>
  <c r="B505" i="3" s="1"/>
  <c r="E504" i="3"/>
  <c r="D504" i="3"/>
  <c r="C504" i="3"/>
  <c r="B504" i="3"/>
  <c r="A504" i="3"/>
  <c r="E503" i="3"/>
  <c r="D503" i="3"/>
  <c r="C503" i="3"/>
  <c r="B503" i="3"/>
  <c r="A503" i="3"/>
  <c r="E502" i="3"/>
  <c r="D502" i="3"/>
  <c r="C502" i="3"/>
  <c r="B502" i="3"/>
  <c r="A502" i="3"/>
  <c r="E501" i="3"/>
  <c r="D501" i="3"/>
  <c r="C501" i="3"/>
  <c r="A501" i="3"/>
  <c r="B501" i="3" s="1"/>
  <c r="E500" i="3"/>
  <c r="D500" i="3"/>
  <c r="C500" i="3"/>
  <c r="A500" i="3"/>
  <c r="B500" i="3" s="1"/>
  <c r="E499" i="3"/>
  <c r="D499" i="3"/>
  <c r="C499" i="3"/>
  <c r="A499" i="3"/>
  <c r="B499" i="3" s="1"/>
  <c r="E498" i="3"/>
  <c r="D498" i="3"/>
  <c r="C498" i="3"/>
  <c r="B498" i="3"/>
  <c r="A498" i="3"/>
  <c r="E497" i="3"/>
  <c r="D497" i="3"/>
  <c r="C497" i="3"/>
  <c r="A497" i="3"/>
  <c r="B497" i="3" s="1"/>
  <c r="E496" i="3"/>
  <c r="D496" i="3"/>
  <c r="C496" i="3"/>
  <c r="B496" i="3"/>
  <c r="A496" i="3"/>
  <c r="E495" i="3"/>
  <c r="D495" i="3"/>
  <c r="C495" i="3"/>
  <c r="A495" i="3"/>
  <c r="B495" i="3" s="1"/>
  <c r="E494" i="3"/>
  <c r="D494" i="3"/>
  <c r="C494" i="3"/>
  <c r="A494" i="3"/>
  <c r="B494" i="3" s="1"/>
  <c r="E493" i="3"/>
  <c r="D493" i="3"/>
  <c r="C493" i="3"/>
  <c r="A493" i="3"/>
  <c r="B493" i="3" s="1"/>
  <c r="E492" i="3"/>
  <c r="D492" i="3"/>
  <c r="C492" i="3"/>
  <c r="A492" i="3"/>
  <c r="B492" i="3" s="1"/>
  <c r="E491" i="3"/>
  <c r="D491" i="3"/>
  <c r="C491" i="3"/>
  <c r="A491" i="3"/>
  <c r="B491" i="3" s="1"/>
  <c r="E490" i="3"/>
  <c r="D490" i="3"/>
  <c r="C490" i="3"/>
  <c r="B490" i="3"/>
  <c r="A490" i="3"/>
  <c r="E489" i="3"/>
  <c r="D489" i="3"/>
  <c r="C489" i="3"/>
  <c r="B489" i="3"/>
  <c r="A489" i="3"/>
  <c r="E488" i="3"/>
  <c r="D488" i="3"/>
  <c r="C488" i="3"/>
  <c r="B488" i="3"/>
  <c r="A488" i="3"/>
  <c r="E487" i="3"/>
  <c r="D487" i="3"/>
  <c r="C487" i="3"/>
  <c r="A487" i="3"/>
  <c r="B487" i="3" s="1"/>
  <c r="E486" i="3"/>
  <c r="D486" i="3"/>
  <c r="C486" i="3"/>
  <c r="A486" i="3"/>
  <c r="B486" i="3" s="1"/>
  <c r="E485" i="3"/>
  <c r="D485" i="3"/>
  <c r="C485" i="3"/>
  <c r="A485" i="3"/>
  <c r="B485" i="3" s="1"/>
  <c r="E484" i="3"/>
  <c r="D484" i="3"/>
  <c r="C484" i="3"/>
  <c r="B484" i="3"/>
  <c r="A484" i="3"/>
  <c r="E483" i="3"/>
  <c r="D483" i="3"/>
  <c r="C483" i="3"/>
  <c r="A483" i="3"/>
  <c r="B483" i="3" s="1"/>
  <c r="E482" i="3"/>
  <c r="D482" i="3"/>
  <c r="C482" i="3"/>
  <c r="B482" i="3"/>
  <c r="A482" i="3"/>
  <c r="E481" i="3"/>
  <c r="D481" i="3"/>
  <c r="C481" i="3"/>
  <c r="B481" i="3"/>
  <c r="A481" i="3"/>
  <c r="E480" i="3"/>
  <c r="D480" i="3"/>
  <c r="C480" i="3"/>
  <c r="B480" i="3"/>
  <c r="A480" i="3"/>
  <c r="E479" i="3"/>
  <c r="D479" i="3"/>
  <c r="C479" i="3"/>
  <c r="B479" i="3"/>
  <c r="A479" i="3"/>
  <c r="E478" i="3"/>
  <c r="D478" i="3"/>
  <c r="C478" i="3"/>
  <c r="A478" i="3"/>
  <c r="B478" i="3" s="1"/>
  <c r="E477" i="3"/>
  <c r="D477" i="3"/>
  <c r="C477" i="3"/>
  <c r="A477" i="3"/>
  <c r="B477" i="3" s="1"/>
  <c r="E476" i="3"/>
  <c r="D476" i="3"/>
  <c r="C476" i="3"/>
  <c r="B476" i="3"/>
  <c r="A476" i="3"/>
  <c r="E475" i="3"/>
  <c r="D475" i="3"/>
  <c r="C475" i="3"/>
  <c r="A475" i="3"/>
  <c r="B475" i="3" s="1"/>
  <c r="E474" i="3"/>
  <c r="D474" i="3"/>
  <c r="C474" i="3"/>
  <c r="B474" i="3"/>
  <c r="A474" i="3"/>
  <c r="E473" i="3"/>
  <c r="D473" i="3"/>
  <c r="C473" i="3"/>
  <c r="A473" i="3"/>
  <c r="B473" i="3" s="1"/>
  <c r="E472" i="3"/>
  <c r="D472" i="3"/>
  <c r="C472" i="3"/>
  <c r="B472" i="3"/>
  <c r="A472" i="3"/>
  <c r="E471" i="3"/>
  <c r="D471" i="3"/>
  <c r="C471" i="3"/>
  <c r="B471" i="3"/>
  <c r="A471" i="3"/>
  <c r="E470" i="3"/>
  <c r="D470" i="3"/>
  <c r="C470" i="3"/>
  <c r="B470" i="3"/>
  <c r="A470" i="3"/>
  <c r="E469" i="3"/>
  <c r="D469" i="3"/>
  <c r="C469" i="3"/>
  <c r="A469" i="3"/>
  <c r="B469" i="3" s="1"/>
  <c r="E468" i="3"/>
  <c r="D468" i="3"/>
  <c r="C468" i="3"/>
  <c r="A468" i="3"/>
  <c r="B468" i="3" s="1"/>
  <c r="E467" i="3"/>
  <c r="D467" i="3"/>
  <c r="C467" i="3"/>
  <c r="A467" i="3"/>
  <c r="B467" i="3" s="1"/>
  <c r="E466" i="3"/>
  <c r="D466" i="3"/>
  <c r="C466" i="3"/>
  <c r="B466" i="3"/>
  <c r="A466" i="3"/>
  <c r="E465" i="3"/>
  <c r="D465" i="3"/>
  <c r="C465" i="3"/>
  <c r="A465" i="3"/>
  <c r="B465" i="3" s="1"/>
  <c r="E464" i="3"/>
  <c r="D464" i="3"/>
  <c r="C464" i="3"/>
  <c r="B464" i="3"/>
  <c r="A464" i="3"/>
  <c r="E463" i="3"/>
  <c r="D463" i="3"/>
  <c r="C463" i="3"/>
  <c r="A463" i="3"/>
  <c r="B463" i="3" s="1"/>
  <c r="E462" i="3"/>
  <c r="D462" i="3"/>
  <c r="C462" i="3"/>
  <c r="A462" i="3"/>
  <c r="B462" i="3" s="1"/>
  <c r="E461" i="3"/>
  <c r="D461" i="3"/>
  <c r="C461" i="3"/>
  <c r="A461" i="3"/>
  <c r="B461" i="3" s="1"/>
  <c r="E460" i="3"/>
  <c r="D460" i="3"/>
  <c r="C460" i="3"/>
  <c r="A460" i="3"/>
  <c r="B460" i="3" s="1"/>
  <c r="E459" i="3"/>
  <c r="D459" i="3"/>
  <c r="C459" i="3"/>
  <c r="A459" i="3"/>
  <c r="B459" i="3" s="1"/>
  <c r="E458" i="3"/>
  <c r="D458" i="3"/>
  <c r="C458" i="3"/>
  <c r="B458" i="3"/>
  <c r="A458" i="3"/>
  <c r="E457" i="3"/>
  <c r="D457" i="3"/>
  <c r="C457" i="3"/>
  <c r="B457" i="3"/>
  <c r="A457" i="3"/>
  <c r="E456" i="3"/>
  <c r="D456" i="3"/>
  <c r="C456" i="3"/>
  <c r="B456" i="3"/>
  <c r="A456" i="3"/>
  <c r="E455" i="3"/>
  <c r="D455" i="3"/>
  <c r="C455" i="3"/>
  <c r="A455" i="3"/>
  <c r="B455" i="3" s="1"/>
  <c r="E454" i="3"/>
  <c r="D454" i="3"/>
  <c r="C454" i="3"/>
  <c r="A454" i="3"/>
  <c r="B454" i="3" s="1"/>
  <c r="E453" i="3"/>
  <c r="D453" i="3"/>
  <c r="C453" i="3"/>
  <c r="A453" i="3"/>
  <c r="B453" i="3" s="1"/>
  <c r="E452" i="3"/>
  <c r="D452" i="3"/>
  <c r="C452" i="3"/>
  <c r="B452" i="3"/>
  <c r="A452" i="3"/>
  <c r="E451" i="3"/>
  <c r="D451" i="3"/>
  <c r="C451" i="3"/>
  <c r="A451" i="3"/>
  <c r="B451" i="3" s="1"/>
  <c r="E450" i="3"/>
  <c r="D450" i="3"/>
  <c r="C450" i="3"/>
  <c r="B450" i="3"/>
  <c r="A450" i="3"/>
  <c r="E449" i="3"/>
  <c r="D449" i="3"/>
  <c r="C449" i="3"/>
  <c r="B449" i="3"/>
  <c r="A449" i="3"/>
  <c r="E448" i="3"/>
  <c r="D448" i="3"/>
  <c r="C448" i="3"/>
  <c r="B448" i="3"/>
  <c r="A448" i="3"/>
  <c r="E447" i="3"/>
  <c r="D447" i="3"/>
  <c r="C447" i="3"/>
  <c r="B447" i="3"/>
  <c r="A447" i="3"/>
  <c r="E446" i="3"/>
  <c r="D446" i="3"/>
  <c r="C446" i="3"/>
  <c r="A446" i="3"/>
  <c r="B446" i="3" s="1"/>
  <c r="E445" i="3"/>
  <c r="D445" i="3"/>
  <c r="C445" i="3"/>
  <c r="A445" i="3"/>
  <c r="B445" i="3" s="1"/>
  <c r="E444" i="3"/>
  <c r="D444" i="3"/>
  <c r="C444" i="3"/>
  <c r="B444" i="3"/>
  <c r="A444" i="3"/>
  <c r="E443" i="3"/>
  <c r="D443" i="3"/>
  <c r="C443" i="3"/>
  <c r="A443" i="3"/>
  <c r="B443" i="3" s="1"/>
  <c r="E442" i="3"/>
  <c r="D442" i="3"/>
  <c r="C442" i="3"/>
  <c r="B442" i="3"/>
  <c r="A442" i="3"/>
  <c r="E441" i="3"/>
  <c r="D441" i="3"/>
  <c r="C441" i="3"/>
  <c r="A441" i="3"/>
  <c r="B441" i="3" s="1"/>
  <c r="E440" i="3"/>
  <c r="D440" i="3"/>
  <c r="C440" i="3"/>
  <c r="B440" i="3"/>
  <c r="A440" i="3"/>
  <c r="E439" i="3"/>
  <c r="D439" i="3"/>
  <c r="C439" i="3"/>
  <c r="B439" i="3"/>
  <c r="A439" i="3"/>
  <c r="E438" i="3"/>
  <c r="D438" i="3"/>
  <c r="C438" i="3"/>
  <c r="B438" i="3"/>
  <c r="A438" i="3"/>
  <c r="E437" i="3"/>
  <c r="D437" i="3"/>
  <c r="C437" i="3"/>
  <c r="A437" i="3"/>
  <c r="B437" i="3" s="1"/>
  <c r="E436" i="3"/>
  <c r="D436" i="3"/>
  <c r="C436" i="3"/>
  <c r="A436" i="3"/>
  <c r="B436" i="3" s="1"/>
  <c r="E435" i="3"/>
  <c r="D435" i="3"/>
  <c r="C435" i="3"/>
  <c r="A435" i="3"/>
  <c r="B435" i="3" s="1"/>
  <c r="E434" i="3"/>
  <c r="D434" i="3"/>
  <c r="C434" i="3"/>
  <c r="B434" i="3"/>
  <c r="A434" i="3"/>
  <c r="E433" i="3"/>
  <c r="D433" i="3"/>
  <c r="C433" i="3"/>
  <c r="A433" i="3"/>
  <c r="B433" i="3" s="1"/>
  <c r="E432" i="3"/>
  <c r="D432" i="3"/>
  <c r="C432" i="3"/>
  <c r="B432" i="3"/>
  <c r="A432" i="3"/>
  <c r="E431" i="3"/>
  <c r="D431" i="3"/>
  <c r="C431" i="3"/>
  <c r="A431" i="3"/>
  <c r="B431" i="3" s="1"/>
  <c r="E430" i="3"/>
  <c r="D430" i="3"/>
  <c r="C430" i="3"/>
  <c r="A430" i="3"/>
  <c r="B430" i="3" s="1"/>
  <c r="E429" i="3"/>
  <c r="D429" i="3"/>
  <c r="C429" i="3"/>
  <c r="A429" i="3"/>
  <c r="B429" i="3" s="1"/>
  <c r="E428" i="3"/>
  <c r="D428" i="3"/>
  <c r="C428" i="3"/>
  <c r="A428" i="3"/>
  <c r="B428" i="3" s="1"/>
  <c r="E427" i="3"/>
  <c r="D427" i="3"/>
  <c r="C427" i="3"/>
  <c r="A427" i="3"/>
  <c r="B427" i="3" s="1"/>
  <c r="E426" i="3"/>
  <c r="D426" i="3"/>
  <c r="C426" i="3"/>
  <c r="B426" i="3"/>
  <c r="A426" i="3"/>
  <c r="E425" i="3"/>
  <c r="D425" i="3"/>
  <c r="C425" i="3"/>
  <c r="B425" i="3"/>
  <c r="A425" i="3"/>
  <c r="E424" i="3"/>
  <c r="D424" i="3"/>
  <c r="C424" i="3"/>
  <c r="B424" i="3"/>
  <c r="A424" i="3"/>
  <c r="E423" i="3"/>
  <c r="D423" i="3"/>
  <c r="C423" i="3"/>
  <c r="A423" i="3"/>
  <c r="B423" i="3" s="1"/>
  <c r="E422" i="3"/>
  <c r="D422" i="3"/>
  <c r="C422" i="3"/>
  <c r="A422" i="3"/>
  <c r="B422" i="3" s="1"/>
  <c r="E421" i="3"/>
  <c r="D421" i="3"/>
  <c r="C421" i="3"/>
  <c r="A421" i="3"/>
  <c r="B421" i="3" s="1"/>
  <c r="E420" i="3"/>
  <c r="D420" i="3"/>
  <c r="C420" i="3"/>
  <c r="B420" i="3"/>
  <c r="A420" i="3"/>
  <c r="E419" i="3"/>
  <c r="D419" i="3"/>
  <c r="C419" i="3"/>
  <c r="A419" i="3"/>
  <c r="B419" i="3" s="1"/>
  <c r="E418" i="3"/>
  <c r="D418" i="3"/>
  <c r="C418" i="3"/>
  <c r="B418" i="3"/>
  <c r="A418" i="3"/>
  <c r="E417" i="3"/>
  <c r="D417" i="3"/>
  <c r="C417" i="3"/>
  <c r="B417" i="3"/>
  <c r="A417" i="3"/>
  <c r="E416" i="3"/>
  <c r="D416" i="3"/>
  <c r="C416" i="3"/>
  <c r="B416" i="3"/>
  <c r="A416" i="3"/>
  <c r="E415" i="3"/>
  <c r="D415" i="3"/>
  <c r="C415" i="3"/>
  <c r="B415" i="3"/>
  <c r="A415" i="3"/>
  <c r="E414" i="3"/>
  <c r="D414" i="3"/>
  <c r="C414" i="3"/>
  <c r="A414" i="3"/>
  <c r="B414" i="3" s="1"/>
  <c r="E413" i="3"/>
  <c r="D413" i="3"/>
  <c r="C413" i="3"/>
  <c r="A413" i="3"/>
  <c r="B413" i="3" s="1"/>
  <c r="E412" i="3"/>
  <c r="D412" i="3"/>
  <c r="C412" i="3"/>
  <c r="B412" i="3"/>
  <c r="A412" i="3"/>
  <c r="E411" i="3"/>
  <c r="D411" i="3"/>
  <c r="C411" i="3"/>
  <c r="A411" i="3"/>
  <c r="B411" i="3" s="1"/>
  <c r="E410" i="3"/>
  <c r="D410" i="3"/>
  <c r="C410" i="3"/>
  <c r="B410" i="3"/>
  <c r="A410" i="3"/>
  <c r="E409" i="3"/>
  <c r="D409" i="3"/>
  <c r="C409" i="3"/>
  <c r="A409" i="3"/>
  <c r="B409" i="3" s="1"/>
  <c r="E408" i="3"/>
  <c r="D408" i="3"/>
  <c r="C408" i="3"/>
  <c r="B408" i="3"/>
  <c r="A408" i="3"/>
  <c r="E407" i="3"/>
  <c r="D407" i="3"/>
  <c r="C407" i="3"/>
  <c r="B407" i="3"/>
  <c r="A407" i="3"/>
  <c r="E406" i="3"/>
  <c r="D406" i="3"/>
  <c r="C406" i="3"/>
  <c r="B406" i="3"/>
  <c r="A406" i="3"/>
  <c r="E405" i="3"/>
  <c r="D405" i="3"/>
  <c r="C405" i="3"/>
  <c r="A405" i="3"/>
  <c r="B405" i="3" s="1"/>
  <c r="E404" i="3"/>
  <c r="D404" i="3"/>
  <c r="C404" i="3"/>
  <c r="A404" i="3"/>
  <c r="B404" i="3" s="1"/>
  <c r="E403" i="3"/>
  <c r="D403" i="3"/>
  <c r="C403" i="3"/>
  <c r="A403" i="3"/>
  <c r="B403" i="3" s="1"/>
  <c r="E402" i="3"/>
  <c r="D402" i="3"/>
  <c r="C402" i="3"/>
  <c r="B402" i="3"/>
  <c r="A402" i="3"/>
  <c r="E401" i="3"/>
  <c r="D401" i="3"/>
  <c r="C401" i="3"/>
  <c r="A401" i="3"/>
  <c r="B401" i="3" s="1"/>
  <c r="E400" i="3"/>
  <c r="D400" i="3"/>
  <c r="C400" i="3"/>
  <c r="B400" i="3"/>
  <c r="A400" i="3"/>
  <c r="E399" i="3"/>
  <c r="D399" i="3"/>
  <c r="C399" i="3"/>
  <c r="A399" i="3"/>
  <c r="B399" i="3" s="1"/>
  <c r="E398" i="3"/>
  <c r="D398" i="3"/>
  <c r="C398" i="3"/>
  <c r="A398" i="3"/>
  <c r="B398" i="3" s="1"/>
  <c r="E397" i="3"/>
  <c r="D397" i="3"/>
  <c r="C397" i="3"/>
  <c r="A397" i="3"/>
  <c r="B397" i="3" s="1"/>
  <c r="E396" i="3"/>
  <c r="D396" i="3"/>
  <c r="C396" i="3"/>
  <c r="A396" i="3"/>
  <c r="B396" i="3" s="1"/>
  <c r="E395" i="3"/>
  <c r="D395" i="3"/>
  <c r="C395" i="3"/>
  <c r="A395" i="3"/>
  <c r="B395" i="3" s="1"/>
  <c r="E394" i="3"/>
  <c r="D394" i="3"/>
  <c r="C394" i="3"/>
  <c r="B394" i="3"/>
  <c r="A394" i="3"/>
  <c r="E393" i="3"/>
  <c r="D393" i="3"/>
  <c r="C393" i="3"/>
  <c r="B393" i="3"/>
  <c r="A393" i="3"/>
  <c r="E392" i="3"/>
  <c r="D392" i="3"/>
  <c r="C392" i="3"/>
  <c r="B392" i="3"/>
  <c r="A392" i="3"/>
  <c r="E391" i="3"/>
  <c r="D391" i="3"/>
  <c r="C391" i="3"/>
  <c r="A391" i="3"/>
  <c r="B391" i="3" s="1"/>
  <c r="E390" i="3"/>
  <c r="D390" i="3"/>
  <c r="C390" i="3"/>
  <c r="A390" i="3"/>
  <c r="B390" i="3" s="1"/>
  <c r="E389" i="3"/>
  <c r="D389" i="3"/>
  <c r="C389" i="3"/>
  <c r="A389" i="3"/>
  <c r="B389" i="3" s="1"/>
  <c r="E388" i="3"/>
  <c r="D388" i="3"/>
  <c r="C388" i="3"/>
  <c r="B388" i="3"/>
  <c r="A388" i="3"/>
  <c r="E387" i="3"/>
  <c r="D387" i="3"/>
  <c r="C387" i="3"/>
  <c r="A387" i="3"/>
  <c r="B387" i="3" s="1"/>
  <c r="E386" i="3"/>
  <c r="D386" i="3"/>
  <c r="C386" i="3"/>
  <c r="B386" i="3"/>
  <c r="A386" i="3"/>
  <c r="E385" i="3"/>
  <c r="D385" i="3"/>
  <c r="C385" i="3"/>
  <c r="B385" i="3"/>
  <c r="A385" i="3"/>
  <c r="E384" i="3"/>
  <c r="D384" i="3"/>
  <c r="C384" i="3"/>
  <c r="B384" i="3"/>
  <c r="A384" i="3"/>
  <c r="E383" i="3"/>
  <c r="D383" i="3"/>
  <c r="C383" i="3"/>
  <c r="B383" i="3"/>
  <c r="A383" i="3"/>
  <c r="E382" i="3"/>
  <c r="D382" i="3"/>
  <c r="C382" i="3"/>
  <c r="A382" i="3"/>
  <c r="B382" i="3" s="1"/>
  <c r="E381" i="3"/>
  <c r="D381" i="3"/>
  <c r="C381" i="3"/>
  <c r="A381" i="3"/>
  <c r="B381" i="3" s="1"/>
  <c r="E380" i="3"/>
  <c r="D380" i="3"/>
  <c r="C380" i="3"/>
  <c r="B380" i="3"/>
  <c r="A380" i="3"/>
  <c r="E379" i="3"/>
  <c r="D379" i="3"/>
  <c r="C379" i="3"/>
  <c r="A379" i="3"/>
  <c r="B379" i="3" s="1"/>
  <c r="E378" i="3"/>
  <c r="D378" i="3"/>
  <c r="C378" i="3"/>
  <c r="B378" i="3"/>
  <c r="A378" i="3"/>
  <c r="E377" i="3"/>
  <c r="D377" i="3"/>
  <c r="C377" i="3"/>
  <c r="A377" i="3"/>
  <c r="B377" i="3" s="1"/>
  <c r="E376" i="3"/>
  <c r="D376" i="3"/>
  <c r="C376" i="3"/>
  <c r="B376" i="3"/>
  <c r="A376" i="3"/>
  <c r="E375" i="3"/>
  <c r="D375" i="3"/>
  <c r="C375" i="3"/>
  <c r="B375" i="3"/>
  <c r="A375" i="3"/>
  <c r="E374" i="3"/>
  <c r="D374" i="3"/>
  <c r="C374" i="3"/>
  <c r="B374" i="3"/>
  <c r="A374" i="3"/>
  <c r="E373" i="3"/>
  <c r="D373" i="3"/>
  <c r="C373" i="3"/>
  <c r="A373" i="3"/>
  <c r="B373" i="3" s="1"/>
  <c r="E372" i="3"/>
  <c r="D372" i="3"/>
  <c r="C372" i="3"/>
  <c r="A372" i="3"/>
  <c r="B372" i="3" s="1"/>
  <c r="E371" i="3"/>
  <c r="D371" i="3"/>
  <c r="C371" i="3"/>
  <c r="A371" i="3"/>
  <c r="B371" i="3" s="1"/>
  <c r="E370" i="3"/>
  <c r="D370" i="3"/>
  <c r="C370" i="3"/>
  <c r="B370" i="3"/>
  <c r="A370" i="3"/>
  <c r="E369" i="3"/>
  <c r="D369" i="3"/>
  <c r="C369" i="3"/>
  <c r="A369" i="3"/>
  <c r="B369" i="3" s="1"/>
  <c r="E368" i="3"/>
  <c r="D368" i="3"/>
  <c r="C368" i="3"/>
  <c r="B368" i="3"/>
  <c r="A368" i="3"/>
  <c r="E367" i="3"/>
  <c r="D367" i="3"/>
  <c r="C367" i="3"/>
  <c r="A367" i="3"/>
  <c r="B367" i="3" s="1"/>
  <c r="E366" i="3"/>
  <c r="D366" i="3"/>
  <c r="C366" i="3"/>
  <c r="A366" i="3"/>
  <c r="B366" i="3" s="1"/>
  <c r="E365" i="3"/>
  <c r="D365" i="3"/>
  <c r="C365" i="3"/>
  <c r="A365" i="3"/>
  <c r="B365" i="3" s="1"/>
  <c r="E364" i="3"/>
  <c r="D364" i="3"/>
  <c r="C364" i="3"/>
  <c r="A364" i="3"/>
  <c r="B364" i="3" s="1"/>
  <c r="E363" i="3"/>
  <c r="D363" i="3"/>
  <c r="C363" i="3"/>
  <c r="A363" i="3"/>
  <c r="B363" i="3" s="1"/>
  <c r="E362" i="3"/>
  <c r="D362" i="3"/>
  <c r="C362" i="3"/>
  <c r="B362" i="3"/>
  <c r="A362" i="3"/>
  <c r="E361" i="3"/>
  <c r="D361" i="3"/>
  <c r="C361" i="3"/>
  <c r="B361" i="3"/>
  <c r="A361" i="3"/>
  <c r="E360" i="3"/>
  <c r="D360" i="3"/>
  <c r="C360" i="3"/>
  <c r="B360" i="3"/>
  <c r="A360" i="3"/>
  <c r="E359" i="3"/>
  <c r="D359" i="3"/>
  <c r="C359" i="3"/>
  <c r="A359" i="3"/>
  <c r="B359" i="3" s="1"/>
  <c r="E358" i="3"/>
  <c r="D358" i="3"/>
  <c r="C358" i="3"/>
  <c r="A358" i="3"/>
  <c r="B358" i="3" s="1"/>
  <c r="E357" i="3"/>
  <c r="D357" i="3"/>
  <c r="C357" i="3"/>
  <c r="A357" i="3"/>
  <c r="B357" i="3" s="1"/>
  <c r="E356" i="3"/>
  <c r="D356" i="3"/>
  <c r="C356" i="3"/>
  <c r="B356" i="3"/>
  <c r="A356" i="3"/>
  <c r="E355" i="3"/>
  <c r="D355" i="3"/>
  <c r="C355" i="3"/>
  <c r="A355" i="3"/>
  <c r="B355" i="3" s="1"/>
  <c r="E354" i="3"/>
  <c r="D354" i="3"/>
  <c r="C354" i="3"/>
  <c r="B354" i="3"/>
  <c r="A354" i="3"/>
  <c r="E353" i="3"/>
  <c r="D353" i="3"/>
  <c r="C353" i="3"/>
  <c r="B353" i="3"/>
  <c r="A353" i="3"/>
  <c r="E352" i="3"/>
  <c r="D352" i="3"/>
  <c r="C352" i="3"/>
  <c r="B352" i="3"/>
  <c r="A352" i="3"/>
  <c r="E351" i="3"/>
  <c r="D351" i="3"/>
  <c r="C351" i="3"/>
  <c r="B351" i="3"/>
  <c r="A351" i="3"/>
  <c r="E350" i="3"/>
  <c r="D350" i="3"/>
  <c r="C350" i="3"/>
  <c r="A350" i="3"/>
  <c r="B350" i="3" s="1"/>
  <c r="E349" i="3"/>
  <c r="D349" i="3"/>
  <c r="C349" i="3"/>
  <c r="A349" i="3"/>
  <c r="B349" i="3" s="1"/>
  <c r="E348" i="3"/>
  <c r="D348" i="3"/>
  <c r="C348" i="3"/>
  <c r="B348" i="3"/>
  <c r="A348" i="3"/>
  <c r="E347" i="3"/>
  <c r="D347" i="3"/>
  <c r="C347" i="3"/>
  <c r="A347" i="3"/>
  <c r="B347" i="3" s="1"/>
  <c r="E346" i="3"/>
  <c r="D346" i="3"/>
  <c r="C346" i="3"/>
  <c r="B346" i="3"/>
  <c r="A346" i="3"/>
  <c r="E345" i="3"/>
  <c r="D345" i="3"/>
  <c r="C345" i="3"/>
  <c r="A345" i="3"/>
  <c r="B345" i="3" s="1"/>
  <c r="E344" i="3"/>
  <c r="D344" i="3"/>
  <c r="C344" i="3"/>
  <c r="B344" i="3"/>
  <c r="A344" i="3"/>
  <c r="E343" i="3"/>
  <c r="D343" i="3"/>
  <c r="C343" i="3"/>
  <c r="B343" i="3"/>
  <c r="A343" i="3"/>
  <c r="E342" i="3"/>
  <c r="D342" i="3"/>
  <c r="C342" i="3"/>
  <c r="B342" i="3"/>
  <c r="A342" i="3"/>
  <c r="E341" i="3"/>
  <c r="D341" i="3"/>
  <c r="C341" i="3"/>
  <c r="A341" i="3"/>
  <c r="B341" i="3" s="1"/>
  <c r="E340" i="3"/>
  <c r="D340" i="3"/>
  <c r="C340" i="3"/>
  <c r="A340" i="3"/>
  <c r="B340" i="3" s="1"/>
  <c r="E339" i="3"/>
  <c r="D339" i="3"/>
  <c r="C339" i="3"/>
  <c r="A339" i="3"/>
  <c r="B339" i="3" s="1"/>
  <c r="E338" i="3"/>
  <c r="D338" i="3"/>
  <c r="C338" i="3"/>
  <c r="B338" i="3"/>
  <c r="A338" i="3"/>
  <c r="E337" i="3"/>
  <c r="D337" i="3"/>
  <c r="C337" i="3"/>
  <c r="A337" i="3"/>
  <c r="B337" i="3" s="1"/>
  <c r="E336" i="3"/>
  <c r="D336" i="3"/>
  <c r="C336" i="3"/>
  <c r="B336" i="3"/>
  <c r="A336" i="3"/>
  <c r="E335" i="3"/>
  <c r="D335" i="3"/>
  <c r="C335" i="3"/>
  <c r="A335" i="3"/>
  <c r="B335" i="3" s="1"/>
  <c r="E334" i="3"/>
  <c r="D334" i="3"/>
  <c r="C334" i="3"/>
  <c r="A334" i="3"/>
  <c r="B334" i="3" s="1"/>
  <c r="E333" i="3"/>
  <c r="D333" i="3"/>
  <c r="C333" i="3"/>
  <c r="A333" i="3"/>
  <c r="B333" i="3" s="1"/>
  <c r="E332" i="3"/>
  <c r="D332" i="3"/>
  <c r="C332" i="3"/>
  <c r="A332" i="3"/>
  <c r="B332" i="3" s="1"/>
  <c r="E331" i="3"/>
  <c r="D331" i="3"/>
  <c r="C331" i="3"/>
  <c r="A331" i="3"/>
  <c r="B331" i="3" s="1"/>
  <c r="E330" i="3"/>
  <c r="D330" i="3"/>
  <c r="C330" i="3"/>
  <c r="B330" i="3"/>
  <c r="A330" i="3"/>
  <c r="E329" i="3"/>
  <c r="D329" i="3"/>
  <c r="C329" i="3"/>
  <c r="B329" i="3"/>
  <c r="A329" i="3"/>
  <c r="E328" i="3"/>
  <c r="D328" i="3"/>
  <c r="C328" i="3"/>
  <c r="B328" i="3"/>
  <c r="A328" i="3"/>
  <c r="E327" i="3"/>
  <c r="D327" i="3"/>
  <c r="C327" i="3"/>
  <c r="A327" i="3"/>
  <c r="B327" i="3" s="1"/>
  <c r="E326" i="3"/>
  <c r="D326" i="3"/>
  <c r="C326" i="3"/>
  <c r="A326" i="3"/>
  <c r="B326" i="3" s="1"/>
  <c r="E325" i="3"/>
  <c r="D325" i="3"/>
  <c r="C325" i="3"/>
  <c r="A325" i="3"/>
  <c r="B325" i="3" s="1"/>
  <c r="E324" i="3"/>
  <c r="D324" i="3"/>
  <c r="C324" i="3"/>
  <c r="B324" i="3"/>
  <c r="A324" i="3"/>
  <c r="E323" i="3"/>
  <c r="D323" i="3"/>
  <c r="C323" i="3"/>
  <c r="A323" i="3"/>
  <c r="B323" i="3" s="1"/>
  <c r="E322" i="3"/>
  <c r="D322" i="3"/>
  <c r="C322" i="3"/>
  <c r="B322" i="3"/>
  <c r="A322" i="3"/>
  <c r="E321" i="3"/>
  <c r="D321" i="3"/>
  <c r="C321" i="3"/>
  <c r="B321" i="3"/>
  <c r="A321" i="3"/>
  <c r="E320" i="3"/>
  <c r="D320" i="3"/>
  <c r="C320" i="3"/>
  <c r="B320" i="3"/>
  <c r="A320" i="3"/>
  <c r="E319" i="3"/>
  <c r="D319" i="3"/>
  <c r="C319" i="3"/>
  <c r="B319" i="3"/>
  <c r="A319" i="3"/>
  <c r="E318" i="3"/>
  <c r="D318" i="3"/>
  <c r="C318" i="3"/>
  <c r="A318" i="3"/>
  <c r="B318" i="3" s="1"/>
  <c r="E317" i="3"/>
  <c r="D317" i="3"/>
  <c r="C317" i="3"/>
  <c r="A317" i="3"/>
  <c r="B317" i="3" s="1"/>
  <c r="E316" i="3"/>
  <c r="D316" i="3"/>
  <c r="C316" i="3"/>
  <c r="B316" i="3"/>
  <c r="A316" i="3"/>
  <c r="E315" i="3"/>
  <c r="D315" i="3"/>
  <c r="C315" i="3"/>
  <c r="A315" i="3"/>
  <c r="B315" i="3" s="1"/>
  <c r="E314" i="3"/>
  <c r="D314" i="3"/>
  <c r="C314" i="3"/>
  <c r="B314" i="3"/>
  <c r="A314" i="3"/>
  <c r="E313" i="3"/>
  <c r="D313" i="3"/>
  <c r="C313" i="3"/>
  <c r="A313" i="3"/>
  <c r="B313" i="3" s="1"/>
  <c r="E312" i="3"/>
  <c r="D312" i="3"/>
  <c r="C312" i="3"/>
  <c r="B312" i="3"/>
  <c r="A312" i="3"/>
  <c r="E311" i="3"/>
  <c r="D311" i="3"/>
  <c r="C311" i="3"/>
  <c r="B311" i="3"/>
  <c r="A311" i="3"/>
  <c r="E310" i="3"/>
  <c r="D310" i="3"/>
  <c r="C310" i="3"/>
  <c r="B310" i="3"/>
  <c r="A310" i="3"/>
  <c r="E309" i="3"/>
  <c r="D309" i="3"/>
  <c r="C309" i="3"/>
  <c r="A309" i="3"/>
  <c r="B309" i="3" s="1"/>
  <c r="E308" i="3"/>
  <c r="D308" i="3"/>
  <c r="C308" i="3"/>
  <c r="A308" i="3"/>
  <c r="B308" i="3" s="1"/>
  <c r="E307" i="3"/>
  <c r="D307" i="3"/>
  <c r="C307" i="3"/>
  <c r="A307" i="3"/>
  <c r="B307" i="3" s="1"/>
  <c r="E306" i="3"/>
  <c r="D306" i="3"/>
  <c r="C306" i="3"/>
  <c r="B306" i="3"/>
  <c r="A306" i="3"/>
  <c r="E305" i="3"/>
  <c r="D305" i="3"/>
  <c r="C305" i="3"/>
  <c r="A305" i="3"/>
  <c r="B305" i="3" s="1"/>
  <c r="E304" i="3"/>
  <c r="D304" i="3"/>
  <c r="C304" i="3"/>
  <c r="B304" i="3"/>
  <c r="A304" i="3"/>
  <c r="E303" i="3"/>
  <c r="D303" i="3"/>
  <c r="C303" i="3"/>
  <c r="A303" i="3"/>
  <c r="B303" i="3" s="1"/>
  <c r="E302" i="3"/>
  <c r="D302" i="3"/>
  <c r="C302" i="3"/>
  <c r="A302" i="3"/>
  <c r="B302" i="3" s="1"/>
  <c r="E301" i="3"/>
  <c r="D301" i="3"/>
  <c r="C301" i="3"/>
  <c r="A301" i="3"/>
  <c r="B301" i="3" s="1"/>
  <c r="E300" i="3"/>
  <c r="D300" i="3"/>
  <c r="C300" i="3"/>
  <c r="A300" i="3"/>
  <c r="B300" i="3" s="1"/>
  <c r="E299" i="3"/>
  <c r="D299" i="3"/>
  <c r="C299" i="3"/>
  <c r="A299" i="3"/>
  <c r="B299" i="3" s="1"/>
  <c r="E298" i="3"/>
  <c r="D298" i="3"/>
  <c r="C298" i="3"/>
  <c r="B298" i="3"/>
  <c r="A298" i="3"/>
  <c r="E297" i="3"/>
  <c r="D297" i="3"/>
  <c r="C297" i="3"/>
  <c r="B297" i="3"/>
  <c r="A297" i="3"/>
  <c r="E296" i="3"/>
  <c r="D296" i="3"/>
  <c r="C296" i="3"/>
  <c r="B296" i="3"/>
  <c r="A296" i="3"/>
  <c r="E295" i="3"/>
  <c r="D295" i="3"/>
  <c r="C295" i="3"/>
  <c r="A295" i="3"/>
  <c r="B295" i="3" s="1"/>
  <c r="E294" i="3"/>
  <c r="D294" i="3"/>
  <c r="C294" i="3"/>
  <c r="A294" i="3"/>
  <c r="B294" i="3" s="1"/>
  <c r="E293" i="3"/>
  <c r="D293" i="3"/>
  <c r="C293" i="3"/>
  <c r="A293" i="3"/>
  <c r="B293" i="3" s="1"/>
  <c r="E292" i="3"/>
  <c r="D292" i="3"/>
  <c r="C292" i="3"/>
  <c r="B292" i="3"/>
  <c r="A292" i="3"/>
  <c r="E291" i="3"/>
  <c r="D291" i="3"/>
  <c r="C291" i="3"/>
  <c r="A291" i="3"/>
  <c r="B291" i="3" s="1"/>
  <c r="E290" i="3"/>
  <c r="D290" i="3"/>
  <c r="C290" i="3"/>
  <c r="B290" i="3"/>
  <c r="A290" i="3"/>
  <c r="E289" i="3"/>
  <c r="D289" i="3"/>
  <c r="C289" i="3"/>
  <c r="B289" i="3"/>
  <c r="A289" i="3"/>
  <c r="E288" i="3"/>
  <c r="D288" i="3"/>
  <c r="C288" i="3"/>
  <c r="B288" i="3"/>
  <c r="A288" i="3"/>
  <c r="E287" i="3"/>
  <c r="D287" i="3"/>
  <c r="C287" i="3"/>
  <c r="B287" i="3"/>
  <c r="A287" i="3"/>
  <c r="E286" i="3"/>
  <c r="D286" i="3"/>
  <c r="C286" i="3"/>
  <c r="A286" i="3"/>
  <c r="B286" i="3" s="1"/>
  <c r="E285" i="3"/>
  <c r="D285" i="3"/>
  <c r="C285" i="3"/>
  <c r="A285" i="3"/>
  <c r="B285" i="3" s="1"/>
  <c r="E284" i="3"/>
  <c r="D284" i="3"/>
  <c r="C284" i="3"/>
  <c r="B284" i="3"/>
  <c r="A284" i="3"/>
  <c r="E283" i="3"/>
  <c r="D283" i="3"/>
  <c r="C283" i="3"/>
  <c r="A283" i="3"/>
  <c r="B283" i="3" s="1"/>
  <c r="E282" i="3"/>
  <c r="D282" i="3"/>
  <c r="C282" i="3"/>
  <c r="B282" i="3"/>
  <c r="A282" i="3"/>
  <c r="E281" i="3"/>
  <c r="D281" i="3"/>
  <c r="C281" i="3"/>
  <c r="A281" i="3"/>
  <c r="B281" i="3" s="1"/>
  <c r="E280" i="3"/>
  <c r="D280" i="3"/>
  <c r="C280" i="3"/>
  <c r="B280" i="3"/>
  <c r="A280" i="3"/>
  <c r="E279" i="3"/>
  <c r="D279" i="3"/>
  <c r="C279" i="3"/>
  <c r="B279" i="3"/>
  <c r="A279" i="3"/>
  <c r="E278" i="3"/>
  <c r="D278" i="3"/>
  <c r="C278" i="3"/>
  <c r="B278" i="3"/>
  <c r="A278" i="3"/>
  <c r="E277" i="3"/>
  <c r="D277" i="3"/>
  <c r="C277" i="3"/>
  <c r="A277" i="3"/>
  <c r="B277" i="3" s="1"/>
  <c r="E276" i="3"/>
  <c r="D276" i="3"/>
  <c r="C276" i="3"/>
  <c r="A276" i="3"/>
  <c r="B276" i="3" s="1"/>
  <c r="E275" i="3"/>
  <c r="D275" i="3"/>
  <c r="C275" i="3"/>
  <c r="A275" i="3"/>
  <c r="B275" i="3" s="1"/>
  <c r="E274" i="3"/>
  <c r="D274" i="3"/>
  <c r="C274" i="3"/>
  <c r="B274" i="3"/>
  <c r="A274" i="3"/>
  <c r="E273" i="3"/>
  <c r="D273" i="3"/>
  <c r="C273" i="3"/>
  <c r="A273" i="3"/>
  <c r="B273" i="3" s="1"/>
  <c r="E272" i="3"/>
  <c r="D272" i="3"/>
  <c r="C272" i="3"/>
  <c r="B272" i="3"/>
  <c r="A272" i="3"/>
  <c r="E271" i="3"/>
  <c r="D271" i="3"/>
  <c r="C271" i="3"/>
  <c r="A271" i="3"/>
  <c r="B271" i="3" s="1"/>
  <c r="E270" i="3"/>
  <c r="D270" i="3"/>
  <c r="C270" i="3"/>
  <c r="A270" i="3"/>
  <c r="B270" i="3" s="1"/>
  <c r="E269" i="3"/>
  <c r="D269" i="3"/>
  <c r="C269" i="3"/>
  <c r="A269" i="3"/>
  <c r="B269" i="3" s="1"/>
  <c r="E268" i="3"/>
  <c r="D268" i="3"/>
  <c r="C268" i="3"/>
  <c r="A268" i="3"/>
  <c r="B268" i="3" s="1"/>
  <c r="E267" i="3"/>
  <c r="D267" i="3"/>
  <c r="C267" i="3"/>
  <c r="A267" i="3"/>
  <c r="B267" i="3" s="1"/>
  <c r="E266" i="3"/>
  <c r="D266" i="3"/>
  <c r="C266" i="3"/>
  <c r="B266" i="3"/>
  <c r="A266" i="3"/>
  <c r="E265" i="3"/>
  <c r="D265" i="3"/>
  <c r="C265" i="3"/>
  <c r="B265" i="3"/>
  <c r="A265" i="3"/>
  <c r="E264" i="3"/>
  <c r="D264" i="3"/>
  <c r="C264" i="3"/>
  <c r="B264" i="3"/>
  <c r="A264" i="3"/>
  <c r="E263" i="3"/>
  <c r="D263" i="3"/>
  <c r="C263" i="3"/>
  <c r="A263" i="3"/>
  <c r="B263" i="3" s="1"/>
  <c r="E262" i="3"/>
  <c r="D262" i="3"/>
  <c r="C262" i="3"/>
  <c r="A262" i="3"/>
  <c r="B262" i="3" s="1"/>
  <c r="E261" i="3"/>
  <c r="D261" i="3"/>
  <c r="C261" i="3"/>
  <c r="A261" i="3"/>
  <c r="B261" i="3" s="1"/>
  <c r="E260" i="3"/>
  <c r="D260" i="3"/>
  <c r="C260" i="3"/>
  <c r="B260" i="3"/>
  <c r="A260" i="3"/>
  <c r="E259" i="3"/>
  <c r="D259" i="3"/>
  <c r="C259" i="3"/>
  <c r="A259" i="3"/>
  <c r="B259" i="3" s="1"/>
  <c r="E258" i="3"/>
  <c r="D258" i="3"/>
  <c r="C258" i="3"/>
  <c r="B258" i="3"/>
  <c r="A258" i="3"/>
  <c r="E257" i="3"/>
  <c r="D257" i="3"/>
  <c r="C257" i="3"/>
  <c r="B257" i="3"/>
  <c r="A257" i="3"/>
  <c r="E256" i="3"/>
  <c r="D256" i="3"/>
  <c r="C256" i="3"/>
  <c r="B256" i="3"/>
  <c r="A256" i="3"/>
  <c r="E255" i="3"/>
  <c r="D255" i="3"/>
  <c r="C255" i="3"/>
  <c r="B255" i="3"/>
  <c r="A255" i="3"/>
  <c r="E254" i="3"/>
  <c r="D254" i="3"/>
  <c r="C254" i="3"/>
  <c r="A254" i="3"/>
  <c r="B254" i="3" s="1"/>
  <c r="E253" i="3"/>
  <c r="D253" i="3"/>
  <c r="C253" i="3"/>
  <c r="A253" i="3"/>
  <c r="B253" i="3" s="1"/>
  <c r="E252" i="3"/>
  <c r="D252" i="3"/>
  <c r="C252" i="3"/>
  <c r="B252" i="3"/>
  <c r="A252" i="3"/>
  <c r="E251" i="3"/>
  <c r="D251" i="3"/>
  <c r="C251" i="3"/>
  <c r="A251" i="3"/>
  <c r="B251" i="3" s="1"/>
  <c r="E250" i="3"/>
  <c r="D250" i="3"/>
  <c r="C250" i="3"/>
  <c r="B250" i="3"/>
  <c r="A250" i="3"/>
  <c r="E249" i="3"/>
  <c r="D249" i="3"/>
  <c r="C249" i="3"/>
  <c r="A249" i="3"/>
  <c r="B249" i="3" s="1"/>
  <c r="E248" i="3"/>
  <c r="D248" i="3"/>
  <c r="C248" i="3"/>
  <c r="B248" i="3"/>
  <c r="A248" i="3"/>
  <c r="E247" i="3"/>
  <c r="D247" i="3"/>
  <c r="C247" i="3"/>
  <c r="B247" i="3"/>
  <c r="A247" i="3"/>
  <c r="E246" i="3"/>
  <c r="D246" i="3"/>
  <c r="C246" i="3"/>
  <c r="B246" i="3"/>
  <c r="A246" i="3"/>
  <c r="E245" i="3"/>
  <c r="D245" i="3"/>
  <c r="C245" i="3"/>
  <c r="A245" i="3"/>
  <c r="B245" i="3" s="1"/>
  <c r="E244" i="3"/>
  <c r="D244" i="3"/>
  <c r="C244" i="3"/>
  <c r="A244" i="3"/>
  <c r="B244" i="3" s="1"/>
  <c r="E243" i="3"/>
  <c r="D243" i="3"/>
  <c r="C243" i="3"/>
  <c r="A243" i="3"/>
  <c r="B243" i="3" s="1"/>
  <c r="E242" i="3"/>
  <c r="D242" i="3"/>
  <c r="C242" i="3"/>
  <c r="B242" i="3"/>
  <c r="A242" i="3"/>
  <c r="E241" i="3"/>
  <c r="D241" i="3"/>
  <c r="C241" i="3"/>
  <c r="A241" i="3"/>
  <c r="B241" i="3" s="1"/>
  <c r="E240" i="3"/>
  <c r="D240" i="3"/>
  <c r="C240" i="3"/>
  <c r="B240" i="3"/>
  <c r="A240" i="3"/>
  <c r="E239" i="3"/>
  <c r="D239" i="3"/>
  <c r="C239" i="3"/>
  <c r="A239" i="3"/>
  <c r="B239" i="3" s="1"/>
  <c r="E238" i="3"/>
  <c r="D238" i="3"/>
  <c r="C238" i="3"/>
  <c r="A238" i="3"/>
  <c r="B238" i="3" s="1"/>
  <c r="E237" i="3"/>
  <c r="D237" i="3"/>
  <c r="C237" i="3"/>
  <c r="A237" i="3"/>
  <c r="B237" i="3" s="1"/>
  <c r="E236" i="3"/>
  <c r="D236" i="3"/>
  <c r="C236" i="3"/>
  <c r="A236" i="3"/>
  <c r="B236" i="3" s="1"/>
  <c r="E235" i="3"/>
  <c r="D235" i="3"/>
  <c r="C235" i="3"/>
  <c r="A235" i="3"/>
  <c r="B235" i="3" s="1"/>
  <c r="E234" i="3"/>
  <c r="D234" i="3"/>
  <c r="C234" i="3"/>
  <c r="B234" i="3"/>
  <c r="A234" i="3"/>
  <c r="E233" i="3"/>
  <c r="D233" i="3"/>
  <c r="C233" i="3"/>
  <c r="B233" i="3"/>
  <c r="A233" i="3"/>
  <c r="E232" i="3"/>
  <c r="D232" i="3"/>
  <c r="C232" i="3"/>
  <c r="B232" i="3"/>
  <c r="A232" i="3"/>
  <c r="E231" i="3"/>
  <c r="D231" i="3"/>
  <c r="C231" i="3"/>
  <c r="A231" i="3"/>
  <c r="B231" i="3" s="1"/>
  <c r="E230" i="3"/>
  <c r="D230" i="3"/>
  <c r="C230" i="3"/>
  <c r="A230" i="3"/>
  <c r="B230" i="3" s="1"/>
  <c r="E229" i="3"/>
  <c r="D229" i="3"/>
  <c r="C229" i="3"/>
  <c r="A229" i="3"/>
  <c r="B229" i="3" s="1"/>
  <c r="E228" i="3"/>
  <c r="D228" i="3"/>
  <c r="C228" i="3"/>
  <c r="B228" i="3"/>
  <c r="A228" i="3"/>
  <c r="E227" i="3"/>
  <c r="D227" i="3"/>
  <c r="C227" i="3"/>
  <c r="A227" i="3"/>
  <c r="B227" i="3" s="1"/>
  <c r="E226" i="3"/>
  <c r="D226" i="3"/>
  <c r="C226" i="3"/>
  <c r="B226" i="3"/>
  <c r="A226" i="3"/>
  <c r="E225" i="3"/>
  <c r="D225" i="3"/>
  <c r="C225" i="3"/>
  <c r="B225" i="3"/>
  <c r="A225" i="3"/>
  <c r="E224" i="3"/>
  <c r="D224" i="3"/>
  <c r="C224" i="3"/>
  <c r="B224" i="3"/>
  <c r="A224" i="3"/>
  <c r="E223" i="3"/>
  <c r="D223" i="3"/>
  <c r="C223" i="3"/>
  <c r="B223" i="3"/>
  <c r="A223" i="3"/>
  <c r="E222" i="3"/>
  <c r="D222" i="3"/>
  <c r="C222" i="3"/>
  <c r="A222" i="3"/>
  <c r="B222" i="3" s="1"/>
  <c r="E221" i="3"/>
  <c r="D221" i="3"/>
  <c r="C221" i="3"/>
  <c r="A221" i="3"/>
  <c r="B221" i="3" s="1"/>
  <c r="E220" i="3"/>
  <c r="D220" i="3"/>
  <c r="C220" i="3"/>
  <c r="B220" i="3"/>
  <c r="A220" i="3"/>
  <c r="E219" i="3"/>
  <c r="D219" i="3"/>
  <c r="C219" i="3"/>
  <c r="A219" i="3"/>
  <c r="B219" i="3" s="1"/>
  <c r="E218" i="3"/>
  <c r="D218" i="3"/>
  <c r="C218" i="3"/>
  <c r="B218" i="3"/>
  <c r="A218" i="3"/>
  <c r="E217" i="3"/>
  <c r="D217" i="3"/>
  <c r="C217" i="3"/>
  <c r="A217" i="3"/>
  <c r="B217" i="3" s="1"/>
  <c r="E216" i="3"/>
  <c r="D216" i="3"/>
  <c r="C216" i="3"/>
  <c r="B216" i="3"/>
  <c r="A216" i="3"/>
  <c r="E215" i="3"/>
  <c r="D215" i="3"/>
  <c r="C215" i="3"/>
  <c r="B215" i="3"/>
  <c r="A215" i="3"/>
  <c r="E214" i="3"/>
  <c r="D214" i="3"/>
  <c r="C214" i="3"/>
  <c r="B214" i="3"/>
  <c r="A214" i="3"/>
  <c r="E213" i="3"/>
  <c r="D213" i="3"/>
  <c r="C213" i="3"/>
  <c r="A213" i="3"/>
  <c r="B213" i="3" s="1"/>
  <c r="E212" i="3"/>
  <c r="D212" i="3"/>
  <c r="C212" i="3"/>
  <c r="A212" i="3"/>
  <c r="B212" i="3" s="1"/>
  <c r="E211" i="3"/>
  <c r="D211" i="3"/>
  <c r="C211" i="3"/>
  <c r="A211" i="3"/>
  <c r="B211" i="3" s="1"/>
  <c r="E210" i="3"/>
  <c r="D210" i="3"/>
  <c r="C210" i="3"/>
  <c r="B210" i="3"/>
  <c r="A210" i="3"/>
  <c r="E209" i="3"/>
  <c r="D209" i="3"/>
  <c r="C209" i="3"/>
  <c r="A209" i="3"/>
  <c r="B209" i="3" s="1"/>
  <c r="E208" i="3"/>
  <c r="D208" i="3"/>
  <c r="C208" i="3"/>
  <c r="B208" i="3"/>
  <c r="A208" i="3"/>
  <c r="E207" i="3"/>
  <c r="D207" i="3"/>
  <c r="C207" i="3"/>
  <c r="A207" i="3"/>
  <c r="B207" i="3" s="1"/>
  <c r="E206" i="3"/>
  <c r="D206" i="3"/>
  <c r="C206" i="3"/>
  <c r="A206" i="3"/>
  <c r="B206" i="3" s="1"/>
  <c r="E205" i="3"/>
  <c r="D205" i="3"/>
  <c r="C205" i="3"/>
  <c r="A205" i="3"/>
  <c r="B205" i="3" s="1"/>
  <c r="E204" i="3"/>
  <c r="D204" i="3"/>
  <c r="C204" i="3"/>
  <c r="A204" i="3"/>
  <c r="B204" i="3" s="1"/>
  <c r="E203" i="3"/>
  <c r="D203" i="3"/>
  <c r="C203" i="3"/>
  <c r="A203" i="3"/>
  <c r="B203" i="3" s="1"/>
  <c r="E202" i="3"/>
  <c r="D202" i="3"/>
  <c r="C202" i="3"/>
  <c r="B202" i="3"/>
  <c r="A202" i="3"/>
  <c r="E201" i="3"/>
  <c r="D201" i="3"/>
  <c r="C201" i="3"/>
  <c r="B201" i="3"/>
  <c r="A201" i="3"/>
  <c r="E200" i="3"/>
  <c r="D200" i="3"/>
  <c r="C200" i="3"/>
  <c r="B200" i="3"/>
  <c r="A200" i="3"/>
  <c r="E199" i="3"/>
  <c r="D199" i="3"/>
  <c r="C199" i="3"/>
  <c r="A199" i="3"/>
  <c r="B199" i="3" s="1"/>
  <c r="E198" i="3"/>
  <c r="D198" i="3"/>
  <c r="C198" i="3"/>
  <c r="A198" i="3"/>
  <c r="B198" i="3" s="1"/>
  <c r="E197" i="3"/>
  <c r="D197" i="3"/>
  <c r="C197" i="3"/>
  <c r="A197" i="3"/>
  <c r="B197" i="3" s="1"/>
  <c r="E196" i="3"/>
  <c r="D196" i="3"/>
  <c r="C196" i="3"/>
  <c r="B196" i="3"/>
  <c r="A196" i="3"/>
  <c r="E195" i="3"/>
  <c r="D195" i="3"/>
  <c r="C195" i="3"/>
  <c r="A195" i="3"/>
  <c r="B195" i="3" s="1"/>
  <c r="E194" i="3"/>
  <c r="D194" i="3"/>
  <c r="C194" i="3"/>
  <c r="B194" i="3"/>
  <c r="A194" i="3"/>
  <c r="E193" i="3"/>
  <c r="D193" i="3"/>
  <c r="C193" i="3"/>
  <c r="B193" i="3"/>
  <c r="A193" i="3"/>
  <c r="E192" i="3"/>
  <c r="D192" i="3"/>
  <c r="C192" i="3"/>
  <c r="B192" i="3"/>
  <c r="A192" i="3"/>
  <c r="E191" i="3"/>
  <c r="D191" i="3"/>
  <c r="C191" i="3"/>
  <c r="B191" i="3"/>
  <c r="A191" i="3"/>
  <c r="E190" i="3"/>
  <c r="D190" i="3"/>
  <c r="C190" i="3"/>
  <c r="A190" i="3"/>
  <c r="B190" i="3" s="1"/>
  <c r="E189" i="3"/>
  <c r="D189" i="3"/>
  <c r="C189" i="3"/>
  <c r="A189" i="3"/>
  <c r="B189" i="3" s="1"/>
  <c r="E188" i="3"/>
  <c r="D188" i="3"/>
  <c r="C188" i="3"/>
  <c r="B188" i="3"/>
  <c r="A188" i="3"/>
  <c r="E187" i="3"/>
  <c r="D187" i="3"/>
  <c r="C187" i="3"/>
  <c r="A187" i="3"/>
  <c r="B187" i="3" s="1"/>
  <c r="E186" i="3"/>
  <c r="D186" i="3"/>
  <c r="C186" i="3"/>
  <c r="B186" i="3"/>
  <c r="A186" i="3"/>
  <c r="E185" i="3"/>
  <c r="D185" i="3"/>
  <c r="C185" i="3"/>
  <c r="A185" i="3"/>
  <c r="B185" i="3" s="1"/>
  <c r="E184" i="3"/>
  <c r="D184" i="3"/>
  <c r="C184" i="3"/>
  <c r="B184" i="3"/>
  <c r="A184" i="3"/>
  <c r="E183" i="3"/>
  <c r="D183" i="3"/>
  <c r="C183" i="3"/>
  <c r="B183" i="3"/>
  <c r="A183" i="3"/>
  <c r="E182" i="3"/>
  <c r="D182" i="3"/>
  <c r="C182" i="3"/>
  <c r="B182" i="3"/>
  <c r="A182" i="3"/>
  <c r="E181" i="3"/>
  <c r="D181" i="3"/>
  <c r="C181" i="3"/>
  <c r="A181" i="3"/>
  <c r="B181" i="3" s="1"/>
  <c r="E180" i="3"/>
  <c r="D180" i="3"/>
  <c r="C180" i="3"/>
  <c r="A180" i="3"/>
  <c r="B180" i="3" s="1"/>
  <c r="E179" i="3"/>
  <c r="D179" i="3"/>
  <c r="C179" i="3"/>
  <c r="A179" i="3"/>
  <c r="B179" i="3" s="1"/>
  <c r="E178" i="3"/>
  <c r="D178" i="3"/>
  <c r="C178" i="3"/>
  <c r="B178" i="3"/>
  <c r="A178" i="3"/>
  <c r="E177" i="3"/>
  <c r="D177" i="3"/>
  <c r="C177" i="3"/>
  <c r="A177" i="3"/>
  <c r="B177" i="3" s="1"/>
  <c r="E176" i="3"/>
  <c r="D176" i="3"/>
  <c r="C176" i="3"/>
  <c r="B176" i="3"/>
  <c r="A176" i="3"/>
  <c r="E175" i="3"/>
  <c r="D175" i="3"/>
  <c r="C175" i="3"/>
  <c r="A175" i="3"/>
  <c r="B175" i="3" s="1"/>
  <c r="E174" i="3"/>
  <c r="D174" i="3"/>
  <c r="C174" i="3"/>
  <c r="A174" i="3"/>
  <c r="B174" i="3" s="1"/>
  <c r="E173" i="3"/>
  <c r="D173" i="3"/>
  <c r="C173" i="3"/>
  <c r="A173" i="3"/>
  <c r="B173" i="3" s="1"/>
  <c r="E172" i="3"/>
  <c r="D172" i="3"/>
  <c r="C172" i="3"/>
  <c r="A172" i="3"/>
  <c r="B172" i="3" s="1"/>
  <c r="E171" i="3"/>
  <c r="D171" i="3"/>
  <c r="C171" i="3"/>
  <c r="A171" i="3"/>
  <c r="B171" i="3" s="1"/>
  <c r="E170" i="3"/>
  <c r="D170" i="3"/>
  <c r="C170" i="3"/>
  <c r="B170" i="3"/>
  <c r="A170" i="3"/>
  <c r="E169" i="3"/>
  <c r="D169" i="3"/>
  <c r="C169" i="3"/>
  <c r="B169" i="3"/>
  <c r="A169" i="3"/>
  <c r="E168" i="3"/>
  <c r="D168" i="3"/>
  <c r="C168" i="3"/>
  <c r="B168" i="3"/>
  <c r="A168" i="3"/>
  <c r="E167" i="3"/>
  <c r="D167" i="3"/>
  <c r="C167" i="3"/>
  <c r="A167" i="3"/>
  <c r="B167" i="3" s="1"/>
  <c r="E166" i="3"/>
  <c r="D166" i="3"/>
  <c r="C166" i="3"/>
  <c r="A166" i="3"/>
  <c r="B166" i="3" s="1"/>
  <c r="E165" i="3"/>
  <c r="D165" i="3"/>
  <c r="C165" i="3"/>
  <c r="A165" i="3"/>
  <c r="B165" i="3" s="1"/>
  <c r="E164" i="3"/>
  <c r="D164" i="3"/>
  <c r="C164" i="3"/>
  <c r="B164" i="3"/>
  <c r="A164" i="3"/>
  <c r="E163" i="3"/>
  <c r="D163" i="3"/>
  <c r="C163" i="3"/>
  <c r="A163" i="3"/>
  <c r="B163" i="3" s="1"/>
  <c r="E162" i="3"/>
  <c r="D162" i="3"/>
  <c r="C162" i="3"/>
  <c r="B162" i="3"/>
  <c r="A162" i="3"/>
  <c r="E161" i="3"/>
  <c r="D161" i="3"/>
  <c r="C161" i="3"/>
  <c r="B161" i="3"/>
  <c r="A161" i="3"/>
  <c r="E160" i="3"/>
  <c r="D160" i="3"/>
  <c r="C160" i="3"/>
  <c r="B160" i="3"/>
  <c r="A160" i="3"/>
  <c r="E159" i="3"/>
  <c r="D159" i="3"/>
  <c r="C159" i="3"/>
  <c r="B159" i="3"/>
  <c r="A159" i="3"/>
  <c r="E158" i="3"/>
  <c r="D158" i="3"/>
  <c r="C158" i="3"/>
  <c r="A158" i="3"/>
  <c r="B158" i="3" s="1"/>
  <c r="E157" i="3"/>
  <c r="D157" i="3"/>
  <c r="C157" i="3"/>
  <c r="A157" i="3"/>
  <c r="B157" i="3" s="1"/>
  <c r="E156" i="3"/>
  <c r="D156" i="3"/>
  <c r="C156" i="3"/>
  <c r="B156" i="3"/>
  <c r="A156" i="3"/>
  <c r="E155" i="3"/>
  <c r="D155" i="3"/>
  <c r="C155" i="3"/>
  <c r="A155" i="3"/>
  <c r="B155" i="3" s="1"/>
  <c r="E154" i="3"/>
  <c r="D154" i="3"/>
  <c r="C154" i="3"/>
  <c r="B154" i="3"/>
  <c r="A154" i="3"/>
  <c r="E153" i="3"/>
  <c r="D153" i="3"/>
  <c r="C153" i="3"/>
  <c r="A153" i="3"/>
  <c r="B153" i="3" s="1"/>
  <c r="E152" i="3"/>
  <c r="D152" i="3"/>
  <c r="C152" i="3"/>
  <c r="B152" i="3"/>
  <c r="A152" i="3"/>
  <c r="E151" i="3"/>
  <c r="D151" i="3"/>
  <c r="C151" i="3"/>
  <c r="B151" i="3"/>
  <c r="A151" i="3"/>
  <c r="E150" i="3"/>
  <c r="D150" i="3"/>
  <c r="C150" i="3"/>
  <c r="B150" i="3"/>
  <c r="A150" i="3"/>
  <c r="E149" i="3"/>
  <c r="D149" i="3"/>
  <c r="C149" i="3"/>
  <c r="A149" i="3"/>
  <c r="B149" i="3" s="1"/>
  <c r="E148" i="3"/>
  <c r="D148" i="3"/>
  <c r="C148" i="3"/>
  <c r="A148" i="3"/>
  <c r="B148" i="3" s="1"/>
  <c r="E147" i="3"/>
  <c r="D147" i="3"/>
  <c r="C147" i="3"/>
  <c r="A147" i="3"/>
  <c r="B147" i="3" s="1"/>
  <c r="E146" i="3"/>
  <c r="D146" i="3"/>
  <c r="C146" i="3"/>
  <c r="B146" i="3"/>
  <c r="A146" i="3"/>
  <c r="E145" i="3"/>
  <c r="D145" i="3"/>
  <c r="C145" i="3"/>
  <c r="A145" i="3"/>
  <c r="B145" i="3" s="1"/>
  <c r="E144" i="3"/>
  <c r="D144" i="3"/>
  <c r="C144" i="3"/>
  <c r="B144" i="3"/>
  <c r="A144" i="3"/>
  <c r="E143" i="3"/>
  <c r="D143" i="3"/>
  <c r="C143" i="3"/>
  <c r="A143" i="3"/>
  <c r="B143" i="3" s="1"/>
  <c r="E142" i="3"/>
  <c r="D142" i="3"/>
  <c r="C142" i="3"/>
  <c r="A142" i="3"/>
  <c r="B142" i="3" s="1"/>
  <c r="E141" i="3"/>
  <c r="D141" i="3"/>
  <c r="C141" i="3"/>
  <c r="A141" i="3"/>
  <c r="B141" i="3" s="1"/>
  <c r="E140" i="3"/>
  <c r="D140" i="3"/>
  <c r="C140" i="3"/>
  <c r="A140" i="3"/>
  <c r="B140" i="3" s="1"/>
  <c r="E139" i="3"/>
  <c r="D139" i="3"/>
  <c r="C139" i="3"/>
  <c r="A139" i="3"/>
  <c r="B139" i="3" s="1"/>
  <c r="E138" i="3"/>
  <c r="D138" i="3"/>
  <c r="C138" i="3"/>
  <c r="B138" i="3"/>
  <c r="A138" i="3"/>
  <c r="E137" i="3"/>
  <c r="D137" i="3"/>
  <c r="C137" i="3"/>
  <c r="B137" i="3"/>
  <c r="A137" i="3"/>
  <c r="E136" i="3"/>
  <c r="D136" i="3"/>
  <c r="C136" i="3"/>
  <c r="B136" i="3"/>
  <c r="A136" i="3"/>
  <c r="E135" i="3"/>
  <c r="D135" i="3"/>
  <c r="C135" i="3"/>
  <c r="A135" i="3"/>
  <c r="B135" i="3" s="1"/>
  <c r="E134" i="3"/>
  <c r="D134" i="3"/>
  <c r="C134" i="3"/>
  <c r="A134" i="3"/>
  <c r="B134" i="3" s="1"/>
  <c r="E133" i="3"/>
  <c r="D133" i="3"/>
  <c r="C133" i="3"/>
  <c r="A133" i="3"/>
  <c r="B133" i="3" s="1"/>
  <c r="E132" i="3"/>
  <c r="D132" i="3"/>
  <c r="C132" i="3"/>
  <c r="B132" i="3"/>
  <c r="A132" i="3"/>
  <c r="E131" i="3"/>
  <c r="D131" i="3"/>
  <c r="C131" i="3"/>
  <c r="A131" i="3"/>
  <c r="B131" i="3" s="1"/>
  <c r="E130" i="3"/>
  <c r="D130" i="3"/>
  <c r="C130" i="3"/>
  <c r="B130" i="3"/>
  <c r="A130" i="3"/>
  <c r="E129" i="3"/>
  <c r="D129" i="3"/>
  <c r="C129" i="3"/>
  <c r="B129" i="3"/>
  <c r="A129" i="3"/>
  <c r="E128" i="3"/>
  <c r="D128" i="3"/>
  <c r="C128" i="3"/>
  <c r="B128" i="3"/>
  <c r="A128" i="3"/>
  <c r="E127" i="3"/>
  <c r="D127" i="3"/>
  <c r="C127" i="3"/>
  <c r="B127" i="3"/>
  <c r="A127" i="3"/>
  <c r="E126" i="3"/>
  <c r="D126" i="3"/>
  <c r="C126" i="3"/>
  <c r="A126" i="3"/>
  <c r="B126" i="3" s="1"/>
  <c r="E125" i="3"/>
  <c r="D125" i="3"/>
  <c r="C125" i="3"/>
  <c r="A125" i="3"/>
  <c r="B125" i="3" s="1"/>
  <c r="E124" i="3"/>
  <c r="D124" i="3"/>
  <c r="C124" i="3"/>
  <c r="B124" i="3"/>
  <c r="A124" i="3"/>
  <c r="E123" i="3"/>
  <c r="D123" i="3"/>
  <c r="C123" i="3"/>
  <c r="A123" i="3"/>
  <c r="B123" i="3" s="1"/>
  <c r="E122" i="3"/>
  <c r="D122" i="3"/>
  <c r="C122" i="3"/>
  <c r="B122" i="3"/>
  <c r="A122" i="3"/>
  <c r="E121" i="3"/>
  <c r="D121" i="3"/>
  <c r="C121" i="3"/>
  <c r="A121" i="3"/>
  <c r="B121" i="3" s="1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A117" i="3"/>
  <c r="B117" i="3" s="1"/>
  <c r="E116" i="3"/>
  <c r="D116" i="3"/>
  <c r="C116" i="3"/>
  <c r="A116" i="3"/>
  <c r="B116" i="3" s="1"/>
  <c r="E115" i="3"/>
  <c r="D115" i="3"/>
  <c r="C115" i="3"/>
  <c r="A115" i="3"/>
  <c r="B115" i="3" s="1"/>
  <c r="E114" i="3"/>
  <c r="D114" i="3"/>
  <c r="C114" i="3"/>
  <c r="B114" i="3"/>
  <c r="A114" i="3"/>
  <c r="E113" i="3"/>
  <c r="D113" i="3"/>
  <c r="C113" i="3"/>
  <c r="A113" i="3"/>
  <c r="B113" i="3" s="1"/>
  <c r="E112" i="3"/>
  <c r="D112" i="3"/>
  <c r="C112" i="3"/>
  <c r="B112" i="3"/>
  <c r="A112" i="3"/>
  <c r="E111" i="3"/>
  <c r="D111" i="3"/>
  <c r="C111" i="3"/>
  <c r="A111" i="3"/>
  <c r="B111" i="3" s="1"/>
  <c r="E110" i="3"/>
  <c r="D110" i="3"/>
  <c r="C110" i="3"/>
  <c r="A110" i="3"/>
  <c r="B110" i="3" s="1"/>
  <c r="E109" i="3"/>
  <c r="D109" i="3"/>
  <c r="C109" i="3"/>
  <c r="A109" i="3"/>
  <c r="B109" i="3" s="1"/>
  <c r="E108" i="3"/>
  <c r="D108" i="3"/>
  <c r="C108" i="3"/>
  <c r="A108" i="3"/>
  <c r="B108" i="3" s="1"/>
  <c r="E107" i="3"/>
  <c r="D107" i="3"/>
  <c r="C107" i="3"/>
  <c r="A107" i="3"/>
  <c r="B107" i="3" s="1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A103" i="3"/>
  <c r="B103" i="3" s="1"/>
  <c r="E102" i="3"/>
  <c r="D102" i="3"/>
  <c r="C102" i="3"/>
  <c r="A102" i="3"/>
  <c r="B102" i="3" s="1"/>
  <c r="E101" i="3"/>
  <c r="D101" i="3"/>
  <c r="C101" i="3"/>
  <c r="A101" i="3"/>
  <c r="B101" i="3" s="1"/>
  <c r="E100" i="3"/>
  <c r="D100" i="3"/>
  <c r="C100" i="3"/>
  <c r="B100" i="3"/>
  <c r="A100" i="3"/>
  <c r="E99" i="3"/>
  <c r="D99" i="3"/>
  <c r="C99" i="3"/>
  <c r="A99" i="3"/>
  <c r="B99" i="3" s="1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A94" i="3"/>
  <c r="B94" i="3" s="1"/>
  <c r="E93" i="3"/>
  <c r="D93" i="3"/>
  <c r="C93" i="3"/>
  <c r="A93" i="3"/>
  <c r="B93" i="3" s="1"/>
  <c r="E92" i="3"/>
  <c r="D92" i="3"/>
  <c r="C92" i="3"/>
  <c r="B92" i="3"/>
  <c r="A92" i="3"/>
  <c r="E91" i="3"/>
  <c r="D91" i="3"/>
  <c r="C91" i="3"/>
  <c r="A91" i="3"/>
  <c r="B91" i="3" s="1"/>
  <c r="E90" i="3"/>
  <c r="D90" i="3"/>
  <c r="C90" i="3"/>
  <c r="B90" i="3"/>
  <c r="A90" i="3"/>
  <c r="E89" i="3"/>
  <c r="D89" i="3"/>
  <c r="C89" i="3"/>
  <c r="A89" i="3"/>
  <c r="B89" i="3" s="1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A85" i="3"/>
  <c r="B85" i="3" s="1"/>
  <c r="E84" i="3"/>
  <c r="D84" i="3"/>
  <c r="C84" i="3"/>
  <c r="A84" i="3"/>
  <c r="B84" i="3" s="1"/>
  <c r="E83" i="3"/>
  <c r="D83" i="3"/>
  <c r="C83" i="3"/>
  <c r="A83" i="3"/>
  <c r="B83" i="3" s="1"/>
  <c r="E82" i="3"/>
  <c r="D82" i="3"/>
  <c r="C82" i="3"/>
  <c r="B82" i="3"/>
  <c r="A82" i="3"/>
  <c r="E81" i="3"/>
  <c r="D81" i="3"/>
  <c r="C81" i="3"/>
  <c r="A81" i="3"/>
  <c r="B81" i="3" s="1"/>
  <c r="E80" i="3"/>
  <c r="D80" i="3"/>
  <c r="C80" i="3"/>
  <c r="B80" i="3"/>
  <c r="A80" i="3"/>
  <c r="E79" i="3"/>
  <c r="D79" i="3"/>
  <c r="C79" i="3"/>
  <c r="A79" i="3"/>
  <c r="B79" i="3" s="1"/>
  <c r="E78" i="3"/>
  <c r="D78" i="3"/>
  <c r="C78" i="3"/>
  <c r="A78" i="3"/>
  <c r="B78" i="3" s="1"/>
  <c r="E77" i="3"/>
  <c r="D77" i="3"/>
  <c r="C77" i="3"/>
  <c r="A77" i="3"/>
  <c r="B77" i="3" s="1"/>
  <c r="E76" i="3"/>
  <c r="D76" i="3"/>
  <c r="C76" i="3"/>
  <c r="A76" i="3"/>
  <c r="B76" i="3" s="1"/>
  <c r="E75" i="3"/>
  <c r="D75" i="3"/>
  <c r="C75" i="3"/>
  <c r="A75" i="3"/>
  <c r="B75" i="3" s="1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A71" i="3"/>
  <c r="B71" i="3" s="1"/>
  <c r="E70" i="3"/>
  <c r="D70" i="3"/>
  <c r="C70" i="3"/>
  <c r="A70" i="3"/>
  <c r="B70" i="3" s="1"/>
  <c r="E69" i="3"/>
  <c r="D69" i="3"/>
  <c r="C69" i="3"/>
  <c r="A69" i="3"/>
  <c r="B69" i="3" s="1"/>
  <c r="E68" i="3"/>
  <c r="D68" i="3"/>
  <c r="C68" i="3"/>
  <c r="B68" i="3"/>
  <c r="A68" i="3"/>
  <c r="E67" i="3"/>
  <c r="D67" i="3"/>
  <c r="C67" i="3"/>
  <c r="A67" i="3"/>
  <c r="B67" i="3" s="1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A62" i="3"/>
  <c r="B62" i="3" s="1"/>
  <c r="E61" i="3"/>
  <c r="D61" i="3"/>
  <c r="C61" i="3"/>
  <c r="A61" i="3"/>
  <c r="B61" i="3" s="1"/>
  <c r="E60" i="3"/>
  <c r="D60" i="3"/>
  <c r="C60" i="3"/>
  <c r="B60" i="3"/>
  <c r="A60" i="3"/>
  <c r="E59" i="3"/>
  <c r="D59" i="3"/>
  <c r="C59" i="3"/>
  <c r="A59" i="3"/>
  <c r="B59" i="3" s="1"/>
  <c r="E58" i="3"/>
  <c r="D58" i="3"/>
  <c r="C58" i="3"/>
  <c r="B58" i="3"/>
  <c r="A58" i="3"/>
  <c r="E57" i="3"/>
  <c r="D57" i="3"/>
  <c r="C57" i="3"/>
  <c r="A57" i="3"/>
  <c r="B57" i="3" s="1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A53" i="3"/>
  <c r="B53" i="3" s="1"/>
  <c r="E52" i="3"/>
  <c r="D52" i="3"/>
  <c r="C52" i="3"/>
  <c r="A52" i="3"/>
  <c r="B52" i="3" s="1"/>
  <c r="E51" i="3"/>
  <c r="D51" i="3"/>
  <c r="C51" i="3"/>
  <c r="A51" i="3"/>
  <c r="B51" i="3" s="1"/>
  <c r="E50" i="3"/>
  <c r="D50" i="3"/>
  <c r="C50" i="3"/>
  <c r="B50" i="3"/>
  <c r="A50" i="3"/>
  <c r="E49" i="3"/>
  <c r="D49" i="3"/>
  <c r="C49" i="3"/>
  <c r="A49" i="3"/>
  <c r="B49" i="3" s="1"/>
  <c r="E48" i="3"/>
  <c r="D48" i="3"/>
  <c r="C48" i="3"/>
  <c r="B48" i="3"/>
  <c r="A48" i="3"/>
  <c r="E47" i="3"/>
  <c r="D47" i="3"/>
  <c r="C47" i="3"/>
  <c r="A47" i="3"/>
  <c r="B47" i="3" s="1"/>
  <c r="E46" i="3"/>
  <c r="D46" i="3"/>
  <c r="C46" i="3"/>
  <c r="A46" i="3"/>
  <c r="B46" i="3" s="1"/>
  <c r="E45" i="3"/>
  <c r="D45" i="3"/>
  <c r="C45" i="3"/>
  <c r="A45" i="3"/>
  <c r="B45" i="3" s="1"/>
  <c r="E44" i="3"/>
  <c r="D44" i="3"/>
  <c r="C44" i="3"/>
  <c r="A44" i="3"/>
  <c r="B44" i="3" s="1"/>
  <c r="E43" i="3"/>
  <c r="D43" i="3"/>
  <c r="C43" i="3"/>
  <c r="A43" i="3"/>
  <c r="B43" i="3" s="1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A39" i="3"/>
  <c r="B39" i="3" s="1"/>
  <c r="E38" i="3"/>
  <c r="D38" i="3"/>
  <c r="C38" i="3"/>
  <c r="A38" i="3"/>
  <c r="B38" i="3" s="1"/>
  <c r="E37" i="3"/>
  <c r="D37" i="3"/>
  <c r="C37" i="3"/>
  <c r="A37" i="3"/>
  <c r="B37" i="3" s="1"/>
  <c r="E36" i="3"/>
  <c r="D36" i="3"/>
  <c r="C36" i="3"/>
  <c r="B36" i="3"/>
  <c r="A36" i="3"/>
  <c r="E35" i="3"/>
  <c r="D35" i="3"/>
  <c r="C35" i="3"/>
  <c r="A35" i="3"/>
  <c r="B35" i="3" s="1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A30" i="3"/>
  <c r="B30" i="3" s="1"/>
  <c r="E29" i="3"/>
  <c r="D29" i="3"/>
  <c r="C29" i="3"/>
  <c r="A29" i="3"/>
  <c r="B29" i="3" s="1"/>
  <c r="E28" i="3"/>
  <c r="D28" i="3"/>
  <c r="C28" i="3"/>
  <c r="B28" i="3"/>
  <c r="A28" i="3"/>
  <c r="E27" i="3"/>
  <c r="D27" i="3"/>
  <c r="C27" i="3"/>
  <c r="A27" i="3"/>
  <c r="B27" i="3" s="1"/>
  <c r="E26" i="3"/>
  <c r="D26" i="3"/>
  <c r="C26" i="3"/>
  <c r="B26" i="3"/>
  <c r="A26" i="3"/>
  <c r="E25" i="3"/>
  <c r="D25" i="3"/>
  <c r="C25" i="3"/>
  <c r="A25" i="3"/>
  <c r="B25" i="3" s="1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A21" i="3"/>
  <c r="B21" i="3" s="1"/>
  <c r="E20" i="3"/>
  <c r="D20" i="3"/>
  <c r="C20" i="3"/>
  <c r="A20" i="3"/>
  <c r="B20" i="3" s="1"/>
  <c r="E19" i="3"/>
  <c r="D19" i="3"/>
  <c r="C19" i="3"/>
  <c r="A19" i="3"/>
  <c r="B19" i="3" s="1"/>
  <c r="E18" i="3"/>
  <c r="D18" i="3"/>
  <c r="C18" i="3"/>
  <c r="B18" i="3"/>
  <c r="A18" i="3"/>
  <c r="E17" i="3"/>
  <c r="D17" i="3"/>
  <c r="C17" i="3"/>
  <c r="A17" i="3"/>
  <c r="B17" i="3" s="1"/>
  <c r="E16" i="3"/>
  <c r="D16" i="3"/>
  <c r="C16" i="3"/>
  <c r="B16" i="3"/>
  <c r="A16" i="3"/>
  <c r="E15" i="3"/>
  <c r="D15" i="3"/>
  <c r="C15" i="3"/>
  <c r="A15" i="3"/>
  <c r="B15" i="3" s="1"/>
  <c r="E14" i="3"/>
  <c r="D14" i="3"/>
  <c r="C14" i="3"/>
  <c r="A14" i="3"/>
  <c r="B14" i="3" s="1"/>
  <c r="E13" i="3"/>
  <c r="D13" i="3"/>
  <c r="C13" i="3"/>
  <c r="A13" i="3"/>
  <c r="B13" i="3" s="1"/>
  <c r="E12" i="3"/>
  <c r="D12" i="3"/>
  <c r="C12" i="3"/>
  <c r="A12" i="3"/>
  <c r="B12" i="3" s="1"/>
  <c r="E11" i="3"/>
  <c r="D11" i="3"/>
  <c r="C11" i="3"/>
  <c r="A11" i="3"/>
  <c r="B11" i="3" s="1"/>
  <c r="N10" i="3"/>
  <c r="E10" i="3"/>
  <c r="D10" i="3"/>
  <c r="C10" i="3"/>
  <c r="A10" i="3"/>
  <c r="B10" i="3" s="1"/>
  <c r="N9" i="3"/>
  <c r="O9" i="3" s="1"/>
  <c r="E9" i="3"/>
  <c r="D9" i="3"/>
  <c r="C9" i="3"/>
  <c r="B9" i="3"/>
  <c r="A9" i="3"/>
  <c r="N8" i="3"/>
  <c r="E8" i="3"/>
  <c r="D8" i="3"/>
  <c r="C8" i="3"/>
  <c r="B8" i="3"/>
  <c r="A8" i="3"/>
  <c r="N7" i="3"/>
  <c r="O7" i="3" s="1"/>
  <c r="E7" i="3"/>
  <c r="D7" i="3"/>
  <c r="C7" i="3"/>
  <c r="B7" i="3"/>
  <c r="A7" i="3"/>
  <c r="N6" i="3"/>
  <c r="E6" i="3"/>
  <c r="D6" i="3"/>
  <c r="C6" i="3"/>
  <c r="A6" i="3"/>
  <c r="B6" i="3" s="1"/>
  <c r="H22" i="1"/>
  <c r="G22" i="1"/>
  <c r="F22" i="1"/>
  <c r="E22" i="1"/>
  <c r="D22" i="1"/>
  <c r="C22" i="1"/>
  <c r="B22" i="1"/>
  <c r="H21" i="1"/>
  <c r="G21" i="1"/>
  <c r="F21" i="1"/>
  <c r="E21" i="1"/>
  <c r="D21" i="1"/>
  <c r="B21" i="1" s="1"/>
  <c r="C21" i="1"/>
  <c r="H20" i="1"/>
  <c r="F20" i="1"/>
  <c r="E20" i="1"/>
  <c r="G20" i="1" s="1"/>
  <c r="D20" i="1"/>
  <c r="C20" i="1"/>
  <c r="H19" i="1"/>
  <c r="F19" i="1"/>
  <c r="E19" i="1"/>
  <c r="D19" i="1"/>
  <c r="C19" i="1"/>
  <c r="B19" i="1" s="1"/>
  <c r="H18" i="1"/>
  <c r="F18" i="1"/>
  <c r="E18" i="1"/>
  <c r="D18" i="1"/>
  <c r="C18" i="1"/>
  <c r="B18" i="1"/>
  <c r="H17" i="1"/>
  <c r="F17" i="1"/>
  <c r="E17" i="1"/>
  <c r="D17" i="1"/>
  <c r="C17" i="1"/>
  <c r="G17" i="1" s="1"/>
  <c r="B17" i="1"/>
  <c r="H16" i="1"/>
  <c r="F16" i="1"/>
  <c r="E16" i="1"/>
  <c r="B16" i="1" s="1"/>
  <c r="D16" i="1"/>
  <c r="C16" i="1"/>
  <c r="H15" i="1"/>
  <c r="G15" i="1"/>
  <c r="F15" i="1"/>
  <c r="E15" i="1"/>
  <c r="D15" i="1"/>
  <c r="C15" i="1"/>
  <c r="B15" i="1" s="1"/>
  <c r="H14" i="1"/>
  <c r="G14" i="1"/>
  <c r="F14" i="1"/>
  <c r="E14" i="1"/>
  <c r="D14" i="1"/>
  <c r="C14" i="1"/>
  <c r="B14" i="1" s="1"/>
  <c r="H13" i="1"/>
  <c r="G13" i="1"/>
  <c r="F13" i="1"/>
  <c r="E13" i="1"/>
  <c r="D13" i="1"/>
  <c r="C13" i="1"/>
  <c r="B13" i="1" s="1"/>
  <c r="H12" i="1"/>
  <c r="G6" i="1" s="1"/>
  <c r="G12" i="1"/>
  <c r="F12" i="1"/>
  <c r="E12" i="1"/>
  <c r="D12" i="1"/>
  <c r="C12" i="1"/>
  <c r="B12" i="1" s="1"/>
  <c r="H11" i="1"/>
  <c r="F11" i="1"/>
  <c r="K14" i="1" s="1"/>
  <c r="E11" i="1"/>
  <c r="D11" i="1"/>
  <c r="C11" i="1"/>
  <c r="O8" i="3" l="1"/>
  <c r="O6" i="3"/>
  <c r="B11" i="1"/>
  <c r="D6" i="1"/>
  <c r="K11" i="1"/>
  <c r="K12" i="1"/>
  <c r="G11" i="1"/>
  <c r="A6" i="1"/>
  <c r="G16" i="1"/>
  <c r="K13" i="1"/>
  <c r="G19" i="1"/>
  <c r="G18" i="1"/>
  <c r="O7" i="5"/>
  <c r="B20" i="1"/>
  <c r="J6" i="1"/>
  <c r="O7" i="4"/>
  <c r="O8" i="6"/>
  <c r="O6" i="8"/>
  <c r="O7" i="8"/>
  <c r="O9" i="8"/>
  <c r="O6" i="7"/>
  <c r="O9" i="9"/>
  <c r="O8" i="10"/>
  <c r="O9" i="10"/>
  <c r="O6" i="10"/>
  <c r="O8" i="8"/>
  <c r="O7" i="9"/>
  <c r="O6" i="9"/>
  <c r="O7" i="10"/>
  <c r="O7" i="12"/>
  <c r="O6" i="12"/>
  <c r="O9" i="13"/>
  <c r="O7" i="13"/>
  <c r="O8" i="12"/>
  <c r="O8" i="13"/>
  <c r="O6" i="14"/>
  <c r="O9" i="14"/>
</calcChain>
</file>

<file path=xl/sharedStrings.xml><?xml version="1.0" encoding="utf-8"?>
<sst xmlns="http://schemas.openxmlformats.org/spreadsheetml/2006/main" count="26118" uniqueCount="125">
  <si>
    <t>DASHBOARD EXECUTIVO / BI - MONITORAMENTO DE CÂMERAS EMBARCAÇÕES</t>
  </si>
  <si>
    <t>Resumo consolidado dos 12 meses. Os indicadores são alimentados automaticamente pelas abas mensais.</t>
  </si>
  <si>
    <t>DISPONIBILIDADE GERAL</t>
  </si>
  <si>
    <t>TOTAL OFFLINE</t>
  </si>
  <si>
    <t>EVENTOS REGISTRADOS</t>
  </si>
  <si>
    <t>NÃO VERIFICADOS</t>
  </si>
  <si>
    <t>Mês</t>
  </si>
  <si>
    <t>Total Verificações</t>
  </si>
  <si>
    <t>Online</t>
  </si>
  <si>
    <t>Offline</t>
  </si>
  <si>
    <t>Manutenção</t>
  </si>
  <si>
    <t>Não Verificado</t>
  </si>
  <si>
    <t>Disponibilidade</t>
  </si>
  <si>
    <t>Eventos</t>
  </si>
  <si>
    <t>Status</t>
  </si>
  <si>
    <t>Consolidado</t>
  </si>
  <si>
    <t>Janeiro</t>
  </si>
  <si>
    <t>Fevereiro</t>
  </si>
  <si>
    <t>Março</t>
  </si>
  <si>
    <t>Abril</t>
  </si>
  <si>
    <t>Não verificado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</si>
  <si>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</si>
  <si>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</si>
  <si>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</si>
  <si>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</si>
  <si>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</si>
  <si>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</si>
  <si>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</si>
  <si>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</si>
  <si>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CONFIGURAÇÕES GERAIS - MONITORAMENTO DE CÂMERAS</t>
  </si>
  <si>
    <t>Ano Base</t>
  </si>
  <si>
    <t>Descrição</t>
  </si>
  <si>
    <t>Horários de verificação</t>
  </si>
  <si>
    <t>10:00 | 13:00 | 16:00</t>
  </si>
  <si>
    <t>Câmera funcionando no horário verificado</t>
  </si>
  <si>
    <t>Câmera indisponível no horário verificado</t>
  </si>
  <si>
    <t>ID</t>
  </si>
  <si>
    <t>Nome da Câmera</t>
  </si>
  <si>
    <t>Embarcação/Local</t>
  </si>
  <si>
    <t>Status de Uso</t>
  </si>
  <si>
    <t>Observação</t>
  </si>
  <si>
    <t>CAM 01</t>
  </si>
  <si>
    <t>Ativa</t>
  </si>
  <si>
    <t>CAM 02</t>
  </si>
  <si>
    <t>Câmera 02</t>
  </si>
  <si>
    <t>CAM 03</t>
  </si>
  <si>
    <t>Câmera 03</t>
  </si>
  <si>
    <t>CAM 04</t>
  </si>
  <si>
    <t>Câmera 04</t>
  </si>
  <si>
    <t>CAM 05</t>
  </si>
  <si>
    <t>Câmera 05</t>
  </si>
  <si>
    <t>CAM 06</t>
  </si>
  <si>
    <t>Câmera 06</t>
  </si>
  <si>
    <t>CAM 07</t>
  </si>
  <si>
    <t>Câmera 07</t>
  </si>
  <si>
    <t>CAM 08</t>
  </si>
  <si>
    <t>Câmera 08</t>
  </si>
  <si>
    <t>CAM 09</t>
  </si>
  <si>
    <t>Câmera 09</t>
  </si>
  <si>
    <t>CAM 10</t>
  </si>
  <si>
    <t>Câmera 10</t>
  </si>
  <si>
    <t>CAM 11</t>
  </si>
  <si>
    <t>Câmera 11</t>
  </si>
  <si>
    <t>CAM 12</t>
  </si>
  <si>
    <t>Câmera 12</t>
  </si>
  <si>
    <t>CAM 13</t>
  </si>
  <si>
    <t>Câmera 13</t>
  </si>
  <si>
    <t>CAM 14</t>
  </si>
  <si>
    <t>Reserva/Futura 01</t>
  </si>
  <si>
    <t>Futura</t>
  </si>
  <si>
    <t>CAM 15</t>
  </si>
  <si>
    <t>Reserva/Futura 02</t>
  </si>
  <si>
    <t>CAM 16</t>
  </si>
  <si>
    <t>Reserva/Futura 03</t>
  </si>
  <si>
    <t>CAM 17</t>
  </si>
  <si>
    <t>Reserva/Futura 04</t>
  </si>
  <si>
    <t>CAM 18</t>
  </si>
  <si>
    <t>Reserva/Futura 05</t>
  </si>
  <si>
    <t>CAM 19</t>
  </si>
  <si>
    <t>Reserva/Futura 06</t>
  </si>
  <si>
    <t>CAM 20</t>
  </si>
  <si>
    <t>Reserva/Futura 07</t>
  </si>
  <si>
    <t>CAM 21</t>
  </si>
  <si>
    <t>Reserva/Futura 08</t>
  </si>
  <si>
    <t>CAM 22</t>
  </si>
  <si>
    <t>Reserva/Futura 09</t>
  </si>
  <si>
    <t>CAM 23</t>
  </si>
  <si>
    <t>Reserva/Futura 10</t>
  </si>
  <si>
    <t>ALTERE OS NOMES DAS CÂMERAS APENAS NESTA ABA. TODOS OS MESES SÃO ATUALIZADOS AUTOMATICAMENTE.</t>
  </si>
  <si>
    <t>CONTROLE DE MONITORAMENTO DE CÂMERAS - JANEIRO</t>
  </si>
  <si>
    <t>Status por horário: Online / Offline / Manutenção / Não verificado. Campo livre para evento técnico e comportamento do colaborador.</t>
  </si>
  <si>
    <t>RESUMO DO MÊS</t>
  </si>
  <si>
    <t>Data</t>
  </si>
  <si>
    <t>Dia</t>
  </si>
  <si>
    <t>10:00</t>
  </si>
  <si>
    <t>13:00</t>
  </si>
  <si>
    <t>16:00</t>
  </si>
  <si>
    <t>Evento Técnico Online/Offline</t>
  </si>
  <si>
    <t>Comportamento do Colaborador</t>
  </si>
  <si>
    <t>Responsável</t>
  </si>
  <si>
    <t>Indicador</t>
  </si>
  <si>
    <t>Total</t>
  </si>
  <si>
    <t>%</t>
  </si>
  <si>
    <t>Meta</t>
  </si>
  <si>
    <t>&gt;=95%</t>
  </si>
  <si>
    <t>&lt;=5%</t>
  </si>
  <si>
    <t>zerar no fechamento</t>
  </si>
  <si>
    <t>Eventos registrados</t>
  </si>
  <si>
    <t>CONTROLE DE MONITORAMENTO DE CÂMERAS - FEVEREIRO</t>
  </si>
  <si>
    <t>CONTROLE DE MONITORAMENTO DE CÂMERAS - MARÇO</t>
  </si>
  <si>
    <t>CONTROLE DE MONITORAMENTO DE CÂMERAS - ABRIL</t>
  </si>
  <si>
    <t>CONTROLE DE MONITORAMENTO DE CÂMERAS - MAIO</t>
  </si>
  <si>
    <t>CONTROLE DE MONITORAMENTO DE CÂMERAS - JUNHO</t>
  </si>
  <si>
    <t>CONTROLE DE MONITORAMENTO DE CÂMERAS - JULHO</t>
  </si>
  <si>
    <t>CONTROLE DE MONITORAMENTO DE CÂMERAS - AGOSTO</t>
  </si>
  <si>
    <t>CONTROLE DE MONITORAMENTO DE CÂMERAS - SETEMBRO</t>
  </si>
  <si>
    <t>CONTROLE DE MONITORAMENTO DE CÂMERAS - OUTUBRO</t>
  </si>
  <si>
    <t>CONTROLE DE MONITORAMENTO DE CÂMERAS - NOVEMBRO</t>
  </si>
  <si>
    <t>CONTROLE DE MONITORAMENTO DE CÂMERAS - DEZEMBRO</t>
  </si>
  <si>
    <t>REGISTRO CONSOLIDADO DE OCORRÊNCIAS / COMPORTAMENTOS</t>
  </si>
  <si>
    <t>Câmera</t>
  </si>
  <si>
    <t>Tipo</t>
  </si>
  <si>
    <t>Descrição do Evento/Comportamento</t>
  </si>
  <si>
    <t>Tratativa/Status</t>
  </si>
  <si>
    <t>BARU 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</si>
</sst>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92400E"/>
      <name val="Calibri"/>
    </font>
    <font>
      <b/>
      <sz val="15"/>
      <color rgb="FFFFFFFF"/>
      <name val="Calibri"/>
    </font>
    <font>
      <b/>
      <sz val="10"/>
      <color rgb="FF075985"/>
      <name val="Calibri"/>
    </font>
    <font>
      <b/>
      <sz val="11"/>
      <color rgb="FFFFFFFF"/>
      <name val="Calibri"/>
    </font>
    <font>
      <b/>
      <sz val="18"/>
      <color rgb="FF0B1F33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123A5A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00A6A6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1" fontId="8" fillId="7" borderId="0" xfId="0" applyNumberFormat="1" applyFont="1" applyFill="1" applyAlignment="1">
      <alignment horizontal="center" vertical="center"/>
    </xf>
    <xf numFmtId="164" fontId="8" fillId="7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48"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  <dxf>
      <font>
        <sz val="10"/>
        <color rgb="FF6B7280"/>
      </font>
      <fill>
        <patternFill patternType="solid">
          <fgColor rgb="FFF3F4F6"/>
        </patternFill>
      </fill>
    </dxf>
    <dxf>
      <font>
        <b/>
        <sz val="10"/>
        <color rgb="FF92400E"/>
      </font>
      <fill>
        <patternFill patternType="solid">
          <fgColor rgb="FFFEF3C7"/>
        </patternFill>
      </fill>
    </dxf>
    <dxf>
      <font>
        <b/>
        <sz val="10"/>
        <color rgb="FF991B1B"/>
      </font>
      <fill>
        <patternFill patternType="solid">
          <fgColor rgb="FFFEE2E2"/>
        </patternFill>
      </fill>
    </dxf>
    <dxf>
      <font>
        <b/>
        <sz val="10"/>
        <color rgb="FF065F46"/>
      </font>
      <fill>
        <patternFill patternType="solid">
          <fgColor rgb="FFD1FAE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Evolução Mensal -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'Dashboard BI'!$C$10</c:f>
              <c:strCache>
                <c:ptCount val="1"/>
                <c:pt idx="0">
                  <c:v>Online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BI'!$A$11:$A$22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BI'!$C$11:$C$22</c:f>
              <c:numCache>
                <c:formatCode>General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3-6240-AD26-EE9B5491DD7D}"/>
            </c:ext>
          </c:extLst>
        </c:ser>
        <c:ser>
          <c:idx val="1"/>
          <c:order val="1"/>
          <c:tx>
            <c:strRef>
              <c:f>'Dashboard BI'!$D$10</c:f>
              <c:strCache>
                <c:ptCount val="1"/>
                <c:pt idx="0">
                  <c:v>Offline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BI'!$A$11:$A$22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BI'!$D$11:$D$22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A3-6240-AD26-EE9B5491DD7D}"/>
            </c:ext>
          </c:extLst>
        </c:ser>
        <c:ser>
          <c:idx val="2"/>
          <c:order val="2"/>
          <c:tx>
            <c:strRef>
              <c:f>'Dashboard BI'!$E$10</c:f>
              <c:strCache>
                <c:ptCount val="1"/>
                <c:pt idx="0">
                  <c:v>Manutenção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BI'!$A$11:$A$22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BI'!$E$11:$E$22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A3-6240-AD26-EE9B5491DD7D}"/>
            </c:ext>
          </c:extLst>
        </c:ser>
        <c:ser>
          <c:idx val="3"/>
          <c:order val="3"/>
          <c:tx>
            <c:strRef>
              <c:f>'Dashboard BI'!$F$10</c:f>
              <c:strCache>
                <c:ptCount val="1"/>
                <c:pt idx="0">
                  <c:v>Não Verificado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'Dashboard BI'!$A$11:$A$22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'Dashboard BI'!$F$11:$F$22</c:f>
              <c:numCache>
                <c:formatCode>General</c:formatCode>
                <c:ptCount val="12"/>
                <c:pt idx="0">
                  <c:v>2138</c:v>
                </c:pt>
                <c:pt idx="1">
                  <c:v>2139</c:v>
                </c:pt>
                <c:pt idx="2">
                  <c:v>2139</c:v>
                </c:pt>
                <c:pt idx="3">
                  <c:v>2139</c:v>
                </c:pt>
                <c:pt idx="4">
                  <c:v>2139</c:v>
                </c:pt>
                <c:pt idx="5">
                  <c:v>2139</c:v>
                </c:pt>
                <c:pt idx="6">
                  <c:v>2139</c:v>
                </c:pt>
                <c:pt idx="7">
                  <c:v>2139</c:v>
                </c:pt>
                <c:pt idx="8">
                  <c:v>2139</c:v>
                </c:pt>
                <c:pt idx="9">
                  <c:v>2139</c:v>
                </c:pt>
                <c:pt idx="10">
                  <c:v>2139</c:v>
                </c:pt>
                <c:pt idx="11">
                  <c:v>2139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A3-6240-AD26-EE9B5491D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Qtde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 Consolidada de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'Dashboard BI'!$K$10</c:f>
              <c:strCache>
                <c:ptCount val="1"/>
                <c:pt idx="0">
                  <c:v>Consolidado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'Dashboard BI'!$J$11:$J$14</c:f>
              <c:strCache>
                <c:ptCount val="4"/>
                <c:pt idx="0">
                  <c:v>Online</c:v>
                </c:pt>
                <c:pt idx="1">
                  <c:v>Offline</c:v>
                </c:pt>
                <c:pt idx="2">
                  <c:v>Manutenção</c:v>
                </c:pt>
                <c:pt idx="3">
                  <c:v>Não verificado</c:v>
                </c:pt>
              </c:strCache>
            </c:strRef>
          </c:cat>
          <c:val>
            <c:numRef>
              <c:f>'Dashboard BI'!$K$11:$K$14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D-9C48-A03D-F5A349AB9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15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_Janeiro" displayName="Tabela_Janeiro" ref="A5:K718">
  <autoFilter ref="A5:K718" xr:uid="{00000000-0009-0000-0100-000001000000}"/>
  <tableColumns count="11">
    <tableColumn id="1" xr3:uid="{00000000-0010-0000-0000-000001000000}" name="Data"/>
    <tableColumn id="2" xr3:uid="{00000000-0010-0000-0000-000002000000}" name="Dia"/>
    <tableColumn id="3" xr3:uid="{00000000-0010-0000-0000-000003000000}" name="ID"/>
    <tableColumn id="4" xr3:uid="{00000000-0010-0000-0000-000004000000}" name="Nome da Câmera"/>
    <tableColumn id="5" xr3:uid="{00000000-0010-0000-0000-000005000000}" name="Embarcação/Local"/>
    <tableColumn id="6" xr3:uid="{00000000-0010-0000-0000-000006000000}" name="10:00"/>
    <tableColumn id="7" xr3:uid="{00000000-0010-0000-0000-000007000000}" name="13:00"/>
    <tableColumn id="8" xr3:uid="{00000000-0010-0000-0000-000008000000}" name="16:00"/>
    <tableColumn id="9" xr3:uid="{00000000-0010-0000-0000-000009000000}" name="Evento Técnico Online/Offline"/>
    <tableColumn id="10" xr3:uid="{00000000-0010-0000-0000-00000A000000}" name="Comportamento do Colaborador"/>
    <tableColumn id="11" xr3:uid="{00000000-0010-0000-0000-00000B000000}" name="Responsá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_Fevereiro" displayName="Tabela_Fevereiro" ref="A5:K718">
  <autoFilter ref="A5:K718" xr:uid="{00000000-0009-0000-0100-000002000000}"/>
  <tableColumns count="11">
    <tableColumn id="1" xr3:uid="{00000000-0010-0000-0100-000001000000}" name="Data"/>
    <tableColumn id="2" xr3:uid="{00000000-0010-0000-0100-000002000000}" name="Dia"/>
    <tableColumn id="3" xr3:uid="{00000000-0010-0000-0100-000003000000}" name="ID"/>
    <tableColumn id="4" xr3:uid="{00000000-0010-0000-0100-000004000000}" name="Nome da Câmera"/>
    <tableColumn id="5" xr3:uid="{00000000-0010-0000-0100-000005000000}" name="Embarcação/Local"/>
    <tableColumn id="6" xr3:uid="{00000000-0010-0000-0100-000006000000}" name="10:00"/>
    <tableColumn id="7" xr3:uid="{00000000-0010-0000-0100-000007000000}" name="13:00"/>
    <tableColumn id="8" xr3:uid="{00000000-0010-0000-0100-000008000000}" name="16:00"/>
    <tableColumn id="9" xr3:uid="{00000000-0010-0000-0100-000009000000}" name="Evento Técnico Online/Offline"/>
    <tableColumn id="10" xr3:uid="{00000000-0010-0000-0100-00000A000000}" name="Comportamento do Colaborador"/>
    <tableColumn id="11" xr3:uid="{00000000-0010-0000-0100-00000B000000}" name="Responsáve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_Março" displayName="Tabela_Março" ref="A5:K718">
  <autoFilter ref="A5:K718" xr:uid="{00000000-0009-0000-0100-000003000000}"/>
  <tableColumns count="11">
    <tableColumn id="1" xr3:uid="{00000000-0010-0000-0200-000001000000}" name="Data"/>
    <tableColumn id="2" xr3:uid="{00000000-0010-0000-0200-000002000000}" name="Dia"/>
    <tableColumn id="3" xr3:uid="{00000000-0010-0000-0200-000003000000}" name="ID"/>
    <tableColumn id="4" xr3:uid="{00000000-0010-0000-0200-000004000000}" name="Nome da Câmera"/>
    <tableColumn id="5" xr3:uid="{00000000-0010-0000-0200-000005000000}" name="Embarcação/Local"/>
    <tableColumn id="6" xr3:uid="{00000000-0010-0000-0200-000006000000}" name="10:00"/>
    <tableColumn id="7" xr3:uid="{00000000-0010-0000-0200-000007000000}" name="13:00"/>
    <tableColumn id="8" xr3:uid="{00000000-0010-0000-0200-000008000000}" name="16:00"/>
    <tableColumn id="9" xr3:uid="{00000000-0010-0000-0200-000009000000}" name="Evento Técnico Online/Offline"/>
    <tableColumn id="10" xr3:uid="{00000000-0010-0000-0200-00000A000000}" name="Comportamento do Colaborador"/>
    <tableColumn id="11" xr3:uid="{00000000-0010-0000-0200-00000B000000}" name="Responsá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_Abril" displayName="Tabela_Abril" ref="A5:K718">
  <autoFilter ref="A5:K718" xr:uid="{00000000-0009-0000-0100-000004000000}"/>
  <tableColumns count="11">
    <tableColumn id="1" xr3:uid="{00000000-0010-0000-0300-000001000000}" name="Data"/>
    <tableColumn id="2" xr3:uid="{00000000-0010-0000-0300-000002000000}" name="Dia"/>
    <tableColumn id="3" xr3:uid="{00000000-0010-0000-0300-000003000000}" name="ID"/>
    <tableColumn id="4" xr3:uid="{00000000-0010-0000-0300-000004000000}" name="Nome da Câmera"/>
    <tableColumn id="5" xr3:uid="{00000000-0010-0000-0300-000005000000}" name="Embarcação/Local"/>
    <tableColumn id="6" xr3:uid="{00000000-0010-0000-0300-000006000000}" name="10:00"/>
    <tableColumn id="7" xr3:uid="{00000000-0010-0000-0300-000007000000}" name="13:00"/>
    <tableColumn id="8" xr3:uid="{00000000-0010-0000-0300-000008000000}" name="16:00"/>
    <tableColumn id="9" xr3:uid="{00000000-0010-0000-0300-000009000000}" name="Evento Técnico Online/Offline"/>
    <tableColumn id="10" xr3:uid="{00000000-0010-0000-0300-00000A000000}" name="Comportamento do Colaborador"/>
    <tableColumn id="11" xr3:uid="{00000000-0010-0000-0300-00000B000000}" name="Responsáv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_Maio" displayName="Tabela_Maio" ref="A5:K718">
  <autoFilter ref="A5:K718" xr:uid="{00000000-0009-0000-0100-000005000000}"/>
  <tableColumns count="11">
    <tableColumn id="1" xr3:uid="{00000000-0010-0000-0400-000001000000}" name="Data"/>
    <tableColumn id="2" xr3:uid="{00000000-0010-0000-0400-000002000000}" name="Dia"/>
    <tableColumn id="3" xr3:uid="{00000000-0010-0000-0400-000003000000}" name="ID"/>
    <tableColumn id="4" xr3:uid="{00000000-0010-0000-0400-000004000000}" name="Nome da Câmera"/>
    <tableColumn id="5" xr3:uid="{00000000-0010-0000-0400-000005000000}" name="Embarcação/Local"/>
    <tableColumn id="6" xr3:uid="{00000000-0010-0000-0400-000006000000}" name="10:00"/>
    <tableColumn id="7" xr3:uid="{00000000-0010-0000-0400-000007000000}" name="13:00"/>
    <tableColumn id="8" xr3:uid="{00000000-0010-0000-0400-000008000000}" name="16:00"/>
    <tableColumn id="9" xr3:uid="{00000000-0010-0000-0400-000009000000}" name="Evento Técnico Online/Offline"/>
    <tableColumn id="10" xr3:uid="{00000000-0010-0000-0400-00000A000000}" name="Comportamento do Colaborador"/>
    <tableColumn id="11" xr3:uid="{00000000-0010-0000-0400-00000B000000}" name="Responsáv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_Junho" displayName="Tabela_Junho" ref="A5:K718">
  <autoFilter ref="A5:K718" xr:uid="{00000000-0009-0000-0100-000006000000}"/>
  <tableColumns count="11">
    <tableColumn id="1" xr3:uid="{00000000-0010-0000-0500-000001000000}" name="Data"/>
    <tableColumn id="2" xr3:uid="{00000000-0010-0000-0500-000002000000}" name="Dia"/>
    <tableColumn id="3" xr3:uid="{00000000-0010-0000-0500-000003000000}" name="ID"/>
    <tableColumn id="4" xr3:uid="{00000000-0010-0000-0500-000004000000}" name="Nome da Câmera"/>
    <tableColumn id="5" xr3:uid="{00000000-0010-0000-0500-000005000000}" name="Embarcação/Local"/>
    <tableColumn id="6" xr3:uid="{00000000-0010-0000-0500-000006000000}" name="10:00"/>
    <tableColumn id="7" xr3:uid="{00000000-0010-0000-0500-000007000000}" name="13:00"/>
    <tableColumn id="8" xr3:uid="{00000000-0010-0000-0500-000008000000}" name="16:00"/>
    <tableColumn id="9" xr3:uid="{00000000-0010-0000-0500-000009000000}" name="Evento Técnico Online/Offline"/>
    <tableColumn id="10" xr3:uid="{00000000-0010-0000-0500-00000A000000}" name="Comportamento do Colaborador"/>
    <tableColumn id="11" xr3:uid="{00000000-0010-0000-0500-00000B000000}" name="Responsáve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_Julho" displayName="Tabela_Julho" ref="A5:K718">
  <autoFilter ref="A5:K718" xr:uid="{00000000-0009-0000-0100-000007000000}"/>
  <tableColumns count="11">
    <tableColumn id="1" xr3:uid="{00000000-0010-0000-0600-000001000000}" name="Data"/>
    <tableColumn id="2" xr3:uid="{00000000-0010-0000-0600-000002000000}" name="Dia"/>
    <tableColumn id="3" xr3:uid="{00000000-0010-0000-0600-000003000000}" name="ID"/>
    <tableColumn id="4" xr3:uid="{00000000-0010-0000-0600-000004000000}" name="Nome da Câmera"/>
    <tableColumn id="5" xr3:uid="{00000000-0010-0000-0600-000005000000}" name="Embarcação/Local"/>
    <tableColumn id="6" xr3:uid="{00000000-0010-0000-0600-000006000000}" name="10:00"/>
    <tableColumn id="7" xr3:uid="{00000000-0010-0000-0600-000007000000}" name="13:00"/>
    <tableColumn id="8" xr3:uid="{00000000-0010-0000-0600-000008000000}" name="16:00"/>
    <tableColumn id="9" xr3:uid="{00000000-0010-0000-0600-000009000000}" name="Evento Técnico Online/Offline"/>
    <tableColumn id="10" xr3:uid="{00000000-0010-0000-0600-00000A000000}" name="Comportamento do Colaborador"/>
    <tableColumn id="11" xr3:uid="{00000000-0010-0000-0600-00000B000000}" name="Responsáve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_Agosto" displayName="Tabela_Agosto" ref="A5:K718">
  <autoFilter ref="A5:K718" xr:uid="{00000000-0009-0000-0100-000008000000}"/>
  <tableColumns count="11">
    <tableColumn id="1" xr3:uid="{00000000-0010-0000-0700-000001000000}" name="Data"/>
    <tableColumn id="2" xr3:uid="{00000000-0010-0000-0700-000002000000}" name="Dia"/>
    <tableColumn id="3" xr3:uid="{00000000-0010-0000-0700-000003000000}" name="ID"/>
    <tableColumn id="4" xr3:uid="{00000000-0010-0000-0700-000004000000}" name="Nome da Câmera"/>
    <tableColumn id="5" xr3:uid="{00000000-0010-0000-0700-000005000000}" name="Embarcação/Local"/>
    <tableColumn id="6" xr3:uid="{00000000-0010-0000-0700-000006000000}" name="10:00"/>
    <tableColumn id="7" xr3:uid="{00000000-0010-0000-0700-000007000000}" name="13:00"/>
    <tableColumn id="8" xr3:uid="{00000000-0010-0000-0700-000008000000}" name="16:00"/>
    <tableColumn id="9" xr3:uid="{00000000-0010-0000-0700-000009000000}" name="Evento Técnico Online/Offline"/>
    <tableColumn id="10" xr3:uid="{00000000-0010-0000-0700-00000A000000}" name="Comportamento do Colaborador"/>
    <tableColumn id="11" xr3:uid="{00000000-0010-0000-0700-00000B000000}" name="Responsáve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ela_Setembro" displayName="Tabela_Setembro" ref="A5:K718">
  <autoFilter ref="A5:K718" xr:uid="{00000000-0009-0000-0100-000009000000}"/>
  <tableColumns count="11">
    <tableColumn id="1" xr3:uid="{00000000-0010-0000-0800-000001000000}" name="Data"/>
    <tableColumn id="2" xr3:uid="{00000000-0010-0000-0800-000002000000}" name="Dia"/>
    <tableColumn id="3" xr3:uid="{00000000-0010-0000-0800-000003000000}" name="ID"/>
    <tableColumn id="4" xr3:uid="{00000000-0010-0000-0800-000004000000}" name="Nome da Câmera"/>
    <tableColumn id="5" xr3:uid="{00000000-0010-0000-0800-000005000000}" name="Embarcação/Local"/>
    <tableColumn id="6" xr3:uid="{00000000-0010-0000-0800-000006000000}" name="10:00"/>
    <tableColumn id="7" xr3:uid="{00000000-0010-0000-0800-000007000000}" name="13:00"/>
    <tableColumn id="8" xr3:uid="{00000000-0010-0000-0800-000008000000}" name="16:00"/>
    <tableColumn id="9" xr3:uid="{00000000-0010-0000-0800-000009000000}" name="Evento Técnico Online/Offline"/>
    <tableColumn id="10" xr3:uid="{00000000-0010-0000-0800-00000A000000}" name="Comportamento do Colaborador"/>
    <tableColumn id="11" xr3:uid="{00000000-0010-0000-0800-00000B000000}" name="Responsáv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ela_Outubro" displayName="Tabela_Outubro" ref="A5:K718">
  <autoFilter ref="A5:K718" xr:uid="{00000000-0009-0000-0100-00000A000000}"/>
  <tableColumns count="11">
    <tableColumn id="1" xr3:uid="{00000000-0010-0000-0900-000001000000}" name="Data"/>
    <tableColumn id="2" xr3:uid="{00000000-0010-0000-0900-000002000000}" name="Dia"/>
    <tableColumn id="3" xr3:uid="{00000000-0010-0000-0900-000003000000}" name="ID"/>
    <tableColumn id="4" xr3:uid="{00000000-0010-0000-0900-000004000000}" name="Nome da Câmera"/>
    <tableColumn id="5" xr3:uid="{00000000-0010-0000-0900-000005000000}" name="Embarcação/Local"/>
    <tableColumn id="6" xr3:uid="{00000000-0010-0000-0900-000006000000}" name="10:00"/>
    <tableColumn id="7" xr3:uid="{00000000-0010-0000-0900-000007000000}" name="13:00"/>
    <tableColumn id="8" xr3:uid="{00000000-0010-0000-0900-000008000000}" name="16:00"/>
    <tableColumn id="9" xr3:uid="{00000000-0010-0000-0900-000009000000}" name="Evento Técnico Online/Offline"/>
    <tableColumn id="10" xr3:uid="{00000000-0010-0000-0900-00000A000000}" name="Comportamento do Colaborador"/>
    <tableColumn id="11" xr3:uid="{00000000-0010-0000-0900-00000B000000}" name="Responsáve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ela_Novembro" displayName="Tabela_Novembro" ref="A5:K718">
  <autoFilter ref="A5:K718" xr:uid="{00000000-0009-0000-0100-00000B000000}"/>
  <tableColumns count="11">
    <tableColumn id="1" xr3:uid="{00000000-0010-0000-0A00-000001000000}" name="Data"/>
    <tableColumn id="2" xr3:uid="{00000000-0010-0000-0A00-000002000000}" name="Dia"/>
    <tableColumn id="3" xr3:uid="{00000000-0010-0000-0A00-000003000000}" name="ID"/>
    <tableColumn id="4" xr3:uid="{00000000-0010-0000-0A00-000004000000}" name="Nome da Câmera"/>
    <tableColumn id="5" xr3:uid="{00000000-0010-0000-0A00-000005000000}" name="Embarcação/Local"/>
    <tableColumn id="6" xr3:uid="{00000000-0010-0000-0A00-000006000000}" name="10:00"/>
    <tableColumn id="7" xr3:uid="{00000000-0010-0000-0A00-000007000000}" name="13:00"/>
    <tableColumn id="8" xr3:uid="{00000000-0010-0000-0A00-000008000000}" name="16:00"/>
    <tableColumn id="9" xr3:uid="{00000000-0010-0000-0A00-000009000000}" name="Evento Técnico Online/Offline"/>
    <tableColumn id="10" xr3:uid="{00000000-0010-0000-0A00-00000A000000}" name="Comportamento do Colaborador"/>
    <tableColumn id="11" xr3:uid="{00000000-0010-0000-0A00-00000B000000}" name="Responsáve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ela_Dezembro" displayName="Tabela_Dezembro" ref="A5:K718">
  <autoFilter ref="A5:K718" xr:uid="{00000000-0009-0000-0100-00000C000000}"/>
  <tableColumns count="11">
    <tableColumn id="1" xr3:uid="{00000000-0010-0000-0B00-000001000000}" name="Data"/>
    <tableColumn id="2" xr3:uid="{00000000-0010-0000-0B00-000002000000}" name="Dia"/>
    <tableColumn id="3" xr3:uid="{00000000-0010-0000-0B00-000003000000}" name="ID"/>
    <tableColumn id="4" xr3:uid="{00000000-0010-0000-0B00-000004000000}" name="Nome da Câmera"/>
    <tableColumn id="5" xr3:uid="{00000000-0010-0000-0B00-000005000000}" name="Embarcação/Local"/>
    <tableColumn id="6" xr3:uid="{00000000-0010-0000-0B00-000006000000}" name="10:00"/>
    <tableColumn id="7" xr3:uid="{00000000-0010-0000-0B00-000007000000}" name="13:00"/>
    <tableColumn id="8" xr3:uid="{00000000-0010-0000-0B00-000008000000}" name="16:00"/>
    <tableColumn id="9" xr3:uid="{00000000-0010-0000-0B00-000009000000}" name="Evento Técnico Online/Offline"/>
    <tableColumn id="10" xr3:uid="{00000000-0010-0000-0B00-00000A000000}" name="Comportamento do Colaborador"/>
    <tableColumn id="11" xr3:uid="{00000000-0010-0000-0B00-00000B000000}" name="Responsá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pane ySplit="9" topLeftCell="A10" activePane="bottomLeft" state="frozen"/>
      <selection pane="bottomLeft" sqref="A1:K1"/>
    </sheetView>
  </sheetViews>
  <sheetFormatPr baseColWidth="10" defaultColWidth="8.83203125" defaultRowHeight="15" x14ac:dyDescent="0.2"/>
  <cols>
    <col min="1" max="1" width="14" customWidth="1"/>
    <col min="2" max="2" width="18" customWidth="1"/>
    <col min="3" max="5" width="14" customWidth="1"/>
    <col min="6" max="7" width="17" customWidth="1"/>
    <col min="8" max="8" width="14" customWidth="1"/>
    <col min="10" max="10" width="18" customWidth="1"/>
    <col min="11" max="11" width="16" customWidth="1"/>
  </cols>
  <sheetData>
    <row r="1" spans="1:11" ht="32" customHeight="1" x14ac:dyDescent="0.2">
      <c r="A1" s="13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x14ac:dyDescent="0.2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</row>
    <row r="5" spans="1:11" x14ac:dyDescent="0.2">
      <c r="A5" s="10" t="s">
        <v>2</v>
      </c>
      <c r="B5" s="9"/>
      <c r="D5" s="10" t="s">
        <v>3</v>
      </c>
      <c r="E5" s="9"/>
      <c r="G5" s="10" t="s">
        <v>4</v>
      </c>
      <c r="H5" s="9"/>
      <c r="J5" s="10" t="s">
        <v>5</v>
      </c>
      <c r="K5" s="9"/>
    </row>
    <row r="6" spans="1:11" x14ac:dyDescent="0.2">
      <c r="A6" s="12">
        <f>IFERROR(SUM(C11:C22)/(SUM(C11:C22)+SUM(D11:D22)+SUM(E11:E22)),0)</f>
        <v>1</v>
      </c>
      <c r="B6" s="9"/>
      <c r="D6" s="11">
        <f>SUM(D11:D22)</f>
        <v>0</v>
      </c>
      <c r="E6" s="9"/>
      <c r="G6" s="11">
        <f>SUM(H11:H22)</f>
        <v>0</v>
      </c>
      <c r="H6" s="9"/>
      <c r="J6" s="11">
        <f>SUM(F11:F22)</f>
        <v>25667</v>
      </c>
      <c r="K6" s="9"/>
    </row>
    <row r="7" spans="1:11" x14ac:dyDescent="0.2">
      <c r="A7" s="9"/>
      <c r="B7" s="9"/>
      <c r="D7" s="9"/>
      <c r="E7" s="9"/>
      <c r="G7" s="9"/>
      <c r="H7" s="9"/>
      <c r="J7" s="9"/>
      <c r="K7" s="9"/>
    </row>
    <row r="10" spans="1:11" x14ac:dyDescent="0.2">
      <c r="A10" s="1" t="s">
        <v>6</v>
      </c>
      <c r="B10" s="1" t="s">
        <v>7</v>
      </c>
      <c r="C10" s="1" t="s">
        <v>8</v>
      </c>
      <c r="D10" s="1" t="s">
        <v>9</v>
      </c>
      <c r="E10" s="1" t="s">
        <v>10</v>
      </c>
      <c r="F10" s="1" t="s">
        <v>11</v>
      </c>
      <c r="G10" s="1" t="s">
        <v>12</v>
      </c>
      <c r="H10" s="1" t="s">
        <v>13</v>
      </c>
      <c r="J10" s="1" t="s">
        <v>14</v>
      </c>
      <c r="K10" s="1" t="s">
        <v>15</v>
      </c>
    </row>
    <row r="11" spans="1:11" x14ac:dyDescent="0.2">
      <c r="A11" s="2" t="s">
        <v>16</v>
      </c>
      <c r="B11" s="2">
        <f t="shared" ref="B11:B22" si="0">C11+D11+E11+F11</f>
        <v>2139</v>
      </c>
      <c r="C11" s="2">
        <f>COUNTIF(Janeiro!F6:H718,"Online")</f>
        <v>1</v>
      </c>
      <c r="D11" s="2">
        <f>COUNTIF(Janeiro!F6:H718,"Offline")</f>
        <v>0</v>
      </c>
      <c r="E11" s="2">
        <f>COUNTIF(Janeiro!F6:H718,"Manutenção")</f>
        <v>0</v>
      </c>
      <c r="F11" s="2">
        <f>COUNTIF(Janeiro!F6:H718,"Não verificado")</f>
        <v>2138</v>
      </c>
      <c r="G11" s="3">
        <f t="shared" ref="G11:G22" si="1">IFERROR(C11/(C11+D11+E11),0)</f>
        <v>1</v>
      </c>
      <c r="H11" s="2">
        <f>COUNTA(Janeiro!I6:J718)</f>
        <v>0</v>
      </c>
      <c r="J11" s="2" t="s">
        <v>8</v>
      </c>
      <c r="K11" s="2">
        <f>SUM(C11:C22)</f>
        <v>1</v>
      </c>
    </row>
    <row r="12" spans="1:11" x14ac:dyDescent="0.2">
      <c r="A12" s="2" t="s">
        <v>17</v>
      </c>
      <c r="B12" s="2">
        <f t="shared" si="0"/>
        <v>2139</v>
      </c>
      <c r="C12" s="2">
        <f>COUNTIF(Fevereiro!F6:H718,"Online")</f>
        <v>0</v>
      </c>
      <c r="D12" s="2">
        <f>COUNTIF(Fevereiro!F6:H718,"Offline")</f>
        <v>0</v>
      </c>
      <c r="E12" s="2">
        <f>COUNTIF(Fevereiro!F6:H718,"Manutenção")</f>
        <v>0</v>
      </c>
      <c r="F12" s="2">
        <f>COUNTIF(Fevereiro!F6:H718,"Não verificado")</f>
        <v>2139</v>
      </c>
      <c r="G12" s="3">
        <f t="shared" si="1"/>
        <v>0</v>
      </c>
      <c r="H12" s="2">
        <f>COUNTA(Fevereiro!I6:J718)</f>
        <v>0</v>
      </c>
      <c r="J12" s="2" t="s">
        <v>9</v>
      </c>
      <c r="K12" s="2">
        <f>SUM(D11:D22)</f>
        <v>0</v>
      </c>
    </row>
    <row r="13" spans="1:11" x14ac:dyDescent="0.2">
      <c r="A13" s="2" t="s">
        <v>18</v>
      </c>
      <c r="B13" s="2">
        <f t="shared" si="0"/>
        <v>2139</v>
      </c>
      <c r="C13" s="2">
        <f>COUNTIF(Março!F6:H718,"Online")</f>
        <v>0</v>
      </c>
      <c r="D13" s="2">
        <f>COUNTIF(Março!F6:H718,"Offline")</f>
        <v>0</v>
      </c>
      <c r="E13" s="2">
        <f>COUNTIF(Março!F6:H718,"Manutenção")</f>
        <v>0</v>
      </c>
      <c r="F13" s="2">
        <f>COUNTIF(Março!F6:H718,"Não verificado")</f>
        <v>2139</v>
      </c>
      <c r="G13" s="3">
        <f t="shared" si="1"/>
        <v>0</v>
      </c>
      <c r="H13" s="2">
        <f>COUNTA(Março!I6:J718)</f>
        <v>0</v>
      </c>
      <c r="J13" s="2" t="s">
        <v>10</v>
      </c>
      <c r="K13" s="2">
        <f>SUM(E11:E22)</f>
        <v>0</v>
      </c>
    </row>
    <row r="14" spans="1:11" x14ac:dyDescent="0.2">
      <c r="A14" s="2" t="s">
        <v>19</v>
      </c>
      <c r="B14" s="2">
        <f t="shared" si="0"/>
        <v>2139</v>
      </c>
      <c r="C14" s="2">
        <f>COUNTIF(Abril!F6:H718,"Online")</f>
        <v>0</v>
      </c>
      <c r="D14" s="2">
        <f>COUNTIF(Abril!F6:H718,"Offline")</f>
        <v>0</v>
      </c>
      <c r="E14" s="2">
        <f>COUNTIF(Abril!F6:H718,"Manutenção")</f>
        <v>0</v>
      </c>
      <c r="F14" s="2">
        <f>COUNTIF(Abril!F6:H718,"Não verificado")</f>
        <v>2139</v>
      </c>
      <c r="G14" s="3">
        <f t="shared" si="1"/>
        <v>0</v>
      </c>
      <c r="H14" s="2">
        <f>COUNTA(Abril!I6:J718)</f>
        <v>0</v>
      </c>
      <c r="J14" s="2" t="s">
        <v>20</v>
      </c>
      <c r="K14" s="2">
        <f>SUM(F11:F22)</f>
        <v>25667</v>
      </c>
    </row>
    <row r="15" spans="1:11" x14ac:dyDescent="0.2">
      <c r="A15" s="2" t="s">
        <v>21</v>
      </c>
      <c r="B15" s="2">
        <f t="shared" si="0"/>
        <v>2139</v>
      </c>
      <c r="C15" s="2">
        <f>COUNTIF(Maio!F6:H718,"Online")</f>
        <v>0</v>
      </c>
      <c r="D15" s="2">
        <f>COUNTIF(Maio!F6:H718,"Offline")</f>
        <v>0</v>
      </c>
      <c r="E15" s="2">
        <f>COUNTIF(Maio!F6:H718,"Manutenção")</f>
        <v>0</v>
      </c>
      <c r="F15" s="2">
        <f>COUNTIF(Maio!F6:H718,"Não verificado")</f>
        <v>2139</v>
      </c>
      <c r="G15" s="3">
        <f t="shared" si="1"/>
        <v>0</v>
      </c>
      <c r="H15" s="2">
        <f>COUNTA(Maio!I6:J718)</f>
        <v>0</v>
      </c>
    </row>
    <row r="16" spans="1:11" x14ac:dyDescent="0.2">
      <c r="A16" s="2" t="s">
        <v>22</v>
      </c>
      <c r="B16" s="2">
        <f t="shared" si="0"/>
        <v>2139</v>
      </c>
      <c r="C16" s="2">
        <f>COUNTIF(Junho!F6:H718,"Online")</f>
        <v>0</v>
      </c>
      <c r="D16" s="2">
        <f>COUNTIF(Junho!F6:H718,"Offline")</f>
        <v>0</v>
      </c>
      <c r="E16" s="2">
        <f>COUNTIF(Junho!F6:H718,"Manutenção")</f>
        <v>0</v>
      </c>
      <c r="F16" s="2">
        <f>COUNTIF(Junho!F6:H718,"Não verificado")</f>
        <v>2139</v>
      </c>
      <c r="G16" s="3">
        <f t="shared" si="1"/>
        <v>0</v>
      </c>
      <c r="H16" s="2">
        <f>COUNTA(Junho!I6:J718)</f>
        <v>0</v>
      </c>
    </row>
    <row r="17" spans="1:8" x14ac:dyDescent="0.2">
      <c r="A17" s="2" t="s">
        <v>23</v>
      </c>
      <c r="B17" s="2">
        <f t="shared" si="0"/>
        <v>2139</v>
      </c>
      <c r="C17" s="2">
        <f>COUNTIF(Julho!F6:H718,"Online")</f>
        <v>0</v>
      </c>
      <c r="D17" s="2">
        <f>COUNTIF(Julho!F6:H718,"Offline")</f>
        <v>0</v>
      </c>
      <c r="E17" s="2">
        <f>COUNTIF(Julho!F6:H718,"Manutenção")</f>
        <v>0</v>
      </c>
      <c r="F17" s="2">
        <f>COUNTIF(Julho!F6:H718,"Não verificado")</f>
        <v>2139</v>
      </c>
      <c r="G17" s="3">
        <f t="shared" si="1"/>
        <v>0</v>
      </c>
      <c r="H17" s="2">
        <f>COUNTA(Julho!I6:J718)</f>
        <v>0</v>
      </c>
    </row>
    <row r="18" spans="1:8" x14ac:dyDescent="0.2">
      <c r="A18" s="2" t="s">
        <v>24</v>
      </c>
      <c r="B18" s="2">
        <f t="shared" si="0"/>
        <v>2139</v>
      </c>
      <c r="C18" s="2">
        <f>COUNTIF(Agosto!F6:H718,"Online")</f>
        <v>0</v>
      </c>
      <c r="D18" s="2">
        <f>COUNTIF(Agosto!F6:H718,"Offline")</f>
        <v>0</v>
      </c>
      <c r="E18" s="2">
        <f>COUNTIF(Agosto!F6:H718,"Manutenção")</f>
        <v>0</v>
      </c>
      <c r="F18" s="2">
        <f>COUNTIF(Agosto!F6:H718,"Não verificado")</f>
        <v>2139</v>
      </c>
      <c r="G18" s="3">
        <f t="shared" si="1"/>
        <v>0</v>
      </c>
      <c r="H18" s="2">
        <f>COUNTA(Agosto!I6:J718)</f>
        <v>0</v>
      </c>
    </row>
    <row r="19" spans="1:8" x14ac:dyDescent="0.2">
      <c r="A19" s="2" t="s">
        <v>25</v>
      </c>
      <c r="B19" s="2">
        <f t="shared" si="0"/>
        <v>2139</v>
      </c>
      <c r="C19" s="2">
        <f>COUNTIF(Setembro!F6:H718,"Online")</f>
        <v>0</v>
      </c>
      <c r="D19" s="2">
        <f>COUNTIF(Setembro!F6:H718,"Offline")</f>
        <v>0</v>
      </c>
      <c r="E19" s="2">
        <f>COUNTIF(Setembro!F6:H718,"Manutenção")</f>
        <v>0</v>
      </c>
      <c r="F19" s="2">
        <f>COUNTIF(Setembro!F6:H718,"Não verificado")</f>
        <v>2139</v>
      </c>
      <c r="G19" s="3">
        <f t="shared" si="1"/>
        <v>0</v>
      </c>
      <c r="H19" s="2">
        <f>COUNTA(Setembro!I6:J718)</f>
        <v>0</v>
      </c>
    </row>
    <row r="20" spans="1:8" x14ac:dyDescent="0.2">
      <c r="A20" s="2" t="s">
        <v>26</v>
      </c>
      <c r="B20" s="2">
        <f t="shared" si="0"/>
        <v>2139</v>
      </c>
      <c r="C20" s="2">
        <f>COUNTIF(Outubro!F6:H718,"Online")</f>
        <v>0</v>
      </c>
      <c r="D20" s="2">
        <f>COUNTIF(Outubro!F6:H718,"Offline")</f>
        <v>0</v>
      </c>
      <c r="E20" s="2">
        <f>COUNTIF(Outubro!F6:H718,"Manutenção")</f>
        <v>0</v>
      </c>
      <c r="F20" s="2">
        <f>COUNTIF(Outubro!F6:H718,"Não verificado")</f>
        <v>2139</v>
      </c>
      <c r="G20" s="3">
        <f t="shared" si="1"/>
        <v>0</v>
      </c>
      <c r="H20" s="2">
        <f>COUNTA(Outubro!I6:J718)</f>
        <v>0</v>
      </c>
    </row>
    <row r="21" spans="1:8" x14ac:dyDescent="0.2">
      <c r="A21" s="2" t="s">
        <v>27</v>
      </c>
      <c r="B21" s="2">
        <f t="shared" si="0"/>
        <v>2139</v>
      </c>
      <c r="C21" s="2">
        <f>COUNTIF(Novembro!F6:H718,"Online")</f>
        <v>0</v>
      </c>
      <c r="D21" s="2">
        <f>COUNTIF(Novembro!F6:H718,"Offline")</f>
        <v>0</v>
      </c>
      <c r="E21" s="2">
        <f>COUNTIF(Novembro!F6:H718,"Manutenção")</f>
        <v>0</v>
      </c>
      <c r="F21" s="2">
        <f>COUNTIF(Novembro!F6:H718,"Não verificado")</f>
        <v>2139</v>
      </c>
      <c r="G21" s="3">
        <f t="shared" si="1"/>
        <v>0</v>
      </c>
      <c r="H21" s="2">
        <f>COUNTA(Novembro!I6:J718)</f>
        <v>0</v>
      </c>
    </row>
    <row r="22" spans="1:8" x14ac:dyDescent="0.2">
      <c r="A22" s="2" t="s">
        <v>28</v>
      </c>
      <c r="B22" s="2">
        <f t="shared" si="0"/>
        <v>2139</v>
      </c>
      <c r="C22" s="2">
        <f>COUNTIF(Dezembro!F6:H718,"Online")</f>
        <v>0</v>
      </c>
      <c r="D22" s="2">
        <f>COUNTIF(Dezembro!F6:H718,"Offline")</f>
        <v>0</v>
      </c>
      <c r="E22" s="2">
        <f>COUNTIF(Dezembro!F6:H718,"Manutenção")</f>
        <v>0</v>
      </c>
      <c r="F22" s="2">
        <f>COUNTIF(Dezembro!F6:H718,"Não verificado")</f>
        <v>2139</v>
      </c>
      <c r="G22" s="3">
        <f t="shared" si="1"/>
        <v>0</v>
      </c>
      <c r="H22" s="2">
        <f>COUNTA(Dezembro!I6:J718)</f>
        <v>0</v>
      </c>
    </row>
  </sheetData>
  <mergeCells count="10">
    <mergeCell ref="A1:K1"/>
    <mergeCell ref="A3:K3"/>
    <mergeCell ref="J5:K5"/>
    <mergeCell ref="G6:H7"/>
    <mergeCell ref="J6:K7"/>
    <mergeCell ref="D5:E5"/>
    <mergeCell ref="A5:B5"/>
    <mergeCell ref="G5:H5"/>
    <mergeCell ref="A6:B7"/>
    <mergeCell ref="D6:E7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8.83203125" defaultRowHeight="15" x14ac:dyDescent="0.2"/>
  <cols>
    <col min="1" max="1" width="12" customWidth="1"/>
    <col min="2" max="2" width="26" customWidth="1"/>
    <col min="3" max="3" width="24" customWidth="1"/>
    <col min="4" max="4" width="18" customWidth="1"/>
    <col min="5" max="5" width="42" customWidth="1"/>
  </cols>
  <sheetData>
    <row r="1" spans="1:8" ht="30" customHeight="1" x14ac:dyDescent="0.2">
      <c r="A1" s="13" t="s">
        <v>29</v>
      </c>
      <c r="B1" s="9"/>
      <c r="C1" s="9"/>
      <c r="D1" s="9"/>
      <c r="E1" s="9"/>
      <c r="F1" s="9"/>
      <c r="G1" s="9"/>
      <c r="H1" s="9"/>
    </row>
    <row r="3" spans="1:8" x14ac:dyDescent="0.2">
      <c r="A3" s="4" t="s">
        <v>30</v>
      </c>
      <c r="B3" s="5">
        <v>2026</v>
      </c>
      <c r="D3" s="1" t="s">
        <v>14</v>
      </c>
      <c r="E3" s="1" t="s">
        <v>31</v>
      </c>
    </row>
    <row r="4" spans="1:8" x14ac:dyDescent="0.2">
      <c r="A4" s="4" t="s">
        <v>32</v>
      </c>
      <c r="B4" s="5" t="s">
        <v>33</v>
      </c>
      <c r="D4" t="s">
        <v>8</v>
      </c>
      <c r="E4" t="s">
        <v>34</v>
      </c>
    </row>
    <row r="5" spans="1:8" x14ac:dyDescent="0.2">
      <c r="D5" t="s">
        <v>9</v>
      </c>
      <c r="E5" t="s">
        <v>35</v>
      </c>
    </row>
    <row r="6" spans="1:8" x14ac:dyDescent="0.2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</row>
    <row r="7" spans="1:8" x14ac:dyDescent="0.2">
      <c r="A7" s="2" t="s">
        <v>41</v>
      </c>
      <c r="B7" s="2" t="s">
        <v>124</v>
      </c>
      <c r="C7" s="2"/>
      <c r="D7" s="2" t="s">
        <v>42</v>
      </c>
      <c r="E7" s="6"/>
    </row>
    <row r="8" spans="1:8" x14ac:dyDescent="0.2">
      <c r="A8" s="2" t="s">
        <v>43</v>
      </c>
      <c r="B8" s="2" t="s">
        <v>44</v>
      </c>
      <c r="C8" s="2"/>
      <c r="D8" s="2" t="s">
        <v>42</v>
      </c>
      <c r="E8" s="6"/>
    </row>
    <row r="9" spans="1:8" x14ac:dyDescent="0.2">
      <c r="A9" s="2" t="s">
        <v>45</v>
      </c>
      <c r="B9" s="2" t="s">
        <v>46</v>
      </c>
      <c r="C9" s="2"/>
      <c r="D9" s="2" t="s">
        <v>42</v>
      </c>
      <c r="E9" s="6"/>
    </row>
    <row r="10" spans="1:8" x14ac:dyDescent="0.2">
      <c r="A10" s="2" t="s">
        <v>47</v>
      </c>
      <c r="B10" s="2" t="s">
        <v>48</v>
      </c>
      <c r="C10" s="2"/>
      <c r="D10" s="2" t="s">
        <v>42</v>
      </c>
      <c r="E10" s="6"/>
    </row>
    <row r="11" spans="1:8" x14ac:dyDescent="0.2">
      <c r="A11" s="2" t="s">
        <v>49</v>
      </c>
      <c r="B11" s="2" t="s">
        <v>50</v>
      </c>
      <c r="C11" s="2"/>
      <c r="D11" s="2" t="s">
        <v>42</v>
      </c>
      <c r="E11" s="6"/>
    </row>
    <row r="12" spans="1:8" x14ac:dyDescent="0.2">
      <c r="A12" s="2" t="s">
        <v>51</v>
      </c>
      <c r="B12" s="2" t="s">
        <v>52</v>
      </c>
      <c r="C12" s="2"/>
      <c r="D12" s="2" t="s">
        <v>42</v>
      </c>
      <c r="E12" s="6"/>
    </row>
    <row r="13" spans="1:8" x14ac:dyDescent="0.2">
      <c r="A13" s="2" t="s">
        <v>53</v>
      </c>
      <c r="B13" s="2" t="s">
        <v>54</v>
      </c>
      <c r="C13" s="2"/>
      <c r="D13" s="2" t="s">
        <v>42</v>
      </c>
      <c r="E13" s="6"/>
    </row>
    <row r="14" spans="1:8" x14ac:dyDescent="0.2">
      <c r="A14" s="2" t="s">
        <v>55</v>
      </c>
      <c r="B14" s="2" t="s">
        <v>56</v>
      </c>
      <c r="C14" s="2"/>
      <c r="D14" s="2" t="s">
        <v>42</v>
      </c>
      <c r="E14" s="6"/>
    </row>
    <row r="15" spans="1:8" x14ac:dyDescent="0.2">
      <c r="A15" s="2" t="s">
        <v>57</v>
      </c>
      <c r="B15" s="2" t="s">
        <v>58</v>
      </c>
      <c r="C15" s="2"/>
      <c r="D15" s="2" t="s">
        <v>42</v>
      </c>
      <c r="E15" s="6"/>
    </row>
    <row r="16" spans="1:8" x14ac:dyDescent="0.2">
      <c r="A16" s="2" t="s">
        <v>59</v>
      </c>
      <c r="B16" s="2" t="s">
        <v>60</v>
      </c>
      <c r="C16" s="2"/>
      <c r="D16" s="2" t="s">
        <v>42</v>
      </c>
      <c r="E16" s="6"/>
    </row>
    <row r="17" spans="1:8" x14ac:dyDescent="0.2">
      <c r="A17" s="2" t="s">
        <v>61</v>
      </c>
      <c r="B17" s="2" t="s">
        <v>62</v>
      </c>
      <c r="C17" s="2"/>
      <c r="D17" s="2" t="s">
        <v>42</v>
      </c>
      <c r="E17" s="6"/>
    </row>
    <row r="18" spans="1:8" x14ac:dyDescent="0.2">
      <c r="A18" s="2" t="s">
        <v>63</v>
      </c>
      <c r="B18" s="2" t="s">
        <v>64</v>
      </c>
      <c r="C18" s="2"/>
      <c r="D18" s="2" t="s">
        <v>42</v>
      </c>
      <c r="E18" s="6"/>
    </row>
    <row r="19" spans="1:8" x14ac:dyDescent="0.2">
      <c r="A19" s="2" t="s">
        <v>65</v>
      </c>
      <c r="B19" s="2" t="s">
        <v>66</v>
      </c>
      <c r="C19" s="2"/>
      <c r="D19" s="2" t="s">
        <v>42</v>
      </c>
      <c r="E19" s="6"/>
    </row>
    <row r="20" spans="1:8" x14ac:dyDescent="0.2">
      <c r="A20" s="2" t="s">
        <v>67</v>
      </c>
      <c r="B20" s="2" t="s">
        <v>68</v>
      </c>
      <c r="C20" s="2"/>
      <c r="D20" s="2" t="s">
        <v>69</v>
      </c>
      <c r="E20" s="6"/>
    </row>
    <row r="21" spans="1:8" x14ac:dyDescent="0.2">
      <c r="A21" s="2" t="s">
        <v>70</v>
      </c>
      <c r="B21" s="2" t="s">
        <v>71</v>
      </c>
      <c r="C21" s="2"/>
      <c r="D21" s="2" t="s">
        <v>69</v>
      </c>
      <c r="E21" s="6"/>
    </row>
    <row r="22" spans="1:8" x14ac:dyDescent="0.2">
      <c r="A22" s="2" t="s">
        <v>72</v>
      </c>
      <c r="B22" s="2" t="s">
        <v>73</v>
      </c>
      <c r="C22" s="2"/>
      <c r="D22" s="2" t="s">
        <v>69</v>
      </c>
      <c r="E22" s="6"/>
    </row>
    <row r="23" spans="1:8" x14ac:dyDescent="0.2">
      <c r="A23" s="2" t="s">
        <v>74</v>
      </c>
      <c r="B23" s="2" t="s">
        <v>75</v>
      </c>
      <c r="C23" s="2"/>
      <c r="D23" s="2" t="s">
        <v>69</v>
      </c>
      <c r="E23" s="6"/>
    </row>
    <row r="24" spans="1:8" x14ac:dyDescent="0.2">
      <c r="A24" s="2" t="s">
        <v>76</v>
      </c>
      <c r="B24" s="2" t="s">
        <v>77</v>
      </c>
      <c r="C24" s="2"/>
      <c r="D24" s="2" t="s">
        <v>69</v>
      </c>
      <c r="E24" s="6"/>
    </row>
    <row r="25" spans="1:8" x14ac:dyDescent="0.2">
      <c r="A25" s="2" t="s">
        <v>78</v>
      </c>
      <c r="B25" s="2" t="s">
        <v>79</v>
      </c>
      <c r="C25" s="2"/>
      <c r="D25" s="2" t="s">
        <v>69</v>
      </c>
      <c r="E25" s="6"/>
    </row>
    <row r="26" spans="1:8" x14ac:dyDescent="0.2">
      <c r="A26" s="2" t="s">
        <v>80</v>
      </c>
      <c r="B26" s="2" t="s">
        <v>81</v>
      </c>
      <c r="C26" s="2"/>
      <c r="D26" s="2" t="s">
        <v>69</v>
      </c>
      <c r="E26" s="6"/>
    </row>
    <row r="27" spans="1:8" x14ac:dyDescent="0.2">
      <c r="A27" s="2" t="s">
        <v>82</v>
      </c>
      <c r="B27" s="2" t="s">
        <v>83</v>
      </c>
      <c r="C27" s="2"/>
      <c r="D27" s="2" t="s">
        <v>69</v>
      </c>
      <c r="E27" s="6"/>
    </row>
    <row r="28" spans="1:8" x14ac:dyDescent="0.2">
      <c r="A28" s="2" t="s">
        <v>84</v>
      </c>
      <c r="B28" s="2" t="s">
        <v>85</v>
      </c>
      <c r="C28" s="2"/>
      <c r="D28" s="2" t="s">
        <v>69</v>
      </c>
      <c r="E28" s="6"/>
    </row>
    <row r="29" spans="1:8" x14ac:dyDescent="0.2">
      <c r="A29" s="2" t="s">
        <v>86</v>
      </c>
      <c r="B29" s="2" t="s">
        <v>87</v>
      </c>
      <c r="C29" s="2"/>
      <c r="D29" s="2" t="s">
        <v>69</v>
      </c>
      <c r="E29" s="6"/>
    </row>
    <row r="31" spans="1:8" x14ac:dyDescent="0.2">
      <c r="A31" s="14" t="s">
        <v>88</v>
      </c>
      <c r="B31" s="9"/>
      <c r="C31" s="9"/>
      <c r="D31" s="9"/>
      <c r="E31" s="9"/>
      <c r="F31" s="9"/>
      <c r="G31" s="9"/>
      <c r="H31" s="9"/>
    </row>
  </sheetData>
  <mergeCells count="2">
    <mergeCell ref="A31:H31"/>
    <mergeCell ref="A1:H1"/>
  </mergeCells>
  <dataValidations count="1">
    <dataValidation type="list" sqref="D7:D29" xr:uid="{00000000-0002-0000-0100-000000000000}">
      <formula1>"Ativa,Futura,Inativa"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718"/>
  <sheetViews>
    <sheetView tabSelected="1" workbookViewId="0">
      <pane xSplit="5" ySplit="5" topLeftCell="F6" activePane="bottomRight" state="frozen"/>
      <selection pane="topRight"/>
      <selection pane="bottomLeft"/>
      <selection pane="bottomRight" activeCell="F6" sqref="F6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89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DATE(Configurações!$B$3,1,1)</f>
        <v>46023</v>
      </c>
      <c r="B6" s="2" t="str">
        <f t="shared" ref="B6:B69" si="0">TEXT(A6,"ddd")</f>
        <v>qui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8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1</v>
      </c>
      <c r="O6" s="3">
        <f>IFERROR(N6/(N6+N7+N8),0)</f>
        <v>1</v>
      </c>
      <c r="P6" s="2" t="s">
        <v>104</v>
      </c>
      <c r="Q6" s="2"/>
    </row>
    <row r="7" spans="1:17" x14ac:dyDescent="0.2">
      <c r="A7" s="7">
        <f>DATE(Configurações!$B$3,1,1)</f>
        <v>46023</v>
      </c>
      <c r="B7" s="2" t="str">
        <f t="shared" si="0"/>
        <v>qui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DATE(Configurações!$B$3,1,1)</f>
        <v>46023</v>
      </c>
      <c r="B8" s="2" t="str">
        <f t="shared" si="0"/>
        <v>qui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DATE(Configurações!$B$3,1,1)</f>
        <v>46023</v>
      </c>
      <c r="B9" s="2" t="str">
        <f t="shared" si="0"/>
        <v>qui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2138</v>
      </c>
      <c r="O9" s="3">
        <f>IFERROR(N9/(N6+N7+N8+N9),0)</f>
        <v>0.99953249181860682</v>
      </c>
      <c r="P9" s="2" t="s">
        <v>106</v>
      </c>
      <c r="Q9" s="2"/>
    </row>
    <row r="10" spans="1:17" x14ac:dyDescent="0.2">
      <c r="A10" s="7">
        <f>DATE(Configurações!$B$3,1,1)</f>
        <v>46023</v>
      </c>
      <c r="B10" s="2" t="str">
        <f t="shared" si="0"/>
        <v>qui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DATE(Configurações!$B$3,1,1)</f>
        <v>46023</v>
      </c>
      <c r="B11" s="2" t="str">
        <f t="shared" si="0"/>
        <v>qui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DATE(Configurações!$B$3,1,1)</f>
        <v>46023</v>
      </c>
      <c r="B12" s="2" t="str">
        <f t="shared" si="0"/>
        <v>qui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DATE(Configurações!$B$3,1,1)</f>
        <v>46023</v>
      </c>
      <c r="B13" s="2" t="str">
        <f t="shared" si="0"/>
        <v>qui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DATE(Configurações!$B$3,1,1)</f>
        <v>46023</v>
      </c>
      <c r="B14" s="2" t="str">
        <f t="shared" si="0"/>
        <v>qui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DATE(Configurações!$B$3,1,1)</f>
        <v>46023</v>
      </c>
      <c r="B15" s="2" t="str">
        <f t="shared" si="0"/>
        <v>qui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DATE(Configurações!$B$3,1,1)</f>
        <v>46023</v>
      </c>
      <c r="B16" s="2" t="str">
        <f t="shared" si="0"/>
        <v>qui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DATE(Configurações!$B$3,1,1)</f>
        <v>46023</v>
      </c>
      <c r="B17" s="2" t="str">
        <f t="shared" si="0"/>
        <v>qui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DATE(Configurações!$B$3,1,1)</f>
        <v>46023</v>
      </c>
      <c r="B18" s="2" t="str">
        <f t="shared" si="0"/>
        <v>qui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DATE(Configurações!$B$3,1,1)</f>
        <v>46023</v>
      </c>
      <c r="B19" s="2" t="str">
        <f t="shared" si="0"/>
        <v>qui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DATE(Configurações!$B$3,1,1)</f>
        <v>46023</v>
      </c>
      <c r="B20" s="2" t="str">
        <f t="shared" si="0"/>
        <v>qui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DATE(Configurações!$B$3,1,1)</f>
        <v>46023</v>
      </c>
      <c r="B21" s="2" t="str">
        <f t="shared" si="0"/>
        <v>qui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DATE(Configurações!$B$3,1,1)</f>
        <v>46023</v>
      </c>
      <c r="B22" s="2" t="str">
        <f t="shared" si="0"/>
        <v>qui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DATE(Configurações!$B$3,1,1)</f>
        <v>46023</v>
      </c>
      <c r="B23" s="2" t="str">
        <f t="shared" si="0"/>
        <v>qui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DATE(Configurações!$B$3,1,1)</f>
        <v>46023</v>
      </c>
      <c r="B24" s="2" t="str">
        <f t="shared" si="0"/>
        <v>qui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DATE(Configurações!$B$3,1,1)</f>
        <v>46023</v>
      </c>
      <c r="B25" s="2" t="str">
        <f t="shared" si="0"/>
        <v>qui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DATE(Configurações!$B$3,1,1)</f>
        <v>46023</v>
      </c>
      <c r="B26" s="2" t="str">
        <f t="shared" si="0"/>
        <v>qui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DATE(Configurações!$B$3,1,1)</f>
        <v>46023</v>
      </c>
      <c r="B27" s="2" t="str">
        <f t="shared" si="0"/>
        <v>qui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DATE(Configurações!$B$3,1,1)</f>
        <v>46023</v>
      </c>
      <c r="B28" s="2" t="str">
        <f t="shared" si="0"/>
        <v>qui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DATE(Configurações!$B$3,1,2)</f>
        <v>46024</v>
      </c>
      <c r="B29" s="2" t="str">
        <f t="shared" si="0"/>
        <v>sex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DATE(Configurações!$B$3,1,2)</f>
        <v>46024</v>
      </c>
      <c r="B30" s="2" t="str">
        <f t="shared" si="0"/>
        <v>sex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DATE(Configurações!$B$3,1,2)</f>
        <v>46024</v>
      </c>
      <c r="B31" s="2" t="str">
        <f t="shared" si="0"/>
        <v>sex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DATE(Configurações!$B$3,1,2)</f>
        <v>46024</v>
      </c>
      <c r="B32" s="2" t="str">
        <f t="shared" si="0"/>
        <v>sex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DATE(Configurações!$B$3,1,2)</f>
        <v>46024</v>
      </c>
      <c r="B33" s="2" t="str">
        <f t="shared" si="0"/>
        <v>sex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DATE(Configurações!$B$3,1,2)</f>
        <v>46024</v>
      </c>
      <c r="B34" s="2" t="str">
        <f t="shared" si="0"/>
        <v>sex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DATE(Configurações!$B$3,1,2)</f>
        <v>46024</v>
      </c>
      <c r="B35" s="2" t="str">
        <f t="shared" si="0"/>
        <v>sex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DATE(Configurações!$B$3,1,2)</f>
        <v>46024</v>
      </c>
      <c r="B36" s="2" t="str">
        <f t="shared" si="0"/>
        <v>sex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DATE(Configurações!$B$3,1,2)</f>
        <v>46024</v>
      </c>
      <c r="B37" s="2" t="str">
        <f t="shared" si="0"/>
        <v>sex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DATE(Configurações!$B$3,1,2)</f>
        <v>46024</v>
      </c>
      <c r="B38" s="2" t="str">
        <f t="shared" si="0"/>
        <v>sex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DATE(Configurações!$B$3,1,2)</f>
        <v>46024</v>
      </c>
      <c r="B39" s="2" t="str">
        <f t="shared" si="0"/>
        <v>sex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DATE(Configurações!$B$3,1,2)</f>
        <v>46024</v>
      </c>
      <c r="B40" s="2" t="str">
        <f t="shared" si="0"/>
        <v>sex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DATE(Configurações!$B$3,1,2)</f>
        <v>46024</v>
      </c>
      <c r="B41" s="2" t="str">
        <f t="shared" si="0"/>
        <v>sex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DATE(Configurações!$B$3,1,2)</f>
        <v>46024</v>
      </c>
      <c r="B42" s="2" t="str">
        <f t="shared" si="0"/>
        <v>sex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DATE(Configurações!$B$3,1,2)</f>
        <v>46024</v>
      </c>
      <c r="B43" s="2" t="str">
        <f t="shared" si="0"/>
        <v>sex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DATE(Configurações!$B$3,1,2)</f>
        <v>46024</v>
      </c>
      <c r="B44" s="2" t="str">
        <f t="shared" si="0"/>
        <v>sex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DATE(Configurações!$B$3,1,2)</f>
        <v>46024</v>
      </c>
      <c r="B45" s="2" t="str">
        <f t="shared" si="0"/>
        <v>sex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DATE(Configurações!$B$3,1,2)</f>
        <v>46024</v>
      </c>
      <c r="B46" s="2" t="str">
        <f t="shared" si="0"/>
        <v>sex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DATE(Configurações!$B$3,1,2)</f>
        <v>46024</v>
      </c>
      <c r="B47" s="2" t="str">
        <f t="shared" si="0"/>
        <v>sex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DATE(Configurações!$B$3,1,2)</f>
        <v>46024</v>
      </c>
      <c r="B48" s="2" t="str">
        <f t="shared" si="0"/>
        <v>sex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DATE(Configurações!$B$3,1,2)</f>
        <v>46024</v>
      </c>
      <c r="B49" s="2" t="str">
        <f t="shared" si="0"/>
        <v>sex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DATE(Configurações!$B$3,1,2)</f>
        <v>46024</v>
      </c>
      <c r="B50" s="2" t="str">
        <f t="shared" si="0"/>
        <v>sex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DATE(Configurações!$B$3,1,2)</f>
        <v>46024</v>
      </c>
      <c r="B51" s="2" t="str">
        <f t="shared" si="0"/>
        <v>sex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DATE(Configurações!$B$3,1,3)</f>
        <v>46025</v>
      </c>
      <c r="B52" s="2" t="str">
        <f t="shared" si="0"/>
        <v>sáb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DATE(Configurações!$B$3,1,3)</f>
        <v>46025</v>
      </c>
      <c r="B53" s="2" t="str">
        <f t="shared" si="0"/>
        <v>sáb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DATE(Configurações!$B$3,1,3)</f>
        <v>46025</v>
      </c>
      <c r="B54" s="2" t="str">
        <f t="shared" si="0"/>
        <v>sáb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DATE(Configurações!$B$3,1,3)</f>
        <v>46025</v>
      </c>
      <c r="B55" s="2" t="str">
        <f t="shared" si="0"/>
        <v>sáb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DATE(Configurações!$B$3,1,3)</f>
        <v>46025</v>
      </c>
      <c r="B56" s="2" t="str">
        <f t="shared" si="0"/>
        <v>sáb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DATE(Configurações!$B$3,1,3)</f>
        <v>46025</v>
      </c>
      <c r="B57" s="2" t="str">
        <f t="shared" si="0"/>
        <v>sáb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DATE(Configurações!$B$3,1,3)</f>
        <v>46025</v>
      </c>
      <c r="B58" s="2" t="str">
        <f t="shared" si="0"/>
        <v>sáb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DATE(Configurações!$B$3,1,3)</f>
        <v>46025</v>
      </c>
      <c r="B59" s="2" t="str">
        <f t="shared" si="0"/>
        <v>sáb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DATE(Configurações!$B$3,1,3)</f>
        <v>46025</v>
      </c>
      <c r="B60" s="2" t="str">
        <f t="shared" si="0"/>
        <v>sáb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DATE(Configurações!$B$3,1,3)</f>
        <v>46025</v>
      </c>
      <c r="B61" s="2" t="str">
        <f t="shared" si="0"/>
        <v>sáb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DATE(Configurações!$B$3,1,3)</f>
        <v>46025</v>
      </c>
      <c r="B62" s="2" t="str">
        <f t="shared" si="0"/>
        <v>sáb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DATE(Configurações!$B$3,1,3)</f>
        <v>46025</v>
      </c>
      <c r="B63" s="2" t="str">
        <f t="shared" si="0"/>
        <v>sáb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DATE(Configurações!$B$3,1,3)</f>
        <v>46025</v>
      </c>
      <c r="B64" s="2" t="str">
        <f t="shared" si="0"/>
        <v>sáb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DATE(Configurações!$B$3,1,3)</f>
        <v>46025</v>
      </c>
      <c r="B65" s="2" t="str">
        <f t="shared" si="0"/>
        <v>sáb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DATE(Configurações!$B$3,1,3)</f>
        <v>46025</v>
      </c>
      <c r="B66" s="2" t="str">
        <f t="shared" si="0"/>
        <v>sáb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DATE(Configurações!$B$3,1,3)</f>
        <v>46025</v>
      </c>
      <c r="B67" s="2" t="str">
        <f t="shared" si="0"/>
        <v>sáb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DATE(Configurações!$B$3,1,3)</f>
        <v>46025</v>
      </c>
      <c r="B68" s="2" t="str">
        <f t="shared" si="0"/>
        <v>sáb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DATE(Configurações!$B$3,1,3)</f>
        <v>46025</v>
      </c>
      <c r="B69" s="2" t="str">
        <f t="shared" si="0"/>
        <v>sáb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DATE(Configurações!$B$3,1,3)</f>
        <v>46025</v>
      </c>
      <c r="B70" s="2" t="str">
        <f t="shared" ref="B70:B133" si="1">TEXT(A70,"ddd")</f>
        <v>sáb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DATE(Configurações!$B$3,1,3)</f>
        <v>46025</v>
      </c>
      <c r="B71" s="2" t="str">
        <f t="shared" si="1"/>
        <v>sáb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DATE(Configurações!$B$3,1,3)</f>
        <v>46025</v>
      </c>
      <c r="B72" s="2" t="str">
        <f t="shared" si="1"/>
        <v>sáb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DATE(Configurações!$B$3,1,3)</f>
        <v>46025</v>
      </c>
      <c r="B73" s="2" t="str">
        <f t="shared" si="1"/>
        <v>sáb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DATE(Configurações!$B$3,1,3)</f>
        <v>46025</v>
      </c>
      <c r="B74" s="2" t="str">
        <f t="shared" si="1"/>
        <v>sáb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DATE(Configurações!$B$3,1,4)</f>
        <v>46026</v>
      </c>
      <c r="B75" s="2" t="str">
        <f t="shared" si="1"/>
        <v>dom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DATE(Configurações!$B$3,1,4)</f>
        <v>46026</v>
      </c>
      <c r="B76" s="2" t="str">
        <f t="shared" si="1"/>
        <v>dom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DATE(Configurações!$B$3,1,4)</f>
        <v>46026</v>
      </c>
      <c r="B77" s="2" t="str">
        <f t="shared" si="1"/>
        <v>dom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DATE(Configurações!$B$3,1,4)</f>
        <v>46026</v>
      </c>
      <c r="B78" s="2" t="str">
        <f t="shared" si="1"/>
        <v>dom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DATE(Configurações!$B$3,1,4)</f>
        <v>46026</v>
      </c>
      <c r="B79" s="2" t="str">
        <f t="shared" si="1"/>
        <v>dom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DATE(Configurações!$B$3,1,4)</f>
        <v>46026</v>
      </c>
      <c r="B80" s="2" t="str">
        <f t="shared" si="1"/>
        <v>dom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DATE(Configurações!$B$3,1,4)</f>
        <v>46026</v>
      </c>
      <c r="B81" s="2" t="str">
        <f t="shared" si="1"/>
        <v>dom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DATE(Configurações!$B$3,1,4)</f>
        <v>46026</v>
      </c>
      <c r="B82" s="2" t="str">
        <f t="shared" si="1"/>
        <v>dom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DATE(Configurações!$B$3,1,4)</f>
        <v>46026</v>
      </c>
      <c r="B83" s="2" t="str">
        <f t="shared" si="1"/>
        <v>dom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DATE(Configurações!$B$3,1,4)</f>
        <v>46026</v>
      </c>
      <c r="B84" s="2" t="str">
        <f t="shared" si="1"/>
        <v>dom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DATE(Configurações!$B$3,1,4)</f>
        <v>46026</v>
      </c>
      <c r="B85" s="2" t="str">
        <f t="shared" si="1"/>
        <v>dom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DATE(Configurações!$B$3,1,4)</f>
        <v>46026</v>
      </c>
      <c r="B86" s="2" t="str">
        <f t="shared" si="1"/>
        <v>dom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DATE(Configurações!$B$3,1,4)</f>
        <v>46026</v>
      </c>
      <c r="B87" s="2" t="str">
        <f t="shared" si="1"/>
        <v>dom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DATE(Configurações!$B$3,1,4)</f>
        <v>46026</v>
      </c>
      <c r="B88" s="2" t="str">
        <f t="shared" si="1"/>
        <v>dom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DATE(Configurações!$B$3,1,4)</f>
        <v>46026</v>
      </c>
      <c r="B89" s="2" t="str">
        <f t="shared" si="1"/>
        <v>dom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DATE(Configurações!$B$3,1,4)</f>
        <v>46026</v>
      </c>
      <c r="B90" s="2" t="str">
        <f t="shared" si="1"/>
        <v>dom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DATE(Configurações!$B$3,1,4)</f>
        <v>46026</v>
      </c>
      <c r="B91" s="2" t="str">
        <f t="shared" si="1"/>
        <v>dom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DATE(Configurações!$B$3,1,4)</f>
        <v>46026</v>
      </c>
      <c r="B92" s="2" t="str">
        <f t="shared" si="1"/>
        <v>dom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DATE(Configurações!$B$3,1,4)</f>
        <v>46026</v>
      </c>
      <c r="B93" s="2" t="str">
        <f t="shared" si="1"/>
        <v>dom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DATE(Configurações!$B$3,1,4)</f>
        <v>46026</v>
      </c>
      <c r="B94" s="2" t="str">
        <f t="shared" si="1"/>
        <v>dom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DATE(Configurações!$B$3,1,4)</f>
        <v>46026</v>
      </c>
      <c r="B95" s="2" t="str">
        <f t="shared" si="1"/>
        <v>dom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DATE(Configurações!$B$3,1,4)</f>
        <v>46026</v>
      </c>
      <c r="B96" s="2" t="str">
        <f t="shared" si="1"/>
        <v>dom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DATE(Configurações!$B$3,1,4)</f>
        <v>46026</v>
      </c>
      <c r="B97" s="2" t="str">
        <f t="shared" si="1"/>
        <v>dom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DATE(Configurações!$B$3,1,5)</f>
        <v>46027</v>
      </c>
      <c r="B98" s="2" t="str">
        <f t="shared" si="1"/>
        <v>seg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DATE(Configurações!$B$3,1,5)</f>
        <v>46027</v>
      </c>
      <c r="B99" s="2" t="str">
        <f t="shared" si="1"/>
        <v>seg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DATE(Configurações!$B$3,1,5)</f>
        <v>46027</v>
      </c>
      <c r="B100" s="2" t="str">
        <f t="shared" si="1"/>
        <v>seg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DATE(Configurações!$B$3,1,5)</f>
        <v>46027</v>
      </c>
      <c r="B101" s="2" t="str">
        <f t="shared" si="1"/>
        <v>seg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DATE(Configurações!$B$3,1,5)</f>
        <v>46027</v>
      </c>
      <c r="B102" s="2" t="str">
        <f t="shared" si="1"/>
        <v>seg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DATE(Configurações!$B$3,1,5)</f>
        <v>46027</v>
      </c>
      <c r="B103" s="2" t="str">
        <f t="shared" si="1"/>
        <v>seg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DATE(Configurações!$B$3,1,5)</f>
        <v>46027</v>
      </c>
      <c r="B104" s="2" t="str">
        <f t="shared" si="1"/>
        <v>seg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DATE(Configurações!$B$3,1,5)</f>
        <v>46027</v>
      </c>
      <c r="B105" s="2" t="str">
        <f t="shared" si="1"/>
        <v>seg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DATE(Configurações!$B$3,1,5)</f>
        <v>46027</v>
      </c>
      <c r="B106" s="2" t="str">
        <f t="shared" si="1"/>
        <v>seg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DATE(Configurações!$B$3,1,5)</f>
        <v>46027</v>
      </c>
      <c r="B107" s="2" t="str">
        <f t="shared" si="1"/>
        <v>seg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DATE(Configurações!$B$3,1,5)</f>
        <v>46027</v>
      </c>
      <c r="B108" s="2" t="str">
        <f t="shared" si="1"/>
        <v>seg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DATE(Configurações!$B$3,1,5)</f>
        <v>46027</v>
      </c>
      <c r="B109" s="2" t="str">
        <f t="shared" si="1"/>
        <v>seg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DATE(Configurações!$B$3,1,5)</f>
        <v>46027</v>
      </c>
      <c r="B110" s="2" t="str">
        <f t="shared" si="1"/>
        <v>seg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DATE(Configurações!$B$3,1,5)</f>
        <v>46027</v>
      </c>
      <c r="B111" s="2" t="str">
        <f t="shared" si="1"/>
        <v>seg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DATE(Configurações!$B$3,1,5)</f>
        <v>46027</v>
      </c>
      <c r="B112" s="2" t="str">
        <f t="shared" si="1"/>
        <v>seg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DATE(Configurações!$B$3,1,5)</f>
        <v>46027</v>
      </c>
      <c r="B113" s="2" t="str">
        <f t="shared" si="1"/>
        <v>seg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DATE(Configurações!$B$3,1,5)</f>
        <v>46027</v>
      </c>
      <c r="B114" s="2" t="str">
        <f t="shared" si="1"/>
        <v>seg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DATE(Configurações!$B$3,1,5)</f>
        <v>46027</v>
      </c>
      <c r="B115" s="2" t="str">
        <f t="shared" si="1"/>
        <v>seg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DATE(Configurações!$B$3,1,5)</f>
        <v>46027</v>
      </c>
      <c r="B116" s="2" t="str">
        <f t="shared" si="1"/>
        <v>seg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DATE(Configurações!$B$3,1,5)</f>
        <v>46027</v>
      </c>
      <c r="B117" s="2" t="str">
        <f t="shared" si="1"/>
        <v>seg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DATE(Configurações!$B$3,1,5)</f>
        <v>46027</v>
      </c>
      <c r="B118" s="2" t="str">
        <f t="shared" si="1"/>
        <v>seg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DATE(Configurações!$B$3,1,5)</f>
        <v>46027</v>
      </c>
      <c r="B119" s="2" t="str">
        <f t="shared" si="1"/>
        <v>seg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DATE(Configurações!$B$3,1,5)</f>
        <v>46027</v>
      </c>
      <c r="B120" s="2" t="str">
        <f t="shared" si="1"/>
        <v>seg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DATE(Configurações!$B$3,1,6)</f>
        <v>46028</v>
      </c>
      <c r="B121" s="2" t="str">
        <f t="shared" si="1"/>
        <v>ter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DATE(Configurações!$B$3,1,6)</f>
        <v>46028</v>
      </c>
      <c r="B122" s="2" t="str">
        <f t="shared" si="1"/>
        <v>ter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DATE(Configurações!$B$3,1,6)</f>
        <v>46028</v>
      </c>
      <c r="B123" s="2" t="str">
        <f t="shared" si="1"/>
        <v>ter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DATE(Configurações!$B$3,1,6)</f>
        <v>46028</v>
      </c>
      <c r="B124" s="2" t="str">
        <f t="shared" si="1"/>
        <v>ter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DATE(Configurações!$B$3,1,6)</f>
        <v>46028</v>
      </c>
      <c r="B125" s="2" t="str">
        <f t="shared" si="1"/>
        <v>ter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DATE(Configurações!$B$3,1,6)</f>
        <v>46028</v>
      </c>
      <c r="B126" s="2" t="str">
        <f t="shared" si="1"/>
        <v>ter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DATE(Configurações!$B$3,1,6)</f>
        <v>46028</v>
      </c>
      <c r="B127" s="2" t="str">
        <f t="shared" si="1"/>
        <v>ter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DATE(Configurações!$B$3,1,6)</f>
        <v>46028</v>
      </c>
      <c r="B128" s="2" t="str">
        <f t="shared" si="1"/>
        <v>ter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DATE(Configurações!$B$3,1,6)</f>
        <v>46028</v>
      </c>
      <c r="B129" s="2" t="str">
        <f t="shared" si="1"/>
        <v>ter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DATE(Configurações!$B$3,1,6)</f>
        <v>46028</v>
      </c>
      <c r="B130" s="2" t="str">
        <f t="shared" si="1"/>
        <v>ter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DATE(Configurações!$B$3,1,6)</f>
        <v>46028</v>
      </c>
      <c r="B131" s="2" t="str">
        <f t="shared" si="1"/>
        <v>ter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DATE(Configurações!$B$3,1,6)</f>
        <v>46028</v>
      </c>
      <c r="B132" s="2" t="str">
        <f t="shared" si="1"/>
        <v>ter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DATE(Configurações!$B$3,1,6)</f>
        <v>46028</v>
      </c>
      <c r="B133" s="2" t="str">
        <f t="shared" si="1"/>
        <v>ter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DATE(Configurações!$B$3,1,6)</f>
        <v>46028</v>
      </c>
      <c r="B134" s="2" t="str">
        <f t="shared" ref="B134:B197" si="2">TEXT(A134,"ddd")</f>
        <v>ter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DATE(Configurações!$B$3,1,6)</f>
        <v>46028</v>
      </c>
      <c r="B135" s="2" t="str">
        <f t="shared" si="2"/>
        <v>ter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DATE(Configurações!$B$3,1,6)</f>
        <v>46028</v>
      </c>
      <c r="B136" s="2" t="str">
        <f t="shared" si="2"/>
        <v>ter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DATE(Configurações!$B$3,1,6)</f>
        <v>46028</v>
      </c>
      <c r="B137" s="2" t="str">
        <f t="shared" si="2"/>
        <v>ter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DATE(Configurações!$B$3,1,6)</f>
        <v>46028</v>
      </c>
      <c r="B138" s="2" t="str">
        <f t="shared" si="2"/>
        <v>ter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DATE(Configurações!$B$3,1,6)</f>
        <v>46028</v>
      </c>
      <c r="B139" s="2" t="str">
        <f t="shared" si="2"/>
        <v>ter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DATE(Configurações!$B$3,1,6)</f>
        <v>46028</v>
      </c>
      <c r="B140" s="2" t="str">
        <f t="shared" si="2"/>
        <v>ter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DATE(Configurações!$B$3,1,6)</f>
        <v>46028</v>
      </c>
      <c r="B141" s="2" t="str">
        <f t="shared" si="2"/>
        <v>ter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DATE(Configurações!$B$3,1,6)</f>
        <v>46028</v>
      </c>
      <c r="B142" s="2" t="str">
        <f t="shared" si="2"/>
        <v>ter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DATE(Configurações!$B$3,1,6)</f>
        <v>46028</v>
      </c>
      <c r="B143" s="2" t="str">
        <f t="shared" si="2"/>
        <v>ter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DATE(Configurações!$B$3,1,7)</f>
        <v>46029</v>
      </c>
      <c r="B144" s="2" t="str">
        <f t="shared" si="2"/>
        <v>qua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DATE(Configurações!$B$3,1,7)</f>
        <v>46029</v>
      </c>
      <c r="B145" s="2" t="str">
        <f t="shared" si="2"/>
        <v>qua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DATE(Configurações!$B$3,1,7)</f>
        <v>46029</v>
      </c>
      <c r="B146" s="2" t="str">
        <f t="shared" si="2"/>
        <v>qua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DATE(Configurações!$B$3,1,7)</f>
        <v>46029</v>
      </c>
      <c r="B147" s="2" t="str">
        <f t="shared" si="2"/>
        <v>qua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DATE(Configurações!$B$3,1,7)</f>
        <v>46029</v>
      </c>
      <c r="B148" s="2" t="str">
        <f t="shared" si="2"/>
        <v>qua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DATE(Configurações!$B$3,1,7)</f>
        <v>46029</v>
      </c>
      <c r="B149" s="2" t="str">
        <f t="shared" si="2"/>
        <v>qua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DATE(Configurações!$B$3,1,7)</f>
        <v>46029</v>
      </c>
      <c r="B150" s="2" t="str">
        <f t="shared" si="2"/>
        <v>qua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DATE(Configurações!$B$3,1,7)</f>
        <v>46029</v>
      </c>
      <c r="B151" s="2" t="str">
        <f t="shared" si="2"/>
        <v>qua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DATE(Configurações!$B$3,1,7)</f>
        <v>46029</v>
      </c>
      <c r="B152" s="2" t="str">
        <f t="shared" si="2"/>
        <v>qua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DATE(Configurações!$B$3,1,7)</f>
        <v>46029</v>
      </c>
      <c r="B153" s="2" t="str">
        <f t="shared" si="2"/>
        <v>qua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DATE(Configurações!$B$3,1,7)</f>
        <v>46029</v>
      </c>
      <c r="B154" s="2" t="str">
        <f t="shared" si="2"/>
        <v>qua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DATE(Configurações!$B$3,1,7)</f>
        <v>46029</v>
      </c>
      <c r="B155" s="2" t="str">
        <f t="shared" si="2"/>
        <v>qua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DATE(Configurações!$B$3,1,7)</f>
        <v>46029</v>
      </c>
      <c r="B156" s="2" t="str">
        <f t="shared" si="2"/>
        <v>qua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DATE(Configurações!$B$3,1,7)</f>
        <v>46029</v>
      </c>
      <c r="B157" s="2" t="str">
        <f t="shared" si="2"/>
        <v>qua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DATE(Configurações!$B$3,1,7)</f>
        <v>46029</v>
      </c>
      <c r="B158" s="2" t="str">
        <f t="shared" si="2"/>
        <v>qua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DATE(Configurações!$B$3,1,7)</f>
        <v>46029</v>
      </c>
      <c r="B159" s="2" t="str">
        <f t="shared" si="2"/>
        <v>qua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DATE(Configurações!$B$3,1,7)</f>
        <v>46029</v>
      </c>
      <c r="B160" s="2" t="str">
        <f t="shared" si="2"/>
        <v>qua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DATE(Configurações!$B$3,1,7)</f>
        <v>46029</v>
      </c>
      <c r="B161" s="2" t="str">
        <f t="shared" si="2"/>
        <v>qua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DATE(Configurações!$B$3,1,7)</f>
        <v>46029</v>
      </c>
      <c r="B162" s="2" t="str">
        <f t="shared" si="2"/>
        <v>qua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DATE(Configurações!$B$3,1,7)</f>
        <v>46029</v>
      </c>
      <c r="B163" s="2" t="str">
        <f t="shared" si="2"/>
        <v>qua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DATE(Configurações!$B$3,1,7)</f>
        <v>46029</v>
      </c>
      <c r="B164" s="2" t="str">
        <f t="shared" si="2"/>
        <v>qua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DATE(Configurações!$B$3,1,7)</f>
        <v>46029</v>
      </c>
      <c r="B165" s="2" t="str">
        <f t="shared" si="2"/>
        <v>qua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DATE(Configurações!$B$3,1,7)</f>
        <v>46029</v>
      </c>
      <c r="B166" s="2" t="str">
        <f t="shared" si="2"/>
        <v>qua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DATE(Configurações!$B$3,1,8)</f>
        <v>46030</v>
      </c>
      <c r="B167" s="2" t="str">
        <f t="shared" si="2"/>
        <v>qui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DATE(Configurações!$B$3,1,8)</f>
        <v>46030</v>
      </c>
      <c r="B168" s="2" t="str">
        <f t="shared" si="2"/>
        <v>qui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DATE(Configurações!$B$3,1,8)</f>
        <v>46030</v>
      </c>
      <c r="B169" s="2" t="str">
        <f t="shared" si="2"/>
        <v>qui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DATE(Configurações!$B$3,1,8)</f>
        <v>46030</v>
      </c>
      <c r="B170" s="2" t="str">
        <f t="shared" si="2"/>
        <v>qui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DATE(Configurações!$B$3,1,8)</f>
        <v>46030</v>
      </c>
      <c r="B171" s="2" t="str">
        <f t="shared" si="2"/>
        <v>qui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DATE(Configurações!$B$3,1,8)</f>
        <v>46030</v>
      </c>
      <c r="B172" s="2" t="str">
        <f t="shared" si="2"/>
        <v>qui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DATE(Configurações!$B$3,1,8)</f>
        <v>46030</v>
      </c>
      <c r="B173" s="2" t="str">
        <f t="shared" si="2"/>
        <v>qui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DATE(Configurações!$B$3,1,8)</f>
        <v>46030</v>
      </c>
      <c r="B174" s="2" t="str">
        <f t="shared" si="2"/>
        <v>qui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DATE(Configurações!$B$3,1,8)</f>
        <v>46030</v>
      </c>
      <c r="B175" s="2" t="str">
        <f t="shared" si="2"/>
        <v>qui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DATE(Configurações!$B$3,1,8)</f>
        <v>46030</v>
      </c>
      <c r="B176" s="2" t="str">
        <f t="shared" si="2"/>
        <v>qui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DATE(Configurações!$B$3,1,8)</f>
        <v>46030</v>
      </c>
      <c r="B177" s="2" t="str">
        <f t="shared" si="2"/>
        <v>qui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DATE(Configurações!$B$3,1,8)</f>
        <v>46030</v>
      </c>
      <c r="B178" s="2" t="str">
        <f t="shared" si="2"/>
        <v>qui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DATE(Configurações!$B$3,1,8)</f>
        <v>46030</v>
      </c>
      <c r="B179" s="2" t="str">
        <f t="shared" si="2"/>
        <v>qui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DATE(Configurações!$B$3,1,8)</f>
        <v>46030</v>
      </c>
      <c r="B180" s="2" t="str">
        <f t="shared" si="2"/>
        <v>qui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DATE(Configurações!$B$3,1,8)</f>
        <v>46030</v>
      </c>
      <c r="B181" s="2" t="str">
        <f t="shared" si="2"/>
        <v>qui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DATE(Configurações!$B$3,1,8)</f>
        <v>46030</v>
      </c>
      <c r="B182" s="2" t="str">
        <f t="shared" si="2"/>
        <v>qui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DATE(Configurações!$B$3,1,8)</f>
        <v>46030</v>
      </c>
      <c r="B183" s="2" t="str">
        <f t="shared" si="2"/>
        <v>qui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DATE(Configurações!$B$3,1,8)</f>
        <v>46030</v>
      </c>
      <c r="B184" s="2" t="str">
        <f t="shared" si="2"/>
        <v>qui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DATE(Configurações!$B$3,1,8)</f>
        <v>46030</v>
      </c>
      <c r="B185" s="2" t="str">
        <f t="shared" si="2"/>
        <v>qui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DATE(Configurações!$B$3,1,8)</f>
        <v>46030</v>
      </c>
      <c r="B186" s="2" t="str">
        <f t="shared" si="2"/>
        <v>qui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DATE(Configurações!$B$3,1,8)</f>
        <v>46030</v>
      </c>
      <c r="B187" s="2" t="str">
        <f t="shared" si="2"/>
        <v>qui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DATE(Configurações!$B$3,1,8)</f>
        <v>46030</v>
      </c>
      <c r="B188" s="2" t="str">
        <f t="shared" si="2"/>
        <v>qui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DATE(Configurações!$B$3,1,8)</f>
        <v>46030</v>
      </c>
      <c r="B189" s="2" t="str">
        <f t="shared" si="2"/>
        <v>qui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DATE(Configurações!$B$3,1,9)</f>
        <v>46031</v>
      </c>
      <c r="B190" s="2" t="str">
        <f t="shared" si="2"/>
        <v>sex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DATE(Configurações!$B$3,1,9)</f>
        <v>46031</v>
      </c>
      <c r="B191" s="2" t="str">
        <f t="shared" si="2"/>
        <v>sex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DATE(Configurações!$B$3,1,9)</f>
        <v>46031</v>
      </c>
      <c r="B192" s="2" t="str">
        <f t="shared" si="2"/>
        <v>sex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DATE(Configurações!$B$3,1,9)</f>
        <v>46031</v>
      </c>
      <c r="B193" s="2" t="str">
        <f t="shared" si="2"/>
        <v>sex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DATE(Configurações!$B$3,1,9)</f>
        <v>46031</v>
      </c>
      <c r="B194" s="2" t="str">
        <f t="shared" si="2"/>
        <v>sex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DATE(Configurações!$B$3,1,9)</f>
        <v>46031</v>
      </c>
      <c r="B195" s="2" t="str">
        <f t="shared" si="2"/>
        <v>sex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DATE(Configurações!$B$3,1,9)</f>
        <v>46031</v>
      </c>
      <c r="B196" s="2" t="str">
        <f t="shared" si="2"/>
        <v>sex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DATE(Configurações!$B$3,1,9)</f>
        <v>46031</v>
      </c>
      <c r="B197" s="2" t="str">
        <f t="shared" si="2"/>
        <v>sex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DATE(Configurações!$B$3,1,9)</f>
        <v>46031</v>
      </c>
      <c r="B198" s="2" t="str">
        <f t="shared" ref="B198:B261" si="3">TEXT(A198,"ddd")</f>
        <v>sex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DATE(Configurações!$B$3,1,9)</f>
        <v>46031</v>
      </c>
      <c r="B199" s="2" t="str">
        <f t="shared" si="3"/>
        <v>sex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DATE(Configurações!$B$3,1,9)</f>
        <v>46031</v>
      </c>
      <c r="B200" s="2" t="str">
        <f t="shared" si="3"/>
        <v>sex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DATE(Configurações!$B$3,1,9)</f>
        <v>46031</v>
      </c>
      <c r="B201" s="2" t="str">
        <f t="shared" si="3"/>
        <v>sex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DATE(Configurações!$B$3,1,9)</f>
        <v>46031</v>
      </c>
      <c r="B202" s="2" t="str">
        <f t="shared" si="3"/>
        <v>sex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DATE(Configurações!$B$3,1,9)</f>
        <v>46031</v>
      </c>
      <c r="B203" s="2" t="str">
        <f t="shared" si="3"/>
        <v>sex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DATE(Configurações!$B$3,1,9)</f>
        <v>46031</v>
      </c>
      <c r="B204" s="2" t="str">
        <f t="shared" si="3"/>
        <v>sex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DATE(Configurações!$B$3,1,9)</f>
        <v>46031</v>
      </c>
      <c r="B205" s="2" t="str">
        <f t="shared" si="3"/>
        <v>sex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DATE(Configurações!$B$3,1,9)</f>
        <v>46031</v>
      </c>
      <c r="B206" s="2" t="str">
        <f t="shared" si="3"/>
        <v>sex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DATE(Configurações!$B$3,1,9)</f>
        <v>46031</v>
      </c>
      <c r="B207" s="2" t="str">
        <f t="shared" si="3"/>
        <v>sex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DATE(Configurações!$B$3,1,9)</f>
        <v>46031</v>
      </c>
      <c r="B208" s="2" t="str">
        <f t="shared" si="3"/>
        <v>sex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DATE(Configurações!$B$3,1,9)</f>
        <v>46031</v>
      </c>
      <c r="B209" s="2" t="str">
        <f t="shared" si="3"/>
        <v>sex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DATE(Configurações!$B$3,1,9)</f>
        <v>46031</v>
      </c>
      <c r="B210" s="2" t="str">
        <f t="shared" si="3"/>
        <v>sex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DATE(Configurações!$B$3,1,9)</f>
        <v>46031</v>
      </c>
      <c r="B211" s="2" t="str">
        <f t="shared" si="3"/>
        <v>sex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DATE(Configurações!$B$3,1,9)</f>
        <v>46031</v>
      </c>
      <c r="B212" s="2" t="str">
        <f t="shared" si="3"/>
        <v>sex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DATE(Configurações!$B$3,1,10)</f>
        <v>46032</v>
      </c>
      <c r="B213" s="2" t="str">
        <f t="shared" si="3"/>
        <v>sáb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DATE(Configurações!$B$3,1,10)</f>
        <v>46032</v>
      </c>
      <c r="B214" s="2" t="str">
        <f t="shared" si="3"/>
        <v>sáb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DATE(Configurações!$B$3,1,10)</f>
        <v>46032</v>
      </c>
      <c r="B215" s="2" t="str">
        <f t="shared" si="3"/>
        <v>sáb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DATE(Configurações!$B$3,1,10)</f>
        <v>46032</v>
      </c>
      <c r="B216" s="2" t="str">
        <f t="shared" si="3"/>
        <v>sáb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DATE(Configurações!$B$3,1,10)</f>
        <v>46032</v>
      </c>
      <c r="B217" s="2" t="str">
        <f t="shared" si="3"/>
        <v>sáb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DATE(Configurações!$B$3,1,10)</f>
        <v>46032</v>
      </c>
      <c r="B218" s="2" t="str">
        <f t="shared" si="3"/>
        <v>sáb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DATE(Configurações!$B$3,1,10)</f>
        <v>46032</v>
      </c>
      <c r="B219" s="2" t="str">
        <f t="shared" si="3"/>
        <v>sáb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DATE(Configurações!$B$3,1,10)</f>
        <v>46032</v>
      </c>
      <c r="B220" s="2" t="str">
        <f t="shared" si="3"/>
        <v>sáb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DATE(Configurações!$B$3,1,10)</f>
        <v>46032</v>
      </c>
      <c r="B221" s="2" t="str">
        <f t="shared" si="3"/>
        <v>sáb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DATE(Configurações!$B$3,1,10)</f>
        <v>46032</v>
      </c>
      <c r="B222" s="2" t="str">
        <f t="shared" si="3"/>
        <v>sáb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DATE(Configurações!$B$3,1,10)</f>
        <v>46032</v>
      </c>
      <c r="B223" s="2" t="str">
        <f t="shared" si="3"/>
        <v>sáb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DATE(Configurações!$B$3,1,10)</f>
        <v>46032</v>
      </c>
      <c r="B224" s="2" t="str">
        <f t="shared" si="3"/>
        <v>sáb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DATE(Configurações!$B$3,1,10)</f>
        <v>46032</v>
      </c>
      <c r="B225" s="2" t="str">
        <f t="shared" si="3"/>
        <v>sáb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DATE(Configurações!$B$3,1,10)</f>
        <v>46032</v>
      </c>
      <c r="B226" s="2" t="str">
        <f t="shared" si="3"/>
        <v>sáb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DATE(Configurações!$B$3,1,10)</f>
        <v>46032</v>
      </c>
      <c r="B227" s="2" t="str">
        <f t="shared" si="3"/>
        <v>sáb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DATE(Configurações!$B$3,1,10)</f>
        <v>46032</v>
      </c>
      <c r="B228" s="2" t="str">
        <f t="shared" si="3"/>
        <v>sáb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DATE(Configurações!$B$3,1,10)</f>
        <v>46032</v>
      </c>
      <c r="B229" s="2" t="str">
        <f t="shared" si="3"/>
        <v>sáb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DATE(Configurações!$B$3,1,10)</f>
        <v>46032</v>
      </c>
      <c r="B230" s="2" t="str">
        <f t="shared" si="3"/>
        <v>sáb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DATE(Configurações!$B$3,1,10)</f>
        <v>46032</v>
      </c>
      <c r="B231" s="2" t="str">
        <f t="shared" si="3"/>
        <v>sáb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DATE(Configurações!$B$3,1,10)</f>
        <v>46032</v>
      </c>
      <c r="B232" s="2" t="str">
        <f t="shared" si="3"/>
        <v>sáb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DATE(Configurações!$B$3,1,10)</f>
        <v>46032</v>
      </c>
      <c r="B233" s="2" t="str">
        <f t="shared" si="3"/>
        <v>sáb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DATE(Configurações!$B$3,1,10)</f>
        <v>46032</v>
      </c>
      <c r="B234" s="2" t="str">
        <f t="shared" si="3"/>
        <v>sáb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DATE(Configurações!$B$3,1,10)</f>
        <v>46032</v>
      </c>
      <c r="B235" s="2" t="str">
        <f t="shared" si="3"/>
        <v>sáb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DATE(Configurações!$B$3,1,11)</f>
        <v>46033</v>
      </c>
      <c r="B236" s="2" t="str">
        <f t="shared" si="3"/>
        <v>dom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DATE(Configurações!$B$3,1,11)</f>
        <v>46033</v>
      </c>
      <c r="B237" s="2" t="str">
        <f t="shared" si="3"/>
        <v>dom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DATE(Configurações!$B$3,1,11)</f>
        <v>46033</v>
      </c>
      <c r="B238" s="2" t="str">
        <f t="shared" si="3"/>
        <v>dom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DATE(Configurações!$B$3,1,11)</f>
        <v>46033</v>
      </c>
      <c r="B239" s="2" t="str">
        <f t="shared" si="3"/>
        <v>dom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DATE(Configurações!$B$3,1,11)</f>
        <v>46033</v>
      </c>
      <c r="B240" s="2" t="str">
        <f t="shared" si="3"/>
        <v>dom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DATE(Configurações!$B$3,1,11)</f>
        <v>46033</v>
      </c>
      <c r="B241" s="2" t="str">
        <f t="shared" si="3"/>
        <v>dom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DATE(Configurações!$B$3,1,11)</f>
        <v>46033</v>
      </c>
      <c r="B242" s="2" t="str">
        <f t="shared" si="3"/>
        <v>dom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DATE(Configurações!$B$3,1,11)</f>
        <v>46033</v>
      </c>
      <c r="B243" s="2" t="str">
        <f t="shared" si="3"/>
        <v>dom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DATE(Configurações!$B$3,1,11)</f>
        <v>46033</v>
      </c>
      <c r="B244" s="2" t="str">
        <f t="shared" si="3"/>
        <v>dom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DATE(Configurações!$B$3,1,11)</f>
        <v>46033</v>
      </c>
      <c r="B245" s="2" t="str">
        <f t="shared" si="3"/>
        <v>dom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DATE(Configurações!$B$3,1,11)</f>
        <v>46033</v>
      </c>
      <c r="B246" s="2" t="str">
        <f t="shared" si="3"/>
        <v>dom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DATE(Configurações!$B$3,1,11)</f>
        <v>46033</v>
      </c>
      <c r="B247" s="2" t="str">
        <f t="shared" si="3"/>
        <v>dom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DATE(Configurações!$B$3,1,11)</f>
        <v>46033</v>
      </c>
      <c r="B248" s="2" t="str">
        <f t="shared" si="3"/>
        <v>dom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DATE(Configurações!$B$3,1,11)</f>
        <v>46033</v>
      </c>
      <c r="B249" s="2" t="str">
        <f t="shared" si="3"/>
        <v>dom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DATE(Configurações!$B$3,1,11)</f>
        <v>46033</v>
      </c>
      <c r="B250" s="2" t="str">
        <f t="shared" si="3"/>
        <v>dom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DATE(Configurações!$B$3,1,11)</f>
        <v>46033</v>
      </c>
      <c r="B251" s="2" t="str">
        <f t="shared" si="3"/>
        <v>dom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DATE(Configurações!$B$3,1,11)</f>
        <v>46033</v>
      </c>
      <c r="B252" s="2" t="str">
        <f t="shared" si="3"/>
        <v>dom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DATE(Configurações!$B$3,1,11)</f>
        <v>46033</v>
      </c>
      <c r="B253" s="2" t="str">
        <f t="shared" si="3"/>
        <v>dom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DATE(Configurações!$B$3,1,11)</f>
        <v>46033</v>
      </c>
      <c r="B254" s="2" t="str">
        <f t="shared" si="3"/>
        <v>dom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DATE(Configurações!$B$3,1,11)</f>
        <v>46033</v>
      </c>
      <c r="B255" s="2" t="str">
        <f t="shared" si="3"/>
        <v>dom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DATE(Configurações!$B$3,1,11)</f>
        <v>46033</v>
      </c>
      <c r="B256" s="2" t="str">
        <f t="shared" si="3"/>
        <v>dom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DATE(Configurações!$B$3,1,11)</f>
        <v>46033</v>
      </c>
      <c r="B257" s="2" t="str">
        <f t="shared" si="3"/>
        <v>dom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DATE(Configurações!$B$3,1,11)</f>
        <v>46033</v>
      </c>
      <c r="B258" s="2" t="str">
        <f t="shared" si="3"/>
        <v>dom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DATE(Configurações!$B$3,1,12)</f>
        <v>46034</v>
      </c>
      <c r="B259" s="2" t="str">
        <f t="shared" si="3"/>
        <v>seg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DATE(Configurações!$B$3,1,12)</f>
        <v>46034</v>
      </c>
      <c r="B260" s="2" t="str">
        <f t="shared" si="3"/>
        <v>seg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DATE(Configurações!$B$3,1,12)</f>
        <v>46034</v>
      </c>
      <c r="B261" s="2" t="str">
        <f t="shared" si="3"/>
        <v>seg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DATE(Configurações!$B$3,1,12)</f>
        <v>46034</v>
      </c>
      <c r="B262" s="2" t="str">
        <f t="shared" ref="B262:B325" si="4">TEXT(A262,"ddd")</f>
        <v>seg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DATE(Configurações!$B$3,1,12)</f>
        <v>46034</v>
      </c>
      <c r="B263" s="2" t="str">
        <f t="shared" si="4"/>
        <v>seg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DATE(Configurações!$B$3,1,12)</f>
        <v>46034</v>
      </c>
      <c r="B264" s="2" t="str">
        <f t="shared" si="4"/>
        <v>seg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DATE(Configurações!$B$3,1,12)</f>
        <v>46034</v>
      </c>
      <c r="B265" s="2" t="str">
        <f t="shared" si="4"/>
        <v>seg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DATE(Configurações!$B$3,1,12)</f>
        <v>46034</v>
      </c>
      <c r="B266" s="2" t="str">
        <f t="shared" si="4"/>
        <v>seg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DATE(Configurações!$B$3,1,12)</f>
        <v>46034</v>
      </c>
      <c r="B267" s="2" t="str">
        <f t="shared" si="4"/>
        <v>seg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DATE(Configurações!$B$3,1,12)</f>
        <v>46034</v>
      </c>
      <c r="B268" s="2" t="str">
        <f t="shared" si="4"/>
        <v>seg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DATE(Configurações!$B$3,1,12)</f>
        <v>46034</v>
      </c>
      <c r="B269" s="2" t="str">
        <f t="shared" si="4"/>
        <v>seg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DATE(Configurações!$B$3,1,12)</f>
        <v>46034</v>
      </c>
      <c r="B270" s="2" t="str">
        <f t="shared" si="4"/>
        <v>seg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DATE(Configurações!$B$3,1,12)</f>
        <v>46034</v>
      </c>
      <c r="B271" s="2" t="str">
        <f t="shared" si="4"/>
        <v>seg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DATE(Configurações!$B$3,1,12)</f>
        <v>46034</v>
      </c>
      <c r="B272" s="2" t="str">
        <f t="shared" si="4"/>
        <v>seg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DATE(Configurações!$B$3,1,12)</f>
        <v>46034</v>
      </c>
      <c r="B273" s="2" t="str">
        <f t="shared" si="4"/>
        <v>seg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DATE(Configurações!$B$3,1,12)</f>
        <v>46034</v>
      </c>
      <c r="B274" s="2" t="str">
        <f t="shared" si="4"/>
        <v>seg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DATE(Configurações!$B$3,1,12)</f>
        <v>46034</v>
      </c>
      <c r="B275" s="2" t="str">
        <f t="shared" si="4"/>
        <v>seg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DATE(Configurações!$B$3,1,12)</f>
        <v>46034</v>
      </c>
      <c r="B276" s="2" t="str">
        <f t="shared" si="4"/>
        <v>seg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DATE(Configurações!$B$3,1,12)</f>
        <v>46034</v>
      </c>
      <c r="B277" s="2" t="str">
        <f t="shared" si="4"/>
        <v>seg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DATE(Configurações!$B$3,1,12)</f>
        <v>46034</v>
      </c>
      <c r="B278" s="2" t="str">
        <f t="shared" si="4"/>
        <v>seg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DATE(Configurações!$B$3,1,12)</f>
        <v>46034</v>
      </c>
      <c r="B279" s="2" t="str">
        <f t="shared" si="4"/>
        <v>seg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DATE(Configurações!$B$3,1,12)</f>
        <v>46034</v>
      </c>
      <c r="B280" s="2" t="str">
        <f t="shared" si="4"/>
        <v>seg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DATE(Configurações!$B$3,1,12)</f>
        <v>46034</v>
      </c>
      <c r="B281" s="2" t="str">
        <f t="shared" si="4"/>
        <v>seg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DATE(Configurações!$B$3,1,13)</f>
        <v>46035</v>
      </c>
      <c r="B282" s="2" t="str">
        <f t="shared" si="4"/>
        <v>ter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DATE(Configurações!$B$3,1,13)</f>
        <v>46035</v>
      </c>
      <c r="B283" s="2" t="str">
        <f t="shared" si="4"/>
        <v>ter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DATE(Configurações!$B$3,1,13)</f>
        <v>46035</v>
      </c>
      <c r="B284" s="2" t="str">
        <f t="shared" si="4"/>
        <v>ter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DATE(Configurações!$B$3,1,13)</f>
        <v>46035</v>
      </c>
      <c r="B285" s="2" t="str">
        <f t="shared" si="4"/>
        <v>ter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DATE(Configurações!$B$3,1,13)</f>
        <v>46035</v>
      </c>
      <c r="B286" s="2" t="str">
        <f t="shared" si="4"/>
        <v>ter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DATE(Configurações!$B$3,1,13)</f>
        <v>46035</v>
      </c>
      <c r="B287" s="2" t="str">
        <f t="shared" si="4"/>
        <v>ter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DATE(Configurações!$B$3,1,13)</f>
        <v>46035</v>
      </c>
      <c r="B288" s="2" t="str">
        <f t="shared" si="4"/>
        <v>ter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DATE(Configurações!$B$3,1,13)</f>
        <v>46035</v>
      </c>
      <c r="B289" s="2" t="str">
        <f t="shared" si="4"/>
        <v>ter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DATE(Configurações!$B$3,1,13)</f>
        <v>46035</v>
      </c>
      <c r="B290" s="2" t="str">
        <f t="shared" si="4"/>
        <v>ter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DATE(Configurações!$B$3,1,13)</f>
        <v>46035</v>
      </c>
      <c r="B291" s="2" t="str">
        <f t="shared" si="4"/>
        <v>ter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DATE(Configurações!$B$3,1,13)</f>
        <v>46035</v>
      </c>
      <c r="B292" s="2" t="str">
        <f t="shared" si="4"/>
        <v>ter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DATE(Configurações!$B$3,1,13)</f>
        <v>46035</v>
      </c>
      <c r="B293" s="2" t="str">
        <f t="shared" si="4"/>
        <v>ter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DATE(Configurações!$B$3,1,13)</f>
        <v>46035</v>
      </c>
      <c r="B294" s="2" t="str">
        <f t="shared" si="4"/>
        <v>ter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DATE(Configurações!$B$3,1,13)</f>
        <v>46035</v>
      </c>
      <c r="B295" s="2" t="str">
        <f t="shared" si="4"/>
        <v>ter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DATE(Configurações!$B$3,1,13)</f>
        <v>46035</v>
      </c>
      <c r="B296" s="2" t="str">
        <f t="shared" si="4"/>
        <v>ter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DATE(Configurações!$B$3,1,13)</f>
        <v>46035</v>
      </c>
      <c r="B297" s="2" t="str">
        <f t="shared" si="4"/>
        <v>ter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DATE(Configurações!$B$3,1,13)</f>
        <v>46035</v>
      </c>
      <c r="B298" s="2" t="str">
        <f t="shared" si="4"/>
        <v>ter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DATE(Configurações!$B$3,1,13)</f>
        <v>46035</v>
      </c>
      <c r="B299" s="2" t="str">
        <f t="shared" si="4"/>
        <v>ter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DATE(Configurações!$B$3,1,13)</f>
        <v>46035</v>
      </c>
      <c r="B300" s="2" t="str">
        <f t="shared" si="4"/>
        <v>ter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DATE(Configurações!$B$3,1,13)</f>
        <v>46035</v>
      </c>
      <c r="B301" s="2" t="str">
        <f t="shared" si="4"/>
        <v>ter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DATE(Configurações!$B$3,1,13)</f>
        <v>46035</v>
      </c>
      <c r="B302" s="2" t="str">
        <f t="shared" si="4"/>
        <v>ter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DATE(Configurações!$B$3,1,13)</f>
        <v>46035</v>
      </c>
      <c r="B303" s="2" t="str">
        <f t="shared" si="4"/>
        <v>ter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DATE(Configurações!$B$3,1,13)</f>
        <v>46035</v>
      </c>
      <c r="B304" s="2" t="str">
        <f t="shared" si="4"/>
        <v>ter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DATE(Configurações!$B$3,1,14)</f>
        <v>46036</v>
      </c>
      <c r="B305" s="2" t="str">
        <f t="shared" si="4"/>
        <v>qua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DATE(Configurações!$B$3,1,14)</f>
        <v>46036</v>
      </c>
      <c r="B306" s="2" t="str">
        <f t="shared" si="4"/>
        <v>qua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DATE(Configurações!$B$3,1,14)</f>
        <v>46036</v>
      </c>
      <c r="B307" s="2" t="str">
        <f t="shared" si="4"/>
        <v>qua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DATE(Configurações!$B$3,1,14)</f>
        <v>46036</v>
      </c>
      <c r="B308" s="2" t="str">
        <f t="shared" si="4"/>
        <v>qua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DATE(Configurações!$B$3,1,14)</f>
        <v>46036</v>
      </c>
      <c r="B309" s="2" t="str">
        <f t="shared" si="4"/>
        <v>qua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DATE(Configurações!$B$3,1,14)</f>
        <v>46036</v>
      </c>
      <c r="B310" s="2" t="str">
        <f t="shared" si="4"/>
        <v>qua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DATE(Configurações!$B$3,1,14)</f>
        <v>46036</v>
      </c>
      <c r="B311" s="2" t="str">
        <f t="shared" si="4"/>
        <v>qua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DATE(Configurações!$B$3,1,14)</f>
        <v>46036</v>
      </c>
      <c r="B312" s="2" t="str">
        <f t="shared" si="4"/>
        <v>qua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DATE(Configurações!$B$3,1,14)</f>
        <v>46036</v>
      </c>
      <c r="B313" s="2" t="str">
        <f t="shared" si="4"/>
        <v>qua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DATE(Configurações!$B$3,1,14)</f>
        <v>46036</v>
      </c>
      <c r="B314" s="2" t="str">
        <f t="shared" si="4"/>
        <v>qua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DATE(Configurações!$B$3,1,14)</f>
        <v>46036</v>
      </c>
      <c r="B315" s="2" t="str">
        <f t="shared" si="4"/>
        <v>qua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DATE(Configurações!$B$3,1,14)</f>
        <v>46036</v>
      </c>
      <c r="B316" s="2" t="str">
        <f t="shared" si="4"/>
        <v>qua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DATE(Configurações!$B$3,1,14)</f>
        <v>46036</v>
      </c>
      <c r="B317" s="2" t="str">
        <f t="shared" si="4"/>
        <v>qua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DATE(Configurações!$B$3,1,14)</f>
        <v>46036</v>
      </c>
      <c r="B318" s="2" t="str">
        <f t="shared" si="4"/>
        <v>qua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DATE(Configurações!$B$3,1,14)</f>
        <v>46036</v>
      </c>
      <c r="B319" s="2" t="str">
        <f t="shared" si="4"/>
        <v>qua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DATE(Configurações!$B$3,1,14)</f>
        <v>46036</v>
      </c>
      <c r="B320" s="2" t="str">
        <f t="shared" si="4"/>
        <v>qua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DATE(Configurações!$B$3,1,14)</f>
        <v>46036</v>
      </c>
      <c r="B321" s="2" t="str">
        <f t="shared" si="4"/>
        <v>qua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DATE(Configurações!$B$3,1,14)</f>
        <v>46036</v>
      </c>
      <c r="B322" s="2" t="str">
        <f t="shared" si="4"/>
        <v>qua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DATE(Configurações!$B$3,1,14)</f>
        <v>46036</v>
      </c>
      <c r="B323" s="2" t="str">
        <f t="shared" si="4"/>
        <v>qua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DATE(Configurações!$B$3,1,14)</f>
        <v>46036</v>
      </c>
      <c r="B324" s="2" t="str">
        <f t="shared" si="4"/>
        <v>qua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DATE(Configurações!$B$3,1,14)</f>
        <v>46036</v>
      </c>
      <c r="B325" s="2" t="str">
        <f t="shared" si="4"/>
        <v>qua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DATE(Configurações!$B$3,1,14)</f>
        <v>46036</v>
      </c>
      <c r="B326" s="2" t="str">
        <f t="shared" ref="B326:B389" si="5">TEXT(A326,"ddd")</f>
        <v>qua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DATE(Configurações!$B$3,1,14)</f>
        <v>46036</v>
      </c>
      <c r="B327" s="2" t="str">
        <f t="shared" si="5"/>
        <v>qua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DATE(Configurações!$B$3,1,15)</f>
        <v>46037</v>
      </c>
      <c r="B328" s="2" t="str">
        <f t="shared" si="5"/>
        <v>qui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DATE(Configurações!$B$3,1,15)</f>
        <v>46037</v>
      </c>
      <c r="B329" s="2" t="str">
        <f t="shared" si="5"/>
        <v>qui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DATE(Configurações!$B$3,1,15)</f>
        <v>46037</v>
      </c>
      <c r="B330" s="2" t="str">
        <f t="shared" si="5"/>
        <v>qui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DATE(Configurações!$B$3,1,15)</f>
        <v>46037</v>
      </c>
      <c r="B331" s="2" t="str">
        <f t="shared" si="5"/>
        <v>qui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DATE(Configurações!$B$3,1,15)</f>
        <v>46037</v>
      </c>
      <c r="B332" s="2" t="str">
        <f t="shared" si="5"/>
        <v>qui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DATE(Configurações!$B$3,1,15)</f>
        <v>46037</v>
      </c>
      <c r="B333" s="2" t="str">
        <f t="shared" si="5"/>
        <v>qui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DATE(Configurações!$B$3,1,15)</f>
        <v>46037</v>
      </c>
      <c r="B334" s="2" t="str">
        <f t="shared" si="5"/>
        <v>qui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DATE(Configurações!$B$3,1,15)</f>
        <v>46037</v>
      </c>
      <c r="B335" s="2" t="str">
        <f t="shared" si="5"/>
        <v>qui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DATE(Configurações!$B$3,1,15)</f>
        <v>46037</v>
      </c>
      <c r="B336" s="2" t="str">
        <f t="shared" si="5"/>
        <v>qui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DATE(Configurações!$B$3,1,15)</f>
        <v>46037</v>
      </c>
      <c r="B337" s="2" t="str">
        <f t="shared" si="5"/>
        <v>qui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DATE(Configurações!$B$3,1,15)</f>
        <v>46037</v>
      </c>
      <c r="B338" s="2" t="str">
        <f t="shared" si="5"/>
        <v>qui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DATE(Configurações!$B$3,1,15)</f>
        <v>46037</v>
      </c>
      <c r="B339" s="2" t="str">
        <f t="shared" si="5"/>
        <v>qui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DATE(Configurações!$B$3,1,15)</f>
        <v>46037</v>
      </c>
      <c r="B340" s="2" t="str">
        <f t="shared" si="5"/>
        <v>qui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DATE(Configurações!$B$3,1,15)</f>
        <v>46037</v>
      </c>
      <c r="B341" s="2" t="str">
        <f t="shared" si="5"/>
        <v>qui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DATE(Configurações!$B$3,1,15)</f>
        <v>46037</v>
      </c>
      <c r="B342" s="2" t="str">
        <f t="shared" si="5"/>
        <v>qui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DATE(Configurações!$B$3,1,15)</f>
        <v>46037</v>
      </c>
      <c r="B343" s="2" t="str">
        <f t="shared" si="5"/>
        <v>qui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DATE(Configurações!$B$3,1,15)</f>
        <v>46037</v>
      </c>
      <c r="B344" s="2" t="str">
        <f t="shared" si="5"/>
        <v>qui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DATE(Configurações!$B$3,1,15)</f>
        <v>46037</v>
      </c>
      <c r="B345" s="2" t="str">
        <f t="shared" si="5"/>
        <v>qui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DATE(Configurações!$B$3,1,15)</f>
        <v>46037</v>
      </c>
      <c r="B346" s="2" t="str">
        <f t="shared" si="5"/>
        <v>qui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DATE(Configurações!$B$3,1,15)</f>
        <v>46037</v>
      </c>
      <c r="B347" s="2" t="str">
        <f t="shared" si="5"/>
        <v>qui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DATE(Configurações!$B$3,1,15)</f>
        <v>46037</v>
      </c>
      <c r="B348" s="2" t="str">
        <f t="shared" si="5"/>
        <v>qui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DATE(Configurações!$B$3,1,15)</f>
        <v>46037</v>
      </c>
      <c r="B349" s="2" t="str">
        <f t="shared" si="5"/>
        <v>qui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DATE(Configurações!$B$3,1,15)</f>
        <v>46037</v>
      </c>
      <c r="B350" s="2" t="str">
        <f t="shared" si="5"/>
        <v>qui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DATE(Configurações!$B$3,1,16)</f>
        <v>46038</v>
      </c>
      <c r="B351" s="2" t="str">
        <f t="shared" si="5"/>
        <v>sex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DATE(Configurações!$B$3,1,16)</f>
        <v>46038</v>
      </c>
      <c r="B352" s="2" t="str">
        <f t="shared" si="5"/>
        <v>sex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DATE(Configurações!$B$3,1,16)</f>
        <v>46038</v>
      </c>
      <c r="B353" s="2" t="str">
        <f t="shared" si="5"/>
        <v>sex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DATE(Configurações!$B$3,1,16)</f>
        <v>46038</v>
      </c>
      <c r="B354" s="2" t="str">
        <f t="shared" si="5"/>
        <v>sex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DATE(Configurações!$B$3,1,16)</f>
        <v>46038</v>
      </c>
      <c r="B355" s="2" t="str">
        <f t="shared" si="5"/>
        <v>sex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DATE(Configurações!$B$3,1,16)</f>
        <v>46038</v>
      </c>
      <c r="B356" s="2" t="str">
        <f t="shared" si="5"/>
        <v>sex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DATE(Configurações!$B$3,1,16)</f>
        <v>46038</v>
      </c>
      <c r="B357" s="2" t="str">
        <f t="shared" si="5"/>
        <v>sex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DATE(Configurações!$B$3,1,16)</f>
        <v>46038</v>
      </c>
      <c r="B358" s="2" t="str">
        <f t="shared" si="5"/>
        <v>sex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DATE(Configurações!$B$3,1,16)</f>
        <v>46038</v>
      </c>
      <c r="B359" s="2" t="str">
        <f t="shared" si="5"/>
        <v>sex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DATE(Configurações!$B$3,1,16)</f>
        <v>46038</v>
      </c>
      <c r="B360" s="2" t="str">
        <f t="shared" si="5"/>
        <v>sex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DATE(Configurações!$B$3,1,16)</f>
        <v>46038</v>
      </c>
      <c r="B361" s="2" t="str">
        <f t="shared" si="5"/>
        <v>sex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DATE(Configurações!$B$3,1,16)</f>
        <v>46038</v>
      </c>
      <c r="B362" s="2" t="str">
        <f t="shared" si="5"/>
        <v>sex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DATE(Configurações!$B$3,1,16)</f>
        <v>46038</v>
      </c>
      <c r="B363" s="2" t="str">
        <f t="shared" si="5"/>
        <v>sex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DATE(Configurações!$B$3,1,16)</f>
        <v>46038</v>
      </c>
      <c r="B364" s="2" t="str">
        <f t="shared" si="5"/>
        <v>sex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DATE(Configurações!$B$3,1,16)</f>
        <v>46038</v>
      </c>
      <c r="B365" s="2" t="str">
        <f t="shared" si="5"/>
        <v>sex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DATE(Configurações!$B$3,1,16)</f>
        <v>46038</v>
      </c>
      <c r="B366" s="2" t="str">
        <f t="shared" si="5"/>
        <v>sex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DATE(Configurações!$B$3,1,16)</f>
        <v>46038</v>
      </c>
      <c r="B367" s="2" t="str">
        <f t="shared" si="5"/>
        <v>sex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DATE(Configurações!$B$3,1,16)</f>
        <v>46038</v>
      </c>
      <c r="B368" s="2" t="str">
        <f t="shared" si="5"/>
        <v>sex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DATE(Configurações!$B$3,1,16)</f>
        <v>46038</v>
      </c>
      <c r="B369" s="2" t="str">
        <f t="shared" si="5"/>
        <v>sex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DATE(Configurações!$B$3,1,16)</f>
        <v>46038</v>
      </c>
      <c r="B370" s="2" t="str">
        <f t="shared" si="5"/>
        <v>sex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DATE(Configurações!$B$3,1,16)</f>
        <v>46038</v>
      </c>
      <c r="B371" s="2" t="str">
        <f t="shared" si="5"/>
        <v>sex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DATE(Configurações!$B$3,1,16)</f>
        <v>46038</v>
      </c>
      <c r="B372" s="2" t="str">
        <f t="shared" si="5"/>
        <v>sex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DATE(Configurações!$B$3,1,16)</f>
        <v>46038</v>
      </c>
      <c r="B373" s="2" t="str">
        <f t="shared" si="5"/>
        <v>sex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DATE(Configurações!$B$3,1,17)</f>
        <v>46039</v>
      </c>
      <c r="B374" s="2" t="str">
        <f t="shared" si="5"/>
        <v>sáb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DATE(Configurações!$B$3,1,17)</f>
        <v>46039</v>
      </c>
      <c r="B375" s="2" t="str">
        <f t="shared" si="5"/>
        <v>sáb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DATE(Configurações!$B$3,1,17)</f>
        <v>46039</v>
      </c>
      <c r="B376" s="2" t="str">
        <f t="shared" si="5"/>
        <v>sáb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DATE(Configurações!$B$3,1,17)</f>
        <v>46039</v>
      </c>
      <c r="B377" s="2" t="str">
        <f t="shared" si="5"/>
        <v>sáb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DATE(Configurações!$B$3,1,17)</f>
        <v>46039</v>
      </c>
      <c r="B378" s="2" t="str">
        <f t="shared" si="5"/>
        <v>sáb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DATE(Configurações!$B$3,1,17)</f>
        <v>46039</v>
      </c>
      <c r="B379" s="2" t="str">
        <f t="shared" si="5"/>
        <v>sáb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DATE(Configurações!$B$3,1,17)</f>
        <v>46039</v>
      </c>
      <c r="B380" s="2" t="str">
        <f t="shared" si="5"/>
        <v>sáb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DATE(Configurações!$B$3,1,17)</f>
        <v>46039</v>
      </c>
      <c r="B381" s="2" t="str">
        <f t="shared" si="5"/>
        <v>sáb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DATE(Configurações!$B$3,1,17)</f>
        <v>46039</v>
      </c>
      <c r="B382" s="2" t="str">
        <f t="shared" si="5"/>
        <v>sáb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DATE(Configurações!$B$3,1,17)</f>
        <v>46039</v>
      </c>
      <c r="B383" s="2" t="str">
        <f t="shared" si="5"/>
        <v>sáb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DATE(Configurações!$B$3,1,17)</f>
        <v>46039</v>
      </c>
      <c r="B384" s="2" t="str">
        <f t="shared" si="5"/>
        <v>sáb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DATE(Configurações!$B$3,1,17)</f>
        <v>46039</v>
      </c>
      <c r="B385" s="2" t="str">
        <f t="shared" si="5"/>
        <v>sáb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DATE(Configurações!$B$3,1,17)</f>
        <v>46039</v>
      </c>
      <c r="B386" s="2" t="str">
        <f t="shared" si="5"/>
        <v>sáb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DATE(Configurações!$B$3,1,17)</f>
        <v>46039</v>
      </c>
      <c r="B387" s="2" t="str">
        <f t="shared" si="5"/>
        <v>sáb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DATE(Configurações!$B$3,1,17)</f>
        <v>46039</v>
      </c>
      <c r="B388" s="2" t="str">
        <f t="shared" si="5"/>
        <v>sáb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DATE(Configurações!$B$3,1,17)</f>
        <v>46039</v>
      </c>
      <c r="B389" s="2" t="str">
        <f t="shared" si="5"/>
        <v>sáb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DATE(Configurações!$B$3,1,17)</f>
        <v>46039</v>
      </c>
      <c r="B390" s="2" t="str">
        <f t="shared" ref="B390:B453" si="6">TEXT(A390,"ddd")</f>
        <v>sáb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DATE(Configurações!$B$3,1,17)</f>
        <v>46039</v>
      </c>
      <c r="B391" s="2" t="str">
        <f t="shared" si="6"/>
        <v>sáb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DATE(Configurações!$B$3,1,17)</f>
        <v>46039</v>
      </c>
      <c r="B392" s="2" t="str">
        <f t="shared" si="6"/>
        <v>sáb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DATE(Configurações!$B$3,1,17)</f>
        <v>46039</v>
      </c>
      <c r="B393" s="2" t="str">
        <f t="shared" si="6"/>
        <v>sáb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DATE(Configurações!$B$3,1,17)</f>
        <v>46039</v>
      </c>
      <c r="B394" s="2" t="str">
        <f t="shared" si="6"/>
        <v>sáb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DATE(Configurações!$B$3,1,17)</f>
        <v>46039</v>
      </c>
      <c r="B395" s="2" t="str">
        <f t="shared" si="6"/>
        <v>sáb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DATE(Configurações!$B$3,1,17)</f>
        <v>46039</v>
      </c>
      <c r="B396" s="2" t="str">
        <f t="shared" si="6"/>
        <v>sáb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DATE(Configurações!$B$3,1,18)</f>
        <v>46040</v>
      </c>
      <c r="B397" s="2" t="str">
        <f t="shared" si="6"/>
        <v>dom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DATE(Configurações!$B$3,1,18)</f>
        <v>46040</v>
      </c>
      <c r="B398" s="2" t="str">
        <f t="shared" si="6"/>
        <v>dom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DATE(Configurações!$B$3,1,18)</f>
        <v>46040</v>
      </c>
      <c r="B399" s="2" t="str">
        <f t="shared" si="6"/>
        <v>dom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DATE(Configurações!$B$3,1,18)</f>
        <v>46040</v>
      </c>
      <c r="B400" s="2" t="str">
        <f t="shared" si="6"/>
        <v>dom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DATE(Configurações!$B$3,1,18)</f>
        <v>46040</v>
      </c>
      <c r="B401" s="2" t="str">
        <f t="shared" si="6"/>
        <v>dom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DATE(Configurações!$B$3,1,18)</f>
        <v>46040</v>
      </c>
      <c r="B402" s="2" t="str">
        <f t="shared" si="6"/>
        <v>dom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DATE(Configurações!$B$3,1,18)</f>
        <v>46040</v>
      </c>
      <c r="B403" s="2" t="str">
        <f t="shared" si="6"/>
        <v>dom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DATE(Configurações!$B$3,1,18)</f>
        <v>46040</v>
      </c>
      <c r="B404" s="2" t="str">
        <f t="shared" si="6"/>
        <v>dom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DATE(Configurações!$B$3,1,18)</f>
        <v>46040</v>
      </c>
      <c r="B405" s="2" t="str">
        <f t="shared" si="6"/>
        <v>dom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DATE(Configurações!$B$3,1,18)</f>
        <v>46040</v>
      </c>
      <c r="B406" s="2" t="str">
        <f t="shared" si="6"/>
        <v>dom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DATE(Configurações!$B$3,1,18)</f>
        <v>46040</v>
      </c>
      <c r="B407" s="2" t="str">
        <f t="shared" si="6"/>
        <v>dom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DATE(Configurações!$B$3,1,18)</f>
        <v>46040</v>
      </c>
      <c r="B408" s="2" t="str">
        <f t="shared" si="6"/>
        <v>dom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DATE(Configurações!$B$3,1,18)</f>
        <v>46040</v>
      </c>
      <c r="B409" s="2" t="str">
        <f t="shared" si="6"/>
        <v>dom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DATE(Configurações!$B$3,1,18)</f>
        <v>46040</v>
      </c>
      <c r="B410" s="2" t="str">
        <f t="shared" si="6"/>
        <v>dom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DATE(Configurações!$B$3,1,18)</f>
        <v>46040</v>
      </c>
      <c r="B411" s="2" t="str">
        <f t="shared" si="6"/>
        <v>dom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DATE(Configurações!$B$3,1,18)</f>
        <v>46040</v>
      </c>
      <c r="B412" s="2" t="str">
        <f t="shared" si="6"/>
        <v>dom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DATE(Configurações!$B$3,1,18)</f>
        <v>46040</v>
      </c>
      <c r="B413" s="2" t="str">
        <f t="shared" si="6"/>
        <v>dom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DATE(Configurações!$B$3,1,18)</f>
        <v>46040</v>
      </c>
      <c r="B414" s="2" t="str">
        <f t="shared" si="6"/>
        <v>dom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DATE(Configurações!$B$3,1,18)</f>
        <v>46040</v>
      </c>
      <c r="B415" s="2" t="str">
        <f t="shared" si="6"/>
        <v>dom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DATE(Configurações!$B$3,1,18)</f>
        <v>46040</v>
      </c>
      <c r="B416" s="2" t="str">
        <f t="shared" si="6"/>
        <v>dom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DATE(Configurações!$B$3,1,18)</f>
        <v>46040</v>
      </c>
      <c r="B417" s="2" t="str">
        <f t="shared" si="6"/>
        <v>dom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DATE(Configurações!$B$3,1,18)</f>
        <v>46040</v>
      </c>
      <c r="B418" s="2" t="str">
        <f t="shared" si="6"/>
        <v>dom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DATE(Configurações!$B$3,1,18)</f>
        <v>46040</v>
      </c>
      <c r="B419" s="2" t="str">
        <f t="shared" si="6"/>
        <v>dom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DATE(Configurações!$B$3,1,19)</f>
        <v>46041</v>
      </c>
      <c r="B420" s="2" t="str">
        <f t="shared" si="6"/>
        <v>seg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DATE(Configurações!$B$3,1,19)</f>
        <v>46041</v>
      </c>
      <c r="B421" s="2" t="str">
        <f t="shared" si="6"/>
        <v>seg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DATE(Configurações!$B$3,1,19)</f>
        <v>46041</v>
      </c>
      <c r="B422" s="2" t="str">
        <f t="shared" si="6"/>
        <v>seg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DATE(Configurações!$B$3,1,19)</f>
        <v>46041</v>
      </c>
      <c r="B423" s="2" t="str">
        <f t="shared" si="6"/>
        <v>seg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DATE(Configurações!$B$3,1,19)</f>
        <v>46041</v>
      </c>
      <c r="B424" s="2" t="str">
        <f t="shared" si="6"/>
        <v>seg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DATE(Configurações!$B$3,1,19)</f>
        <v>46041</v>
      </c>
      <c r="B425" s="2" t="str">
        <f t="shared" si="6"/>
        <v>seg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DATE(Configurações!$B$3,1,19)</f>
        <v>46041</v>
      </c>
      <c r="B426" s="2" t="str">
        <f t="shared" si="6"/>
        <v>seg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DATE(Configurações!$B$3,1,19)</f>
        <v>46041</v>
      </c>
      <c r="B427" s="2" t="str">
        <f t="shared" si="6"/>
        <v>seg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DATE(Configurações!$B$3,1,19)</f>
        <v>46041</v>
      </c>
      <c r="B428" s="2" t="str">
        <f t="shared" si="6"/>
        <v>seg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DATE(Configurações!$B$3,1,19)</f>
        <v>46041</v>
      </c>
      <c r="B429" s="2" t="str">
        <f t="shared" si="6"/>
        <v>seg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DATE(Configurações!$B$3,1,19)</f>
        <v>46041</v>
      </c>
      <c r="B430" s="2" t="str">
        <f t="shared" si="6"/>
        <v>seg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DATE(Configurações!$B$3,1,19)</f>
        <v>46041</v>
      </c>
      <c r="B431" s="2" t="str">
        <f t="shared" si="6"/>
        <v>seg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DATE(Configurações!$B$3,1,19)</f>
        <v>46041</v>
      </c>
      <c r="B432" s="2" t="str">
        <f t="shared" si="6"/>
        <v>seg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DATE(Configurações!$B$3,1,19)</f>
        <v>46041</v>
      </c>
      <c r="B433" s="2" t="str">
        <f t="shared" si="6"/>
        <v>seg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DATE(Configurações!$B$3,1,19)</f>
        <v>46041</v>
      </c>
      <c r="B434" s="2" t="str">
        <f t="shared" si="6"/>
        <v>seg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DATE(Configurações!$B$3,1,19)</f>
        <v>46041</v>
      </c>
      <c r="B435" s="2" t="str">
        <f t="shared" si="6"/>
        <v>seg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DATE(Configurações!$B$3,1,19)</f>
        <v>46041</v>
      </c>
      <c r="B436" s="2" t="str">
        <f t="shared" si="6"/>
        <v>seg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DATE(Configurações!$B$3,1,19)</f>
        <v>46041</v>
      </c>
      <c r="B437" s="2" t="str">
        <f t="shared" si="6"/>
        <v>seg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DATE(Configurações!$B$3,1,19)</f>
        <v>46041</v>
      </c>
      <c r="B438" s="2" t="str">
        <f t="shared" si="6"/>
        <v>seg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DATE(Configurações!$B$3,1,19)</f>
        <v>46041</v>
      </c>
      <c r="B439" s="2" t="str">
        <f t="shared" si="6"/>
        <v>seg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DATE(Configurações!$B$3,1,19)</f>
        <v>46041</v>
      </c>
      <c r="B440" s="2" t="str">
        <f t="shared" si="6"/>
        <v>seg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DATE(Configurações!$B$3,1,19)</f>
        <v>46041</v>
      </c>
      <c r="B441" s="2" t="str">
        <f t="shared" si="6"/>
        <v>seg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DATE(Configurações!$B$3,1,19)</f>
        <v>46041</v>
      </c>
      <c r="B442" s="2" t="str">
        <f t="shared" si="6"/>
        <v>seg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DATE(Configurações!$B$3,1,20)</f>
        <v>46042</v>
      </c>
      <c r="B443" s="2" t="str">
        <f t="shared" si="6"/>
        <v>ter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DATE(Configurações!$B$3,1,20)</f>
        <v>46042</v>
      </c>
      <c r="B444" s="2" t="str">
        <f t="shared" si="6"/>
        <v>ter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DATE(Configurações!$B$3,1,20)</f>
        <v>46042</v>
      </c>
      <c r="B445" s="2" t="str">
        <f t="shared" si="6"/>
        <v>ter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DATE(Configurações!$B$3,1,20)</f>
        <v>46042</v>
      </c>
      <c r="B446" s="2" t="str">
        <f t="shared" si="6"/>
        <v>ter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DATE(Configurações!$B$3,1,20)</f>
        <v>46042</v>
      </c>
      <c r="B447" s="2" t="str">
        <f t="shared" si="6"/>
        <v>ter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DATE(Configurações!$B$3,1,20)</f>
        <v>46042</v>
      </c>
      <c r="B448" s="2" t="str">
        <f t="shared" si="6"/>
        <v>ter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DATE(Configurações!$B$3,1,20)</f>
        <v>46042</v>
      </c>
      <c r="B449" s="2" t="str">
        <f t="shared" si="6"/>
        <v>ter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DATE(Configurações!$B$3,1,20)</f>
        <v>46042</v>
      </c>
      <c r="B450" s="2" t="str">
        <f t="shared" si="6"/>
        <v>ter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DATE(Configurações!$B$3,1,20)</f>
        <v>46042</v>
      </c>
      <c r="B451" s="2" t="str">
        <f t="shared" si="6"/>
        <v>ter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DATE(Configurações!$B$3,1,20)</f>
        <v>46042</v>
      </c>
      <c r="B452" s="2" t="str">
        <f t="shared" si="6"/>
        <v>ter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DATE(Configurações!$B$3,1,20)</f>
        <v>46042</v>
      </c>
      <c r="B453" s="2" t="str">
        <f t="shared" si="6"/>
        <v>ter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DATE(Configurações!$B$3,1,20)</f>
        <v>46042</v>
      </c>
      <c r="B454" s="2" t="str">
        <f t="shared" ref="B454:B517" si="7">TEXT(A454,"ddd")</f>
        <v>ter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DATE(Configurações!$B$3,1,20)</f>
        <v>46042</v>
      </c>
      <c r="B455" s="2" t="str">
        <f t="shared" si="7"/>
        <v>ter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DATE(Configurações!$B$3,1,20)</f>
        <v>46042</v>
      </c>
      <c r="B456" s="2" t="str">
        <f t="shared" si="7"/>
        <v>ter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DATE(Configurações!$B$3,1,20)</f>
        <v>46042</v>
      </c>
      <c r="B457" s="2" t="str">
        <f t="shared" si="7"/>
        <v>ter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DATE(Configurações!$B$3,1,20)</f>
        <v>46042</v>
      </c>
      <c r="B458" s="2" t="str">
        <f t="shared" si="7"/>
        <v>ter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DATE(Configurações!$B$3,1,20)</f>
        <v>46042</v>
      </c>
      <c r="B459" s="2" t="str">
        <f t="shared" si="7"/>
        <v>ter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DATE(Configurações!$B$3,1,20)</f>
        <v>46042</v>
      </c>
      <c r="B460" s="2" t="str">
        <f t="shared" si="7"/>
        <v>ter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DATE(Configurações!$B$3,1,20)</f>
        <v>46042</v>
      </c>
      <c r="B461" s="2" t="str">
        <f t="shared" si="7"/>
        <v>ter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DATE(Configurações!$B$3,1,20)</f>
        <v>46042</v>
      </c>
      <c r="B462" s="2" t="str">
        <f t="shared" si="7"/>
        <v>ter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DATE(Configurações!$B$3,1,20)</f>
        <v>46042</v>
      </c>
      <c r="B463" s="2" t="str">
        <f t="shared" si="7"/>
        <v>ter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DATE(Configurações!$B$3,1,20)</f>
        <v>46042</v>
      </c>
      <c r="B464" s="2" t="str">
        <f t="shared" si="7"/>
        <v>ter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DATE(Configurações!$B$3,1,20)</f>
        <v>46042</v>
      </c>
      <c r="B465" s="2" t="str">
        <f t="shared" si="7"/>
        <v>ter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DATE(Configurações!$B$3,1,21)</f>
        <v>46043</v>
      </c>
      <c r="B466" s="2" t="str">
        <f t="shared" si="7"/>
        <v>qua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DATE(Configurações!$B$3,1,21)</f>
        <v>46043</v>
      </c>
      <c r="B467" s="2" t="str">
        <f t="shared" si="7"/>
        <v>qua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DATE(Configurações!$B$3,1,21)</f>
        <v>46043</v>
      </c>
      <c r="B468" s="2" t="str">
        <f t="shared" si="7"/>
        <v>qua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DATE(Configurações!$B$3,1,21)</f>
        <v>46043</v>
      </c>
      <c r="B469" s="2" t="str">
        <f t="shared" si="7"/>
        <v>qua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DATE(Configurações!$B$3,1,21)</f>
        <v>46043</v>
      </c>
      <c r="B470" s="2" t="str">
        <f t="shared" si="7"/>
        <v>qua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DATE(Configurações!$B$3,1,21)</f>
        <v>46043</v>
      </c>
      <c r="B471" s="2" t="str">
        <f t="shared" si="7"/>
        <v>qua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DATE(Configurações!$B$3,1,21)</f>
        <v>46043</v>
      </c>
      <c r="B472" s="2" t="str">
        <f t="shared" si="7"/>
        <v>qua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DATE(Configurações!$B$3,1,21)</f>
        <v>46043</v>
      </c>
      <c r="B473" s="2" t="str">
        <f t="shared" si="7"/>
        <v>qua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DATE(Configurações!$B$3,1,21)</f>
        <v>46043</v>
      </c>
      <c r="B474" s="2" t="str">
        <f t="shared" si="7"/>
        <v>qua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DATE(Configurações!$B$3,1,21)</f>
        <v>46043</v>
      </c>
      <c r="B475" s="2" t="str">
        <f t="shared" si="7"/>
        <v>qua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DATE(Configurações!$B$3,1,21)</f>
        <v>46043</v>
      </c>
      <c r="B476" s="2" t="str">
        <f t="shared" si="7"/>
        <v>qua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DATE(Configurações!$B$3,1,21)</f>
        <v>46043</v>
      </c>
      <c r="B477" s="2" t="str">
        <f t="shared" si="7"/>
        <v>qua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DATE(Configurações!$B$3,1,21)</f>
        <v>46043</v>
      </c>
      <c r="B478" s="2" t="str">
        <f t="shared" si="7"/>
        <v>qua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DATE(Configurações!$B$3,1,21)</f>
        <v>46043</v>
      </c>
      <c r="B479" s="2" t="str">
        <f t="shared" si="7"/>
        <v>qua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DATE(Configurações!$B$3,1,21)</f>
        <v>46043</v>
      </c>
      <c r="B480" s="2" t="str">
        <f t="shared" si="7"/>
        <v>qua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DATE(Configurações!$B$3,1,21)</f>
        <v>46043</v>
      </c>
      <c r="B481" s="2" t="str">
        <f t="shared" si="7"/>
        <v>qua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DATE(Configurações!$B$3,1,21)</f>
        <v>46043</v>
      </c>
      <c r="B482" s="2" t="str">
        <f t="shared" si="7"/>
        <v>qua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DATE(Configurações!$B$3,1,21)</f>
        <v>46043</v>
      </c>
      <c r="B483" s="2" t="str">
        <f t="shared" si="7"/>
        <v>qua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DATE(Configurações!$B$3,1,21)</f>
        <v>46043</v>
      </c>
      <c r="B484" s="2" t="str">
        <f t="shared" si="7"/>
        <v>qua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DATE(Configurações!$B$3,1,21)</f>
        <v>46043</v>
      </c>
      <c r="B485" s="2" t="str">
        <f t="shared" si="7"/>
        <v>qua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DATE(Configurações!$B$3,1,21)</f>
        <v>46043</v>
      </c>
      <c r="B486" s="2" t="str">
        <f t="shared" si="7"/>
        <v>qua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DATE(Configurações!$B$3,1,21)</f>
        <v>46043</v>
      </c>
      <c r="B487" s="2" t="str">
        <f t="shared" si="7"/>
        <v>qua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DATE(Configurações!$B$3,1,21)</f>
        <v>46043</v>
      </c>
      <c r="B488" s="2" t="str">
        <f t="shared" si="7"/>
        <v>qua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DATE(Configurações!$B$3,1,22)</f>
        <v>46044</v>
      </c>
      <c r="B489" s="2" t="str">
        <f t="shared" si="7"/>
        <v>qui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DATE(Configurações!$B$3,1,22)</f>
        <v>46044</v>
      </c>
      <c r="B490" s="2" t="str">
        <f t="shared" si="7"/>
        <v>qui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DATE(Configurações!$B$3,1,22)</f>
        <v>46044</v>
      </c>
      <c r="B491" s="2" t="str">
        <f t="shared" si="7"/>
        <v>qui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DATE(Configurações!$B$3,1,22)</f>
        <v>46044</v>
      </c>
      <c r="B492" s="2" t="str">
        <f t="shared" si="7"/>
        <v>qui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DATE(Configurações!$B$3,1,22)</f>
        <v>46044</v>
      </c>
      <c r="B493" s="2" t="str">
        <f t="shared" si="7"/>
        <v>qui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DATE(Configurações!$B$3,1,22)</f>
        <v>46044</v>
      </c>
      <c r="B494" s="2" t="str">
        <f t="shared" si="7"/>
        <v>qui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DATE(Configurações!$B$3,1,22)</f>
        <v>46044</v>
      </c>
      <c r="B495" s="2" t="str">
        <f t="shared" si="7"/>
        <v>qui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DATE(Configurações!$B$3,1,22)</f>
        <v>46044</v>
      </c>
      <c r="B496" s="2" t="str">
        <f t="shared" si="7"/>
        <v>qui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DATE(Configurações!$B$3,1,22)</f>
        <v>46044</v>
      </c>
      <c r="B497" s="2" t="str">
        <f t="shared" si="7"/>
        <v>qui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DATE(Configurações!$B$3,1,22)</f>
        <v>46044</v>
      </c>
      <c r="B498" s="2" t="str">
        <f t="shared" si="7"/>
        <v>qui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DATE(Configurações!$B$3,1,22)</f>
        <v>46044</v>
      </c>
      <c r="B499" s="2" t="str">
        <f t="shared" si="7"/>
        <v>qui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DATE(Configurações!$B$3,1,22)</f>
        <v>46044</v>
      </c>
      <c r="B500" s="2" t="str">
        <f t="shared" si="7"/>
        <v>qui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DATE(Configurações!$B$3,1,22)</f>
        <v>46044</v>
      </c>
      <c r="B501" s="2" t="str">
        <f t="shared" si="7"/>
        <v>qui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DATE(Configurações!$B$3,1,22)</f>
        <v>46044</v>
      </c>
      <c r="B502" s="2" t="str">
        <f t="shared" si="7"/>
        <v>qui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DATE(Configurações!$B$3,1,22)</f>
        <v>46044</v>
      </c>
      <c r="B503" s="2" t="str">
        <f t="shared" si="7"/>
        <v>qui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DATE(Configurações!$B$3,1,22)</f>
        <v>46044</v>
      </c>
      <c r="B504" s="2" t="str">
        <f t="shared" si="7"/>
        <v>qui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DATE(Configurações!$B$3,1,22)</f>
        <v>46044</v>
      </c>
      <c r="B505" s="2" t="str">
        <f t="shared" si="7"/>
        <v>qui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DATE(Configurações!$B$3,1,22)</f>
        <v>46044</v>
      </c>
      <c r="B506" s="2" t="str">
        <f t="shared" si="7"/>
        <v>qui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DATE(Configurações!$B$3,1,22)</f>
        <v>46044</v>
      </c>
      <c r="B507" s="2" t="str">
        <f t="shared" si="7"/>
        <v>qui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DATE(Configurações!$B$3,1,22)</f>
        <v>46044</v>
      </c>
      <c r="B508" s="2" t="str">
        <f t="shared" si="7"/>
        <v>qui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DATE(Configurações!$B$3,1,22)</f>
        <v>46044</v>
      </c>
      <c r="B509" s="2" t="str">
        <f t="shared" si="7"/>
        <v>qui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DATE(Configurações!$B$3,1,22)</f>
        <v>46044</v>
      </c>
      <c r="B510" s="2" t="str">
        <f t="shared" si="7"/>
        <v>qui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DATE(Configurações!$B$3,1,22)</f>
        <v>46044</v>
      </c>
      <c r="B511" s="2" t="str">
        <f t="shared" si="7"/>
        <v>qui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DATE(Configurações!$B$3,1,23)</f>
        <v>46045</v>
      </c>
      <c r="B512" s="2" t="str">
        <f t="shared" si="7"/>
        <v>sex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DATE(Configurações!$B$3,1,23)</f>
        <v>46045</v>
      </c>
      <c r="B513" s="2" t="str">
        <f t="shared" si="7"/>
        <v>sex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DATE(Configurações!$B$3,1,23)</f>
        <v>46045</v>
      </c>
      <c r="B514" s="2" t="str">
        <f t="shared" si="7"/>
        <v>sex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DATE(Configurações!$B$3,1,23)</f>
        <v>46045</v>
      </c>
      <c r="B515" s="2" t="str">
        <f t="shared" si="7"/>
        <v>sex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DATE(Configurações!$B$3,1,23)</f>
        <v>46045</v>
      </c>
      <c r="B516" s="2" t="str">
        <f t="shared" si="7"/>
        <v>sex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DATE(Configurações!$B$3,1,23)</f>
        <v>46045</v>
      </c>
      <c r="B517" s="2" t="str">
        <f t="shared" si="7"/>
        <v>sex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DATE(Configurações!$B$3,1,23)</f>
        <v>46045</v>
      </c>
      <c r="B518" s="2" t="str">
        <f t="shared" ref="B518:B581" si="8">TEXT(A518,"ddd")</f>
        <v>sex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DATE(Configurações!$B$3,1,23)</f>
        <v>46045</v>
      </c>
      <c r="B519" s="2" t="str">
        <f t="shared" si="8"/>
        <v>sex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DATE(Configurações!$B$3,1,23)</f>
        <v>46045</v>
      </c>
      <c r="B520" s="2" t="str">
        <f t="shared" si="8"/>
        <v>sex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DATE(Configurações!$B$3,1,23)</f>
        <v>46045</v>
      </c>
      <c r="B521" s="2" t="str">
        <f t="shared" si="8"/>
        <v>sex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DATE(Configurações!$B$3,1,23)</f>
        <v>46045</v>
      </c>
      <c r="B522" s="2" t="str">
        <f t="shared" si="8"/>
        <v>sex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DATE(Configurações!$B$3,1,23)</f>
        <v>46045</v>
      </c>
      <c r="B523" s="2" t="str">
        <f t="shared" si="8"/>
        <v>sex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DATE(Configurações!$B$3,1,23)</f>
        <v>46045</v>
      </c>
      <c r="B524" s="2" t="str">
        <f t="shared" si="8"/>
        <v>sex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DATE(Configurações!$B$3,1,23)</f>
        <v>46045</v>
      </c>
      <c r="B525" s="2" t="str">
        <f t="shared" si="8"/>
        <v>sex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DATE(Configurações!$B$3,1,23)</f>
        <v>46045</v>
      </c>
      <c r="B526" s="2" t="str">
        <f t="shared" si="8"/>
        <v>sex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DATE(Configurações!$B$3,1,23)</f>
        <v>46045</v>
      </c>
      <c r="B527" s="2" t="str">
        <f t="shared" si="8"/>
        <v>sex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DATE(Configurações!$B$3,1,23)</f>
        <v>46045</v>
      </c>
      <c r="B528" s="2" t="str">
        <f t="shared" si="8"/>
        <v>sex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DATE(Configurações!$B$3,1,23)</f>
        <v>46045</v>
      </c>
      <c r="B529" s="2" t="str">
        <f t="shared" si="8"/>
        <v>sex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DATE(Configurações!$B$3,1,23)</f>
        <v>46045</v>
      </c>
      <c r="B530" s="2" t="str">
        <f t="shared" si="8"/>
        <v>sex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DATE(Configurações!$B$3,1,23)</f>
        <v>46045</v>
      </c>
      <c r="B531" s="2" t="str">
        <f t="shared" si="8"/>
        <v>sex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DATE(Configurações!$B$3,1,23)</f>
        <v>46045</v>
      </c>
      <c r="B532" s="2" t="str">
        <f t="shared" si="8"/>
        <v>sex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DATE(Configurações!$B$3,1,23)</f>
        <v>46045</v>
      </c>
      <c r="B533" s="2" t="str">
        <f t="shared" si="8"/>
        <v>sex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DATE(Configurações!$B$3,1,23)</f>
        <v>46045</v>
      </c>
      <c r="B534" s="2" t="str">
        <f t="shared" si="8"/>
        <v>sex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DATE(Configurações!$B$3,1,24)</f>
        <v>46046</v>
      </c>
      <c r="B535" s="2" t="str">
        <f t="shared" si="8"/>
        <v>sáb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DATE(Configurações!$B$3,1,24)</f>
        <v>46046</v>
      </c>
      <c r="B536" s="2" t="str">
        <f t="shared" si="8"/>
        <v>sáb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DATE(Configurações!$B$3,1,24)</f>
        <v>46046</v>
      </c>
      <c r="B537" s="2" t="str">
        <f t="shared" si="8"/>
        <v>sáb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DATE(Configurações!$B$3,1,24)</f>
        <v>46046</v>
      </c>
      <c r="B538" s="2" t="str">
        <f t="shared" si="8"/>
        <v>sáb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DATE(Configurações!$B$3,1,24)</f>
        <v>46046</v>
      </c>
      <c r="B539" s="2" t="str">
        <f t="shared" si="8"/>
        <v>sáb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DATE(Configurações!$B$3,1,24)</f>
        <v>46046</v>
      </c>
      <c r="B540" s="2" t="str">
        <f t="shared" si="8"/>
        <v>sáb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DATE(Configurações!$B$3,1,24)</f>
        <v>46046</v>
      </c>
      <c r="B541" s="2" t="str">
        <f t="shared" si="8"/>
        <v>sáb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DATE(Configurações!$B$3,1,24)</f>
        <v>46046</v>
      </c>
      <c r="B542" s="2" t="str">
        <f t="shared" si="8"/>
        <v>sáb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DATE(Configurações!$B$3,1,24)</f>
        <v>46046</v>
      </c>
      <c r="B543" s="2" t="str">
        <f t="shared" si="8"/>
        <v>sáb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DATE(Configurações!$B$3,1,24)</f>
        <v>46046</v>
      </c>
      <c r="B544" s="2" t="str">
        <f t="shared" si="8"/>
        <v>sáb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DATE(Configurações!$B$3,1,24)</f>
        <v>46046</v>
      </c>
      <c r="B545" s="2" t="str">
        <f t="shared" si="8"/>
        <v>sáb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DATE(Configurações!$B$3,1,24)</f>
        <v>46046</v>
      </c>
      <c r="B546" s="2" t="str">
        <f t="shared" si="8"/>
        <v>sáb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DATE(Configurações!$B$3,1,24)</f>
        <v>46046</v>
      </c>
      <c r="B547" s="2" t="str">
        <f t="shared" si="8"/>
        <v>sáb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DATE(Configurações!$B$3,1,24)</f>
        <v>46046</v>
      </c>
      <c r="B548" s="2" t="str">
        <f t="shared" si="8"/>
        <v>sáb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DATE(Configurações!$B$3,1,24)</f>
        <v>46046</v>
      </c>
      <c r="B549" s="2" t="str">
        <f t="shared" si="8"/>
        <v>sáb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DATE(Configurações!$B$3,1,24)</f>
        <v>46046</v>
      </c>
      <c r="B550" s="2" t="str">
        <f t="shared" si="8"/>
        <v>sáb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DATE(Configurações!$B$3,1,24)</f>
        <v>46046</v>
      </c>
      <c r="B551" s="2" t="str">
        <f t="shared" si="8"/>
        <v>sáb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DATE(Configurações!$B$3,1,24)</f>
        <v>46046</v>
      </c>
      <c r="B552" s="2" t="str">
        <f t="shared" si="8"/>
        <v>sáb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DATE(Configurações!$B$3,1,24)</f>
        <v>46046</v>
      </c>
      <c r="B553" s="2" t="str">
        <f t="shared" si="8"/>
        <v>sáb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DATE(Configurações!$B$3,1,24)</f>
        <v>46046</v>
      </c>
      <c r="B554" s="2" t="str">
        <f t="shared" si="8"/>
        <v>sáb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DATE(Configurações!$B$3,1,24)</f>
        <v>46046</v>
      </c>
      <c r="B555" s="2" t="str">
        <f t="shared" si="8"/>
        <v>sáb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DATE(Configurações!$B$3,1,24)</f>
        <v>46046</v>
      </c>
      <c r="B556" s="2" t="str">
        <f t="shared" si="8"/>
        <v>sáb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DATE(Configurações!$B$3,1,24)</f>
        <v>46046</v>
      </c>
      <c r="B557" s="2" t="str">
        <f t="shared" si="8"/>
        <v>sáb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DATE(Configurações!$B$3,1,25)</f>
        <v>46047</v>
      </c>
      <c r="B558" s="2" t="str">
        <f t="shared" si="8"/>
        <v>dom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DATE(Configurações!$B$3,1,25)</f>
        <v>46047</v>
      </c>
      <c r="B559" s="2" t="str">
        <f t="shared" si="8"/>
        <v>dom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DATE(Configurações!$B$3,1,25)</f>
        <v>46047</v>
      </c>
      <c r="B560" s="2" t="str">
        <f t="shared" si="8"/>
        <v>dom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DATE(Configurações!$B$3,1,25)</f>
        <v>46047</v>
      </c>
      <c r="B561" s="2" t="str">
        <f t="shared" si="8"/>
        <v>dom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DATE(Configurações!$B$3,1,25)</f>
        <v>46047</v>
      </c>
      <c r="B562" s="2" t="str">
        <f t="shared" si="8"/>
        <v>dom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DATE(Configurações!$B$3,1,25)</f>
        <v>46047</v>
      </c>
      <c r="B563" s="2" t="str">
        <f t="shared" si="8"/>
        <v>dom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DATE(Configurações!$B$3,1,25)</f>
        <v>46047</v>
      </c>
      <c r="B564" s="2" t="str">
        <f t="shared" si="8"/>
        <v>dom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DATE(Configurações!$B$3,1,25)</f>
        <v>46047</v>
      </c>
      <c r="B565" s="2" t="str">
        <f t="shared" si="8"/>
        <v>dom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DATE(Configurações!$B$3,1,25)</f>
        <v>46047</v>
      </c>
      <c r="B566" s="2" t="str">
        <f t="shared" si="8"/>
        <v>dom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DATE(Configurações!$B$3,1,25)</f>
        <v>46047</v>
      </c>
      <c r="B567" s="2" t="str">
        <f t="shared" si="8"/>
        <v>dom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DATE(Configurações!$B$3,1,25)</f>
        <v>46047</v>
      </c>
      <c r="B568" s="2" t="str">
        <f t="shared" si="8"/>
        <v>dom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DATE(Configurações!$B$3,1,25)</f>
        <v>46047</v>
      </c>
      <c r="B569" s="2" t="str">
        <f t="shared" si="8"/>
        <v>dom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DATE(Configurações!$B$3,1,25)</f>
        <v>46047</v>
      </c>
      <c r="B570" s="2" t="str">
        <f t="shared" si="8"/>
        <v>dom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DATE(Configurações!$B$3,1,25)</f>
        <v>46047</v>
      </c>
      <c r="B571" s="2" t="str">
        <f t="shared" si="8"/>
        <v>dom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DATE(Configurações!$B$3,1,25)</f>
        <v>46047</v>
      </c>
      <c r="B572" s="2" t="str">
        <f t="shared" si="8"/>
        <v>dom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DATE(Configurações!$B$3,1,25)</f>
        <v>46047</v>
      </c>
      <c r="B573" s="2" t="str">
        <f t="shared" si="8"/>
        <v>dom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DATE(Configurações!$B$3,1,25)</f>
        <v>46047</v>
      </c>
      <c r="B574" s="2" t="str">
        <f t="shared" si="8"/>
        <v>dom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DATE(Configurações!$B$3,1,25)</f>
        <v>46047</v>
      </c>
      <c r="B575" s="2" t="str">
        <f t="shared" si="8"/>
        <v>dom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DATE(Configurações!$B$3,1,25)</f>
        <v>46047</v>
      </c>
      <c r="B576" s="2" t="str">
        <f t="shared" si="8"/>
        <v>dom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DATE(Configurações!$B$3,1,25)</f>
        <v>46047</v>
      </c>
      <c r="B577" s="2" t="str">
        <f t="shared" si="8"/>
        <v>dom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DATE(Configurações!$B$3,1,25)</f>
        <v>46047</v>
      </c>
      <c r="B578" s="2" t="str">
        <f t="shared" si="8"/>
        <v>dom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DATE(Configurações!$B$3,1,25)</f>
        <v>46047</v>
      </c>
      <c r="B579" s="2" t="str">
        <f t="shared" si="8"/>
        <v>dom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DATE(Configurações!$B$3,1,25)</f>
        <v>46047</v>
      </c>
      <c r="B580" s="2" t="str">
        <f t="shared" si="8"/>
        <v>dom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DATE(Configurações!$B$3,1,26)</f>
        <v>46048</v>
      </c>
      <c r="B581" s="2" t="str">
        <f t="shared" si="8"/>
        <v>seg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DATE(Configurações!$B$3,1,26)</f>
        <v>46048</v>
      </c>
      <c r="B582" s="2" t="str">
        <f t="shared" ref="B582:B645" si="9">TEXT(A582,"ddd")</f>
        <v>seg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DATE(Configurações!$B$3,1,26)</f>
        <v>46048</v>
      </c>
      <c r="B583" s="2" t="str">
        <f t="shared" si="9"/>
        <v>seg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DATE(Configurações!$B$3,1,26)</f>
        <v>46048</v>
      </c>
      <c r="B584" s="2" t="str">
        <f t="shared" si="9"/>
        <v>seg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DATE(Configurações!$B$3,1,26)</f>
        <v>46048</v>
      </c>
      <c r="B585" s="2" t="str">
        <f t="shared" si="9"/>
        <v>seg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DATE(Configurações!$B$3,1,26)</f>
        <v>46048</v>
      </c>
      <c r="B586" s="2" t="str">
        <f t="shared" si="9"/>
        <v>seg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DATE(Configurações!$B$3,1,26)</f>
        <v>46048</v>
      </c>
      <c r="B587" s="2" t="str">
        <f t="shared" si="9"/>
        <v>seg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DATE(Configurações!$B$3,1,26)</f>
        <v>46048</v>
      </c>
      <c r="B588" s="2" t="str">
        <f t="shared" si="9"/>
        <v>seg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DATE(Configurações!$B$3,1,26)</f>
        <v>46048</v>
      </c>
      <c r="B589" s="2" t="str">
        <f t="shared" si="9"/>
        <v>seg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DATE(Configurações!$B$3,1,26)</f>
        <v>46048</v>
      </c>
      <c r="B590" s="2" t="str">
        <f t="shared" si="9"/>
        <v>seg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DATE(Configurações!$B$3,1,26)</f>
        <v>46048</v>
      </c>
      <c r="B591" s="2" t="str">
        <f t="shared" si="9"/>
        <v>seg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DATE(Configurações!$B$3,1,26)</f>
        <v>46048</v>
      </c>
      <c r="B592" s="2" t="str">
        <f t="shared" si="9"/>
        <v>seg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DATE(Configurações!$B$3,1,26)</f>
        <v>46048</v>
      </c>
      <c r="B593" s="2" t="str">
        <f t="shared" si="9"/>
        <v>seg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DATE(Configurações!$B$3,1,26)</f>
        <v>46048</v>
      </c>
      <c r="B594" s="2" t="str">
        <f t="shared" si="9"/>
        <v>seg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DATE(Configurações!$B$3,1,26)</f>
        <v>46048</v>
      </c>
      <c r="B595" s="2" t="str">
        <f t="shared" si="9"/>
        <v>seg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DATE(Configurações!$B$3,1,26)</f>
        <v>46048</v>
      </c>
      <c r="B596" s="2" t="str">
        <f t="shared" si="9"/>
        <v>seg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DATE(Configurações!$B$3,1,26)</f>
        <v>46048</v>
      </c>
      <c r="B597" s="2" t="str">
        <f t="shared" si="9"/>
        <v>seg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DATE(Configurações!$B$3,1,26)</f>
        <v>46048</v>
      </c>
      <c r="B598" s="2" t="str">
        <f t="shared" si="9"/>
        <v>seg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DATE(Configurações!$B$3,1,26)</f>
        <v>46048</v>
      </c>
      <c r="B599" s="2" t="str">
        <f t="shared" si="9"/>
        <v>seg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DATE(Configurações!$B$3,1,26)</f>
        <v>46048</v>
      </c>
      <c r="B600" s="2" t="str">
        <f t="shared" si="9"/>
        <v>seg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DATE(Configurações!$B$3,1,26)</f>
        <v>46048</v>
      </c>
      <c r="B601" s="2" t="str">
        <f t="shared" si="9"/>
        <v>seg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DATE(Configurações!$B$3,1,26)</f>
        <v>46048</v>
      </c>
      <c r="B602" s="2" t="str">
        <f t="shared" si="9"/>
        <v>seg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DATE(Configurações!$B$3,1,26)</f>
        <v>46048</v>
      </c>
      <c r="B603" s="2" t="str">
        <f t="shared" si="9"/>
        <v>seg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DATE(Configurações!$B$3,1,27)</f>
        <v>46049</v>
      </c>
      <c r="B604" s="2" t="str">
        <f t="shared" si="9"/>
        <v>ter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DATE(Configurações!$B$3,1,27)</f>
        <v>46049</v>
      </c>
      <c r="B605" s="2" t="str">
        <f t="shared" si="9"/>
        <v>ter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DATE(Configurações!$B$3,1,27)</f>
        <v>46049</v>
      </c>
      <c r="B606" s="2" t="str">
        <f t="shared" si="9"/>
        <v>ter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DATE(Configurações!$B$3,1,27)</f>
        <v>46049</v>
      </c>
      <c r="B607" s="2" t="str">
        <f t="shared" si="9"/>
        <v>ter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DATE(Configurações!$B$3,1,27)</f>
        <v>46049</v>
      </c>
      <c r="B608" s="2" t="str">
        <f t="shared" si="9"/>
        <v>ter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DATE(Configurações!$B$3,1,27)</f>
        <v>46049</v>
      </c>
      <c r="B609" s="2" t="str">
        <f t="shared" si="9"/>
        <v>ter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DATE(Configurações!$B$3,1,27)</f>
        <v>46049</v>
      </c>
      <c r="B610" s="2" t="str">
        <f t="shared" si="9"/>
        <v>ter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DATE(Configurações!$B$3,1,27)</f>
        <v>46049</v>
      </c>
      <c r="B611" s="2" t="str">
        <f t="shared" si="9"/>
        <v>ter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DATE(Configurações!$B$3,1,27)</f>
        <v>46049</v>
      </c>
      <c r="B612" s="2" t="str">
        <f t="shared" si="9"/>
        <v>ter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DATE(Configurações!$B$3,1,27)</f>
        <v>46049</v>
      </c>
      <c r="B613" s="2" t="str">
        <f t="shared" si="9"/>
        <v>ter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DATE(Configurações!$B$3,1,27)</f>
        <v>46049</v>
      </c>
      <c r="B614" s="2" t="str">
        <f t="shared" si="9"/>
        <v>ter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DATE(Configurações!$B$3,1,27)</f>
        <v>46049</v>
      </c>
      <c r="B615" s="2" t="str">
        <f t="shared" si="9"/>
        <v>ter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DATE(Configurações!$B$3,1,27)</f>
        <v>46049</v>
      </c>
      <c r="B616" s="2" t="str">
        <f t="shared" si="9"/>
        <v>ter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DATE(Configurações!$B$3,1,27)</f>
        <v>46049</v>
      </c>
      <c r="B617" s="2" t="str">
        <f t="shared" si="9"/>
        <v>ter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DATE(Configurações!$B$3,1,27)</f>
        <v>46049</v>
      </c>
      <c r="B618" s="2" t="str">
        <f t="shared" si="9"/>
        <v>ter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DATE(Configurações!$B$3,1,27)</f>
        <v>46049</v>
      </c>
      <c r="B619" s="2" t="str">
        <f t="shared" si="9"/>
        <v>ter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DATE(Configurações!$B$3,1,27)</f>
        <v>46049</v>
      </c>
      <c r="B620" s="2" t="str">
        <f t="shared" si="9"/>
        <v>ter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DATE(Configurações!$B$3,1,27)</f>
        <v>46049</v>
      </c>
      <c r="B621" s="2" t="str">
        <f t="shared" si="9"/>
        <v>ter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DATE(Configurações!$B$3,1,27)</f>
        <v>46049</v>
      </c>
      <c r="B622" s="2" t="str">
        <f t="shared" si="9"/>
        <v>ter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DATE(Configurações!$B$3,1,27)</f>
        <v>46049</v>
      </c>
      <c r="B623" s="2" t="str">
        <f t="shared" si="9"/>
        <v>ter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DATE(Configurações!$B$3,1,27)</f>
        <v>46049</v>
      </c>
      <c r="B624" s="2" t="str">
        <f t="shared" si="9"/>
        <v>ter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DATE(Configurações!$B$3,1,27)</f>
        <v>46049</v>
      </c>
      <c r="B625" s="2" t="str">
        <f t="shared" si="9"/>
        <v>ter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DATE(Configurações!$B$3,1,27)</f>
        <v>46049</v>
      </c>
      <c r="B626" s="2" t="str">
        <f t="shared" si="9"/>
        <v>ter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DATE(Configurações!$B$3,1,28)</f>
        <v>46050</v>
      </c>
      <c r="B627" s="2" t="str">
        <f t="shared" si="9"/>
        <v>qua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DATE(Configurações!$B$3,1,28)</f>
        <v>46050</v>
      </c>
      <c r="B628" s="2" t="str">
        <f t="shared" si="9"/>
        <v>qua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DATE(Configurações!$B$3,1,28)</f>
        <v>46050</v>
      </c>
      <c r="B629" s="2" t="str">
        <f t="shared" si="9"/>
        <v>qua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DATE(Configurações!$B$3,1,28)</f>
        <v>46050</v>
      </c>
      <c r="B630" s="2" t="str">
        <f t="shared" si="9"/>
        <v>qua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DATE(Configurações!$B$3,1,28)</f>
        <v>46050</v>
      </c>
      <c r="B631" s="2" t="str">
        <f t="shared" si="9"/>
        <v>qua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DATE(Configurações!$B$3,1,28)</f>
        <v>46050</v>
      </c>
      <c r="B632" s="2" t="str">
        <f t="shared" si="9"/>
        <v>qua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DATE(Configurações!$B$3,1,28)</f>
        <v>46050</v>
      </c>
      <c r="B633" s="2" t="str">
        <f t="shared" si="9"/>
        <v>qua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DATE(Configurações!$B$3,1,28)</f>
        <v>46050</v>
      </c>
      <c r="B634" s="2" t="str">
        <f t="shared" si="9"/>
        <v>qua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DATE(Configurações!$B$3,1,28)</f>
        <v>46050</v>
      </c>
      <c r="B635" s="2" t="str">
        <f t="shared" si="9"/>
        <v>qua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DATE(Configurações!$B$3,1,28)</f>
        <v>46050</v>
      </c>
      <c r="B636" s="2" t="str">
        <f t="shared" si="9"/>
        <v>qua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DATE(Configurações!$B$3,1,28)</f>
        <v>46050</v>
      </c>
      <c r="B637" s="2" t="str">
        <f t="shared" si="9"/>
        <v>qua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DATE(Configurações!$B$3,1,28)</f>
        <v>46050</v>
      </c>
      <c r="B638" s="2" t="str">
        <f t="shared" si="9"/>
        <v>qua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DATE(Configurações!$B$3,1,28)</f>
        <v>46050</v>
      </c>
      <c r="B639" s="2" t="str">
        <f t="shared" si="9"/>
        <v>qua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DATE(Configurações!$B$3,1,28)</f>
        <v>46050</v>
      </c>
      <c r="B640" s="2" t="str">
        <f t="shared" si="9"/>
        <v>qua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DATE(Configurações!$B$3,1,28)</f>
        <v>46050</v>
      </c>
      <c r="B641" s="2" t="str">
        <f t="shared" si="9"/>
        <v>qua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DATE(Configurações!$B$3,1,28)</f>
        <v>46050</v>
      </c>
      <c r="B642" s="2" t="str">
        <f t="shared" si="9"/>
        <v>qua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DATE(Configurações!$B$3,1,28)</f>
        <v>46050</v>
      </c>
      <c r="B643" s="2" t="str">
        <f t="shared" si="9"/>
        <v>qua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DATE(Configurações!$B$3,1,28)</f>
        <v>46050</v>
      </c>
      <c r="B644" s="2" t="str">
        <f t="shared" si="9"/>
        <v>qua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DATE(Configurações!$B$3,1,28)</f>
        <v>46050</v>
      </c>
      <c r="B645" s="2" t="str">
        <f t="shared" si="9"/>
        <v>qua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DATE(Configurações!$B$3,1,28)</f>
        <v>46050</v>
      </c>
      <c r="B646" s="2" t="str">
        <f t="shared" ref="B646:B709" si="10">TEXT(A646,"ddd")</f>
        <v>qua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DATE(Configurações!$B$3,1,28)</f>
        <v>46050</v>
      </c>
      <c r="B647" s="2" t="str">
        <f t="shared" si="10"/>
        <v>qua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DATE(Configurações!$B$3,1,28)</f>
        <v>46050</v>
      </c>
      <c r="B648" s="2" t="str">
        <f t="shared" si="10"/>
        <v>qua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DATE(Configurações!$B$3,1,28)</f>
        <v>46050</v>
      </c>
      <c r="B649" s="2" t="str">
        <f t="shared" si="10"/>
        <v>qua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DATE(Configurações!$B$3,1,29)</f>
        <v>46051</v>
      </c>
      <c r="B650" s="2" t="str">
        <f t="shared" si="10"/>
        <v>qui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DATE(Configurações!$B$3,1,29)</f>
        <v>46051</v>
      </c>
      <c r="B651" s="2" t="str">
        <f t="shared" si="10"/>
        <v>qui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DATE(Configurações!$B$3,1,29)</f>
        <v>46051</v>
      </c>
      <c r="B652" s="2" t="str">
        <f t="shared" si="10"/>
        <v>qui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DATE(Configurações!$B$3,1,29)</f>
        <v>46051</v>
      </c>
      <c r="B653" s="2" t="str">
        <f t="shared" si="10"/>
        <v>qui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DATE(Configurações!$B$3,1,29)</f>
        <v>46051</v>
      </c>
      <c r="B654" s="2" t="str">
        <f t="shared" si="10"/>
        <v>qui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DATE(Configurações!$B$3,1,29)</f>
        <v>46051</v>
      </c>
      <c r="B655" s="2" t="str">
        <f t="shared" si="10"/>
        <v>qui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DATE(Configurações!$B$3,1,29)</f>
        <v>46051</v>
      </c>
      <c r="B656" s="2" t="str">
        <f t="shared" si="10"/>
        <v>qui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DATE(Configurações!$B$3,1,29)</f>
        <v>46051</v>
      </c>
      <c r="B657" s="2" t="str">
        <f t="shared" si="10"/>
        <v>qui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DATE(Configurações!$B$3,1,29)</f>
        <v>46051</v>
      </c>
      <c r="B658" s="2" t="str">
        <f t="shared" si="10"/>
        <v>qui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DATE(Configurações!$B$3,1,29)</f>
        <v>46051</v>
      </c>
      <c r="B659" s="2" t="str">
        <f t="shared" si="10"/>
        <v>qui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DATE(Configurações!$B$3,1,29)</f>
        <v>46051</v>
      </c>
      <c r="B660" s="2" t="str">
        <f t="shared" si="10"/>
        <v>qui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DATE(Configurações!$B$3,1,29)</f>
        <v>46051</v>
      </c>
      <c r="B661" s="2" t="str">
        <f t="shared" si="10"/>
        <v>qui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DATE(Configurações!$B$3,1,29)</f>
        <v>46051</v>
      </c>
      <c r="B662" s="2" t="str">
        <f t="shared" si="10"/>
        <v>qui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DATE(Configurações!$B$3,1,29)</f>
        <v>46051</v>
      </c>
      <c r="B663" s="2" t="str">
        <f t="shared" si="10"/>
        <v>qui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DATE(Configurações!$B$3,1,29)</f>
        <v>46051</v>
      </c>
      <c r="B664" s="2" t="str">
        <f t="shared" si="10"/>
        <v>qui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DATE(Configurações!$B$3,1,29)</f>
        <v>46051</v>
      </c>
      <c r="B665" s="2" t="str">
        <f t="shared" si="10"/>
        <v>qui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DATE(Configurações!$B$3,1,29)</f>
        <v>46051</v>
      </c>
      <c r="B666" s="2" t="str">
        <f t="shared" si="10"/>
        <v>qui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DATE(Configurações!$B$3,1,29)</f>
        <v>46051</v>
      </c>
      <c r="B667" s="2" t="str">
        <f t="shared" si="10"/>
        <v>qui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DATE(Configurações!$B$3,1,29)</f>
        <v>46051</v>
      </c>
      <c r="B668" s="2" t="str">
        <f t="shared" si="10"/>
        <v>qui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DATE(Configurações!$B$3,1,29)</f>
        <v>46051</v>
      </c>
      <c r="B669" s="2" t="str">
        <f t="shared" si="10"/>
        <v>qui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DATE(Configurações!$B$3,1,29)</f>
        <v>46051</v>
      </c>
      <c r="B670" s="2" t="str">
        <f t="shared" si="10"/>
        <v>qui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DATE(Configurações!$B$3,1,29)</f>
        <v>46051</v>
      </c>
      <c r="B671" s="2" t="str">
        <f t="shared" si="10"/>
        <v>qui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DATE(Configurações!$B$3,1,29)</f>
        <v>46051</v>
      </c>
      <c r="B672" s="2" t="str">
        <f t="shared" si="10"/>
        <v>qui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DATE(Configurações!$B$3,1,30)</f>
        <v>46052</v>
      </c>
      <c r="B673" s="2" t="str">
        <f t="shared" si="10"/>
        <v>sex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DATE(Configurações!$B$3,1,30)</f>
        <v>46052</v>
      </c>
      <c r="B674" s="2" t="str">
        <f t="shared" si="10"/>
        <v>sex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DATE(Configurações!$B$3,1,30)</f>
        <v>46052</v>
      </c>
      <c r="B675" s="2" t="str">
        <f t="shared" si="10"/>
        <v>sex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DATE(Configurações!$B$3,1,30)</f>
        <v>46052</v>
      </c>
      <c r="B676" s="2" t="str">
        <f t="shared" si="10"/>
        <v>sex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DATE(Configurações!$B$3,1,30)</f>
        <v>46052</v>
      </c>
      <c r="B677" s="2" t="str">
        <f t="shared" si="10"/>
        <v>sex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DATE(Configurações!$B$3,1,30)</f>
        <v>46052</v>
      </c>
      <c r="B678" s="2" t="str">
        <f t="shared" si="10"/>
        <v>sex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DATE(Configurações!$B$3,1,30)</f>
        <v>46052</v>
      </c>
      <c r="B679" s="2" t="str">
        <f t="shared" si="10"/>
        <v>sex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DATE(Configurações!$B$3,1,30)</f>
        <v>46052</v>
      </c>
      <c r="B680" s="2" t="str">
        <f t="shared" si="10"/>
        <v>sex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DATE(Configurações!$B$3,1,30)</f>
        <v>46052</v>
      </c>
      <c r="B681" s="2" t="str">
        <f t="shared" si="10"/>
        <v>sex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DATE(Configurações!$B$3,1,30)</f>
        <v>46052</v>
      </c>
      <c r="B682" s="2" t="str">
        <f t="shared" si="10"/>
        <v>sex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DATE(Configurações!$B$3,1,30)</f>
        <v>46052</v>
      </c>
      <c r="B683" s="2" t="str">
        <f t="shared" si="10"/>
        <v>sex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DATE(Configurações!$B$3,1,30)</f>
        <v>46052</v>
      </c>
      <c r="B684" s="2" t="str">
        <f t="shared" si="10"/>
        <v>sex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DATE(Configurações!$B$3,1,30)</f>
        <v>46052</v>
      </c>
      <c r="B685" s="2" t="str">
        <f t="shared" si="10"/>
        <v>sex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DATE(Configurações!$B$3,1,30)</f>
        <v>46052</v>
      </c>
      <c r="B686" s="2" t="str">
        <f t="shared" si="10"/>
        <v>sex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DATE(Configurações!$B$3,1,30)</f>
        <v>46052</v>
      </c>
      <c r="B687" s="2" t="str">
        <f t="shared" si="10"/>
        <v>sex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DATE(Configurações!$B$3,1,30)</f>
        <v>46052</v>
      </c>
      <c r="B688" s="2" t="str">
        <f t="shared" si="10"/>
        <v>sex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DATE(Configurações!$B$3,1,30)</f>
        <v>46052</v>
      </c>
      <c r="B689" s="2" t="str">
        <f t="shared" si="10"/>
        <v>sex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DATE(Configurações!$B$3,1,30)</f>
        <v>46052</v>
      </c>
      <c r="B690" s="2" t="str">
        <f t="shared" si="10"/>
        <v>sex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DATE(Configurações!$B$3,1,30)</f>
        <v>46052</v>
      </c>
      <c r="B691" s="2" t="str">
        <f t="shared" si="10"/>
        <v>sex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DATE(Configurações!$B$3,1,30)</f>
        <v>46052</v>
      </c>
      <c r="B692" s="2" t="str">
        <f t="shared" si="10"/>
        <v>sex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DATE(Configurações!$B$3,1,30)</f>
        <v>46052</v>
      </c>
      <c r="B693" s="2" t="str">
        <f t="shared" si="10"/>
        <v>sex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DATE(Configurações!$B$3,1,30)</f>
        <v>46052</v>
      </c>
      <c r="B694" s="2" t="str">
        <f t="shared" si="10"/>
        <v>sex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DATE(Configurações!$B$3,1,30)</f>
        <v>46052</v>
      </c>
      <c r="B695" s="2" t="str">
        <f t="shared" si="10"/>
        <v>sex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DATE(Configurações!$B$3,1,31)</f>
        <v>46053</v>
      </c>
      <c r="B696" s="2" t="str">
        <f t="shared" si="10"/>
        <v>sáb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DATE(Configurações!$B$3,1,31)</f>
        <v>46053</v>
      </c>
      <c r="B697" s="2" t="str">
        <f t="shared" si="10"/>
        <v>sáb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DATE(Configurações!$B$3,1,31)</f>
        <v>46053</v>
      </c>
      <c r="B698" s="2" t="str">
        <f t="shared" si="10"/>
        <v>sáb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DATE(Configurações!$B$3,1,31)</f>
        <v>46053</v>
      </c>
      <c r="B699" s="2" t="str">
        <f t="shared" si="10"/>
        <v>sáb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DATE(Configurações!$B$3,1,31)</f>
        <v>46053</v>
      </c>
      <c r="B700" s="2" t="str">
        <f t="shared" si="10"/>
        <v>sáb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DATE(Configurações!$B$3,1,31)</f>
        <v>46053</v>
      </c>
      <c r="B701" s="2" t="str">
        <f t="shared" si="10"/>
        <v>sáb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DATE(Configurações!$B$3,1,31)</f>
        <v>46053</v>
      </c>
      <c r="B702" s="2" t="str">
        <f t="shared" si="10"/>
        <v>sáb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DATE(Configurações!$B$3,1,31)</f>
        <v>46053</v>
      </c>
      <c r="B703" s="2" t="str">
        <f t="shared" si="10"/>
        <v>sáb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DATE(Configurações!$B$3,1,31)</f>
        <v>46053</v>
      </c>
      <c r="B704" s="2" t="str">
        <f t="shared" si="10"/>
        <v>sáb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DATE(Configurações!$B$3,1,31)</f>
        <v>46053</v>
      </c>
      <c r="B705" s="2" t="str">
        <f t="shared" si="10"/>
        <v>sáb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DATE(Configurações!$B$3,1,31)</f>
        <v>46053</v>
      </c>
      <c r="B706" s="2" t="str">
        <f t="shared" si="10"/>
        <v>sáb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DATE(Configurações!$B$3,1,31)</f>
        <v>46053</v>
      </c>
      <c r="B707" s="2" t="str">
        <f t="shared" si="10"/>
        <v>sáb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DATE(Configurações!$B$3,1,31)</f>
        <v>46053</v>
      </c>
      <c r="B708" s="2" t="str">
        <f t="shared" si="10"/>
        <v>sáb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DATE(Configurações!$B$3,1,31)</f>
        <v>46053</v>
      </c>
      <c r="B709" s="2" t="str">
        <f t="shared" si="10"/>
        <v>sáb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DATE(Configurações!$B$3,1,31)</f>
        <v>46053</v>
      </c>
      <c r="B710" s="2" t="str">
        <f t="shared" ref="B710:B773" si="11">TEXT(A710,"ddd")</f>
        <v>sáb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DATE(Configurações!$B$3,1,31)</f>
        <v>46053</v>
      </c>
      <c r="B711" s="2" t="str">
        <f t="shared" si="11"/>
        <v>sáb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DATE(Configurações!$B$3,1,31)</f>
        <v>46053</v>
      </c>
      <c r="B712" s="2" t="str">
        <f t="shared" si="11"/>
        <v>sáb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DATE(Configurações!$B$3,1,31)</f>
        <v>46053</v>
      </c>
      <c r="B713" s="2" t="str">
        <f t="shared" si="11"/>
        <v>sáb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DATE(Configurações!$B$3,1,31)</f>
        <v>46053</v>
      </c>
      <c r="B714" s="2" t="str">
        <f t="shared" si="11"/>
        <v>sáb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DATE(Configurações!$B$3,1,31)</f>
        <v>46053</v>
      </c>
      <c r="B715" s="2" t="str">
        <f t="shared" si="11"/>
        <v>sáb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DATE(Configurações!$B$3,1,31)</f>
        <v>46053</v>
      </c>
      <c r="B716" s="2" t="str">
        <f t="shared" si="11"/>
        <v>sáb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DATE(Configurações!$B$3,1,31)</f>
        <v>46053</v>
      </c>
      <c r="B717" s="2" t="str">
        <f t="shared" si="11"/>
        <v>sáb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DATE(Configurações!$B$3,1,31)</f>
        <v>46053</v>
      </c>
      <c r="B718" s="2" t="str">
        <f t="shared" si="11"/>
        <v>sáb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47" priority="1">
      <formula>F6="Online"</formula>
    </cfRule>
    <cfRule type="expression" dxfId="46" priority="2">
      <formula>F6="Offline"</formula>
    </cfRule>
    <cfRule type="expression" dxfId="45" priority="3">
      <formula>F6="Manutenção"</formula>
    </cfRule>
    <cfRule type="expression" dxfId="44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108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DATE(Configurações!$B$3,2,1)</f>
        <v>46054</v>
      </c>
      <c r="B6" s="2" t="str">
        <f t="shared" ref="B6:B69" si="0">TEXT(A6,"ddd")</f>
        <v>dom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DATE(Configurações!$B$3,2,1)</f>
        <v>46054</v>
      </c>
      <c r="B7" s="2" t="str">
        <f t="shared" si="0"/>
        <v>dom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DATE(Configurações!$B$3,2,1)</f>
        <v>46054</v>
      </c>
      <c r="B8" s="2" t="str">
        <f t="shared" si="0"/>
        <v>dom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DATE(Configurações!$B$3,2,1)</f>
        <v>46054</v>
      </c>
      <c r="B9" s="2" t="str">
        <f t="shared" si="0"/>
        <v>dom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DATE(Configurações!$B$3,2,1)</f>
        <v>46054</v>
      </c>
      <c r="B10" s="2" t="str">
        <f t="shared" si="0"/>
        <v>dom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DATE(Configurações!$B$3,2,1)</f>
        <v>46054</v>
      </c>
      <c r="B11" s="2" t="str">
        <f t="shared" si="0"/>
        <v>dom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DATE(Configurações!$B$3,2,1)</f>
        <v>46054</v>
      </c>
      <c r="B12" s="2" t="str">
        <f t="shared" si="0"/>
        <v>dom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DATE(Configurações!$B$3,2,1)</f>
        <v>46054</v>
      </c>
      <c r="B13" s="2" t="str">
        <f t="shared" si="0"/>
        <v>dom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DATE(Configurações!$B$3,2,1)</f>
        <v>46054</v>
      </c>
      <c r="B14" s="2" t="str">
        <f t="shared" si="0"/>
        <v>dom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DATE(Configurações!$B$3,2,1)</f>
        <v>46054</v>
      </c>
      <c r="B15" s="2" t="str">
        <f t="shared" si="0"/>
        <v>dom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DATE(Configurações!$B$3,2,1)</f>
        <v>46054</v>
      </c>
      <c r="B16" s="2" t="str">
        <f t="shared" si="0"/>
        <v>dom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DATE(Configurações!$B$3,2,1)</f>
        <v>46054</v>
      </c>
      <c r="B17" s="2" t="str">
        <f t="shared" si="0"/>
        <v>dom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DATE(Configurações!$B$3,2,1)</f>
        <v>46054</v>
      </c>
      <c r="B18" s="2" t="str">
        <f t="shared" si="0"/>
        <v>dom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DATE(Configurações!$B$3,2,1)</f>
        <v>46054</v>
      </c>
      <c r="B19" s="2" t="str">
        <f t="shared" si="0"/>
        <v>dom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DATE(Configurações!$B$3,2,1)</f>
        <v>46054</v>
      </c>
      <c r="B20" s="2" t="str">
        <f t="shared" si="0"/>
        <v>dom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DATE(Configurações!$B$3,2,1)</f>
        <v>46054</v>
      </c>
      <c r="B21" s="2" t="str">
        <f t="shared" si="0"/>
        <v>dom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DATE(Configurações!$B$3,2,1)</f>
        <v>46054</v>
      </c>
      <c r="B22" s="2" t="str">
        <f t="shared" si="0"/>
        <v>dom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DATE(Configurações!$B$3,2,1)</f>
        <v>46054</v>
      </c>
      <c r="B23" s="2" t="str">
        <f t="shared" si="0"/>
        <v>dom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DATE(Configurações!$B$3,2,1)</f>
        <v>46054</v>
      </c>
      <c r="B24" s="2" t="str">
        <f t="shared" si="0"/>
        <v>dom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DATE(Configurações!$B$3,2,1)</f>
        <v>46054</v>
      </c>
      <c r="B25" s="2" t="str">
        <f t="shared" si="0"/>
        <v>dom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DATE(Configurações!$B$3,2,1)</f>
        <v>46054</v>
      </c>
      <c r="B26" s="2" t="str">
        <f t="shared" si="0"/>
        <v>dom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DATE(Configurações!$B$3,2,1)</f>
        <v>46054</v>
      </c>
      <c r="B27" s="2" t="str">
        <f t="shared" si="0"/>
        <v>dom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DATE(Configurações!$B$3,2,1)</f>
        <v>46054</v>
      </c>
      <c r="B28" s="2" t="str">
        <f t="shared" si="0"/>
        <v>dom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DATE(Configurações!$B$3,2,2)</f>
        <v>46055</v>
      </c>
      <c r="B29" s="2" t="str">
        <f t="shared" si="0"/>
        <v>seg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DATE(Configurações!$B$3,2,2)</f>
        <v>46055</v>
      </c>
      <c r="B30" s="2" t="str">
        <f t="shared" si="0"/>
        <v>seg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DATE(Configurações!$B$3,2,2)</f>
        <v>46055</v>
      </c>
      <c r="B31" s="2" t="str">
        <f t="shared" si="0"/>
        <v>seg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DATE(Configurações!$B$3,2,2)</f>
        <v>46055</v>
      </c>
      <c r="B32" s="2" t="str">
        <f t="shared" si="0"/>
        <v>seg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DATE(Configurações!$B$3,2,2)</f>
        <v>46055</v>
      </c>
      <c r="B33" s="2" t="str">
        <f t="shared" si="0"/>
        <v>seg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DATE(Configurações!$B$3,2,2)</f>
        <v>46055</v>
      </c>
      <c r="B34" s="2" t="str">
        <f t="shared" si="0"/>
        <v>seg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DATE(Configurações!$B$3,2,2)</f>
        <v>46055</v>
      </c>
      <c r="B35" s="2" t="str">
        <f t="shared" si="0"/>
        <v>seg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DATE(Configurações!$B$3,2,2)</f>
        <v>46055</v>
      </c>
      <c r="B36" s="2" t="str">
        <f t="shared" si="0"/>
        <v>seg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DATE(Configurações!$B$3,2,2)</f>
        <v>46055</v>
      </c>
      <c r="B37" s="2" t="str">
        <f t="shared" si="0"/>
        <v>seg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DATE(Configurações!$B$3,2,2)</f>
        <v>46055</v>
      </c>
      <c r="B38" s="2" t="str">
        <f t="shared" si="0"/>
        <v>seg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DATE(Configurações!$B$3,2,2)</f>
        <v>46055</v>
      </c>
      <c r="B39" s="2" t="str">
        <f t="shared" si="0"/>
        <v>seg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DATE(Configurações!$B$3,2,2)</f>
        <v>46055</v>
      </c>
      <c r="B40" s="2" t="str">
        <f t="shared" si="0"/>
        <v>seg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DATE(Configurações!$B$3,2,2)</f>
        <v>46055</v>
      </c>
      <c r="B41" s="2" t="str">
        <f t="shared" si="0"/>
        <v>seg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DATE(Configurações!$B$3,2,2)</f>
        <v>46055</v>
      </c>
      <c r="B42" s="2" t="str">
        <f t="shared" si="0"/>
        <v>seg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DATE(Configurações!$B$3,2,2)</f>
        <v>46055</v>
      </c>
      <c r="B43" s="2" t="str">
        <f t="shared" si="0"/>
        <v>seg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DATE(Configurações!$B$3,2,2)</f>
        <v>46055</v>
      </c>
      <c r="B44" s="2" t="str">
        <f t="shared" si="0"/>
        <v>seg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DATE(Configurações!$B$3,2,2)</f>
        <v>46055</v>
      </c>
      <c r="B45" s="2" t="str">
        <f t="shared" si="0"/>
        <v>seg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DATE(Configurações!$B$3,2,2)</f>
        <v>46055</v>
      </c>
      <c r="B46" s="2" t="str">
        <f t="shared" si="0"/>
        <v>seg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DATE(Configurações!$B$3,2,2)</f>
        <v>46055</v>
      </c>
      <c r="B47" s="2" t="str">
        <f t="shared" si="0"/>
        <v>seg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DATE(Configurações!$B$3,2,2)</f>
        <v>46055</v>
      </c>
      <c r="B48" s="2" t="str">
        <f t="shared" si="0"/>
        <v>seg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DATE(Configurações!$B$3,2,2)</f>
        <v>46055</v>
      </c>
      <c r="B49" s="2" t="str">
        <f t="shared" si="0"/>
        <v>seg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DATE(Configurações!$B$3,2,2)</f>
        <v>46055</v>
      </c>
      <c r="B50" s="2" t="str">
        <f t="shared" si="0"/>
        <v>seg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DATE(Configurações!$B$3,2,2)</f>
        <v>46055</v>
      </c>
      <c r="B51" s="2" t="str">
        <f t="shared" si="0"/>
        <v>seg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DATE(Configurações!$B$3,2,3)</f>
        <v>46056</v>
      </c>
      <c r="B52" s="2" t="str">
        <f t="shared" si="0"/>
        <v>ter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DATE(Configurações!$B$3,2,3)</f>
        <v>46056</v>
      </c>
      <c r="B53" s="2" t="str">
        <f t="shared" si="0"/>
        <v>ter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DATE(Configurações!$B$3,2,3)</f>
        <v>46056</v>
      </c>
      <c r="B54" s="2" t="str">
        <f t="shared" si="0"/>
        <v>ter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DATE(Configurações!$B$3,2,3)</f>
        <v>46056</v>
      </c>
      <c r="B55" s="2" t="str">
        <f t="shared" si="0"/>
        <v>ter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DATE(Configurações!$B$3,2,3)</f>
        <v>46056</v>
      </c>
      <c r="B56" s="2" t="str">
        <f t="shared" si="0"/>
        <v>ter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DATE(Configurações!$B$3,2,3)</f>
        <v>46056</v>
      </c>
      <c r="B57" s="2" t="str">
        <f t="shared" si="0"/>
        <v>ter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DATE(Configurações!$B$3,2,3)</f>
        <v>46056</v>
      </c>
      <c r="B58" s="2" t="str">
        <f t="shared" si="0"/>
        <v>ter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DATE(Configurações!$B$3,2,3)</f>
        <v>46056</v>
      </c>
      <c r="B59" s="2" t="str">
        <f t="shared" si="0"/>
        <v>ter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DATE(Configurações!$B$3,2,3)</f>
        <v>46056</v>
      </c>
      <c r="B60" s="2" t="str">
        <f t="shared" si="0"/>
        <v>ter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DATE(Configurações!$B$3,2,3)</f>
        <v>46056</v>
      </c>
      <c r="B61" s="2" t="str">
        <f t="shared" si="0"/>
        <v>ter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DATE(Configurações!$B$3,2,3)</f>
        <v>46056</v>
      </c>
      <c r="B62" s="2" t="str">
        <f t="shared" si="0"/>
        <v>ter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DATE(Configurações!$B$3,2,3)</f>
        <v>46056</v>
      </c>
      <c r="B63" s="2" t="str">
        <f t="shared" si="0"/>
        <v>ter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DATE(Configurações!$B$3,2,3)</f>
        <v>46056</v>
      </c>
      <c r="B64" s="2" t="str">
        <f t="shared" si="0"/>
        <v>ter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DATE(Configurações!$B$3,2,3)</f>
        <v>46056</v>
      </c>
      <c r="B65" s="2" t="str">
        <f t="shared" si="0"/>
        <v>ter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DATE(Configurações!$B$3,2,3)</f>
        <v>46056</v>
      </c>
      <c r="B66" s="2" t="str">
        <f t="shared" si="0"/>
        <v>ter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DATE(Configurações!$B$3,2,3)</f>
        <v>46056</v>
      </c>
      <c r="B67" s="2" t="str">
        <f t="shared" si="0"/>
        <v>ter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DATE(Configurações!$B$3,2,3)</f>
        <v>46056</v>
      </c>
      <c r="B68" s="2" t="str">
        <f t="shared" si="0"/>
        <v>ter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DATE(Configurações!$B$3,2,3)</f>
        <v>46056</v>
      </c>
      <c r="B69" s="2" t="str">
        <f t="shared" si="0"/>
        <v>ter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DATE(Configurações!$B$3,2,3)</f>
        <v>46056</v>
      </c>
      <c r="B70" s="2" t="str">
        <f t="shared" ref="B70:B133" si="1">TEXT(A70,"ddd")</f>
        <v>ter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DATE(Configurações!$B$3,2,3)</f>
        <v>46056</v>
      </c>
      <c r="B71" s="2" t="str">
        <f t="shared" si="1"/>
        <v>ter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DATE(Configurações!$B$3,2,3)</f>
        <v>46056</v>
      </c>
      <c r="B72" s="2" t="str">
        <f t="shared" si="1"/>
        <v>ter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DATE(Configurações!$B$3,2,3)</f>
        <v>46056</v>
      </c>
      <c r="B73" s="2" t="str">
        <f t="shared" si="1"/>
        <v>ter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DATE(Configurações!$B$3,2,3)</f>
        <v>46056</v>
      </c>
      <c r="B74" s="2" t="str">
        <f t="shared" si="1"/>
        <v>ter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DATE(Configurações!$B$3,2,4)</f>
        <v>46057</v>
      </c>
      <c r="B75" s="2" t="str">
        <f t="shared" si="1"/>
        <v>qua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DATE(Configurações!$B$3,2,4)</f>
        <v>46057</v>
      </c>
      <c r="B76" s="2" t="str">
        <f t="shared" si="1"/>
        <v>qua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DATE(Configurações!$B$3,2,4)</f>
        <v>46057</v>
      </c>
      <c r="B77" s="2" t="str">
        <f t="shared" si="1"/>
        <v>qua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DATE(Configurações!$B$3,2,4)</f>
        <v>46057</v>
      </c>
      <c r="B78" s="2" t="str">
        <f t="shared" si="1"/>
        <v>qua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DATE(Configurações!$B$3,2,4)</f>
        <v>46057</v>
      </c>
      <c r="B79" s="2" t="str">
        <f t="shared" si="1"/>
        <v>qua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DATE(Configurações!$B$3,2,4)</f>
        <v>46057</v>
      </c>
      <c r="B80" s="2" t="str">
        <f t="shared" si="1"/>
        <v>qua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DATE(Configurações!$B$3,2,4)</f>
        <v>46057</v>
      </c>
      <c r="B81" s="2" t="str">
        <f t="shared" si="1"/>
        <v>qua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DATE(Configurações!$B$3,2,4)</f>
        <v>46057</v>
      </c>
      <c r="B82" s="2" t="str">
        <f t="shared" si="1"/>
        <v>qua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DATE(Configurações!$B$3,2,4)</f>
        <v>46057</v>
      </c>
      <c r="B83" s="2" t="str">
        <f t="shared" si="1"/>
        <v>qua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DATE(Configurações!$B$3,2,4)</f>
        <v>46057</v>
      </c>
      <c r="B84" s="2" t="str">
        <f t="shared" si="1"/>
        <v>qua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DATE(Configurações!$B$3,2,4)</f>
        <v>46057</v>
      </c>
      <c r="B85" s="2" t="str">
        <f t="shared" si="1"/>
        <v>qua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DATE(Configurações!$B$3,2,4)</f>
        <v>46057</v>
      </c>
      <c r="B86" s="2" t="str">
        <f t="shared" si="1"/>
        <v>qua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DATE(Configurações!$B$3,2,4)</f>
        <v>46057</v>
      </c>
      <c r="B87" s="2" t="str">
        <f t="shared" si="1"/>
        <v>qua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DATE(Configurações!$B$3,2,4)</f>
        <v>46057</v>
      </c>
      <c r="B88" s="2" t="str">
        <f t="shared" si="1"/>
        <v>qua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DATE(Configurações!$B$3,2,4)</f>
        <v>46057</v>
      </c>
      <c r="B89" s="2" t="str">
        <f t="shared" si="1"/>
        <v>qua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DATE(Configurações!$B$3,2,4)</f>
        <v>46057</v>
      </c>
      <c r="B90" s="2" t="str">
        <f t="shared" si="1"/>
        <v>qua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DATE(Configurações!$B$3,2,4)</f>
        <v>46057</v>
      </c>
      <c r="B91" s="2" t="str">
        <f t="shared" si="1"/>
        <v>qua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DATE(Configurações!$B$3,2,4)</f>
        <v>46057</v>
      </c>
      <c r="B92" s="2" t="str">
        <f t="shared" si="1"/>
        <v>qua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DATE(Configurações!$B$3,2,4)</f>
        <v>46057</v>
      </c>
      <c r="B93" s="2" t="str">
        <f t="shared" si="1"/>
        <v>qua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DATE(Configurações!$B$3,2,4)</f>
        <v>46057</v>
      </c>
      <c r="B94" s="2" t="str">
        <f t="shared" si="1"/>
        <v>qua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DATE(Configurações!$B$3,2,4)</f>
        <v>46057</v>
      </c>
      <c r="B95" s="2" t="str">
        <f t="shared" si="1"/>
        <v>qua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DATE(Configurações!$B$3,2,4)</f>
        <v>46057</v>
      </c>
      <c r="B96" s="2" t="str">
        <f t="shared" si="1"/>
        <v>qua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DATE(Configurações!$B$3,2,4)</f>
        <v>46057</v>
      </c>
      <c r="B97" s="2" t="str">
        <f t="shared" si="1"/>
        <v>qua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DATE(Configurações!$B$3,2,5)</f>
        <v>46058</v>
      </c>
      <c r="B98" s="2" t="str">
        <f t="shared" si="1"/>
        <v>qui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DATE(Configurações!$B$3,2,5)</f>
        <v>46058</v>
      </c>
      <c r="B99" s="2" t="str">
        <f t="shared" si="1"/>
        <v>qui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DATE(Configurações!$B$3,2,5)</f>
        <v>46058</v>
      </c>
      <c r="B100" s="2" t="str">
        <f t="shared" si="1"/>
        <v>qui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DATE(Configurações!$B$3,2,5)</f>
        <v>46058</v>
      </c>
      <c r="B101" s="2" t="str">
        <f t="shared" si="1"/>
        <v>qui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DATE(Configurações!$B$3,2,5)</f>
        <v>46058</v>
      </c>
      <c r="B102" s="2" t="str">
        <f t="shared" si="1"/>
        <v>qui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DATE(Configurações!$B$3,2,5)</f>
        <v>46058</v>
      </c>
      <c r="B103" s="2" t="str">
        <f t="shared" si="1"/>
        <v>qui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DATE(Configurações!$B$3,2,5)</f>
        <v>46058</v>
      </c>
      <c r="B104" s="2" t="str">
        <f t="shared" si="1"/>
        <v>qui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DATE(Configurações!$B$3,2,5)</f>
        <v>46058</v>
      </c>
      <c r="B105" s="2" t="str">
        <f t="shared" si="1"/>
        <v>qui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DATE(Configurações!$B$3,2,5)</f>
        <v>46058</v>
      </c>
      <c r="B106" s="2" t="str">
        <f t="shared" si="1"/>
        <v>qui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DATE(Configurações!$B$3,2,5)</f>
        <v>46058</v>
      </c>
      <c r="B107" s="2" t="str">
        <f t="shared" si="1"/>
        <v>qui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DATE(Configurações!$B$3,2,5)</f>
        <v>46058</v>
      </c>
      <c r="B108" s="2" t="str">
        <f t="shared" si="1"/>
        <v>qui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DATE(Configurações!$B$3,2,5)</f>
        <v>46058</v>
      </c>
      <c r="B109" s="2" t="str">
        <f t="shared" si="1"/>
        <v>qui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DATE(Configurações!$B$3,2,5)</f>
        <v>46058</v>
      </c>
      <c r="B110" s="2" t="str">
        <f t="shared" si="1"/>
        <v>qui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DATE(Configurações!$B$3,2,5)</f>
        <v>46058</v>
      </c>
      <c r="B111" s="2" t="str">
        <f t="shared" si="1"/>
        <v>qui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DATE(Configurações!$B$3,2,5)</f>
        <v>46058</v>
      </c>
      <c r="B112" s="2" t="str">
        <f t="shared" si="1"/>
        <v>qui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DATE(Configurações!$B$3,2,5)</f>
        <v>46058</v>
      </c>
      <c r="B113" s="2" t="str">
        <f t="shared" si="1"/>
        <v>qui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DATE(Configurações!$B$3,2,5)</f>
        <v>46058</v>
      </c>
      <c r="B114" s="2" t="str">
        <f t="shared" si="1"/>
        <v>qui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DATE(Configurações!$B$3,2,5)</f>
        <v>46058</v>
      </c>
      <c r="B115" s="2" t="str">
        <f t="shared" si="1"/>
        <v>qui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DATE(Configurações!$B$3,2,5)</f>
        <v>46058</v>
      </c>
      <c r="B116" s="2" t="str">
        <f t="shared" si="1"/>
        <v>qui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DATE(Configurações!$B$3,2,5)</f>
        <v>46058</v>
      </c>
      <c r="B117" s="2" t="str">
        <f t="shared" si="1"/>
        <v>qui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DATE(Configurações!$B$3,2,5)</f>
        <v>46058</v>
      </c>
      <c r="B118" s="2" t="str">
        <f t="shared" si="1"/>
        <v>qui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DATE(Configurações!$B$3,2,5)</f>
        <v>46058</v>
      </c>
      <c r="B119" s="2" t="str">
        <f t="shared" si="1"/>
        <v>qui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DATE(Configurações!$B$3,2,5)</f>
        <v>46058</v>
      </c>
      <c r="B120" s="2" t="str">
        <f t="shared" si="1"/>
        <v>qui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DATE(Configurações!$B$3,2,6)</f>
        <v>46059</v>
      </c>
      <c r="B121" s="2" t="str">
        <f t="shared" si="1"/>
        <v>sex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DATE(Configurações!$B$3,2,6)</f>
        <v>46059</v>
      </c>
      <c r="B122" s="2" t="str">
        <f t="shared" si="1"/>
        <v>sex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DATE(Configurações!$B$3,2,6)</f>
        <v>46059</v>
      </c>
      <c r="B123" s="2" t="str">
        <f t="shared" si="1"/>
        <v>sex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DATE(Configurações!$B$3,2,6)</f>
        <v>46059</v>
      </c>
      <c r="B124" s="2" t="str">
        <f t="shared" si="1"/>
        <v>sex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DATE(Configurações!$B$3,2,6)</f>
        <v>46059</v>
      </c>
      <c r="B125" s="2" t="str">
        <f t="shared" si="1"/>
        <v>sex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DATE(Configurações!$B$3,2,6)</f>
        <v>46059</v>
      </c>
      <c r="B126" s="2" t="str">
        <f t="shared" si="1"/>
        <v>sex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DATE(Configurações!$B$3,2,6)</f>
        <v>46059</v>
      </c>
      <c r="B127" s="2" t="str">
        <f t="shared" si="1"/>
        <v>sex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DATE(Configurações!$B$3,2,6)</f>
        <v>46059</v>
      </c>
      <c r="B128" s="2" t="str">
        <f t="shared" si="1"/>
        <v>sex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DATE(Configurações!$B$3,2,6)</f>
        <v>46059</v>
      </c>
      <c r="B129" s="2" t="str">
        <f t="shared" si="1"/>
        <v>sex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DATE(Configurações!$B$3,2,6)</f>
        <v>46059</v>
      </c>
      <c r="B130" s="2" t="str">
        <f t="shared" si="1"/>
        <v>sex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DATE(Configurações!$B$3,2,6)</f>
        <v>46059</v>
      </c>
      <c r="B131" s="2" t="str">
        <f t="shared" si="1"/>
        <v>sex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DATE(Configurações!$B$3,2,6)</f>
        <v>46059</v>
      </c>
      <c r="B132" s="2" t="str">
        <f t="shared" si="1"/>
        <v>sex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DATE(Configurações!$B$3,2,6)</f>
        <v>46059</v>
      </c>
      <c r="B133" s="2" t="str">
        <f t="shared" si="1"/>
        <v>sex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DATE(Configurações!$B$3,2,6)</f>
        <v>46059</v>
      </c>
      <c r="B134" s="2" t="str">
        <f t="shared" ref="B134:B197" si="2">TEXT(A134,"ddd")</f>
        <v>sex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DATE(Configurações!$B$3,2,6)</f>
        <v>46059</v>
      </c>
      <c r="B135" s="2" t="str">
        <f t="shared" si="2"/>
        <v>sex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DATE(Configurações!$B$3,2,6)</f>
        <v>46059</v>
      </c>
      <c r="B136" s="2" t="str">
        <f t="shared" si="2"/>
        <v>sex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DATE(Configurações!$B$3,2,6)</f>
        <v>46059</v>
      </c>
      <c r="B137" s="2" t="str">
        <f t="shared" si="2"/>
        <v>sex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DATE(Configurações!$B$3,2,6)</f>
        <v>46059</v>
      </c>
      <c r="B138" s="2" t="str">
        <f t="shared" si="2"/>
        <v>sex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DATE(Configurações!$B$3,2,6)</f>
        <v>46059</v>
      </c>
      <c r="B139" s="2" t="str">
        <f t="shared" si="2"/>
        <v>sex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DATE(Configurações!$B$3,2,6)</f>
        <v>46059</v>
      </c>
      <c r="B140" s="2" t="str">
        <f t="shared" si="2"/>
        <v>sex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DATE(Configurações!$B$3,2,6)</f>
        <v>46059</v>
      </c>
      <c r="B141" s="2" t="str">
        <f t="shared" si="2"/>
        <v>sex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DATE(Configurações!$B$3,2,6)</f>
        <v>46059</v>
      </c>
      <c r="B142" s="2" t="str">
        <f t="shared" si="2"/>
        <v>sex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DATE(Configurações!$B$3,2,6)</f>
        <v>46059</v>
      </c>
      <c r="B143" s="2" t="str">
        <f t="shared" si="2"/>
        <v>sex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DATE(Configurações!$B$3,2,7)</f>
        <v>46060</v>
      </c>
      <c r="B144" s="2" t="str">
        <f t="shared" si="2"/>
        <v>sáb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DATE(Configurações!$B$3,2,7)</f>
        <v>46060</v>
      </c>
      <c r="B145" s="2" t="str">
        <f t="shared" si="2"/>
        <v>sáb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DATE(Configurações!$B$3,2,7)</f>
        <v>46060</v>
      </c>
      <c r="B146" s="2" t="str">
        <f t="shared" si="2"/>
        <v>sáb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DATE(Configurações!$B$3,2,7)</f>
        <v>46060</v>
      </c>
      <c r="B147" s="2" t="str">
        <f t="shared" si="2"/>
        <v>sáb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DATE(Configurações!$B$3,2,7)</f>
        <v>46060</v>
      </c>
      <c r="B148" s="2" t="str">
        <f t="shared" si="2"/>
        <v>sáb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DATE(Configurações!$B$3,2,7)</f>
        <v>46060</v>
      </c>
      <c r="B149" s="2" t="str">
        <f t="shared" si="2"/>
        <v>sáb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DATE(Configurações!$B$3,2,7)</f>
        <v>46060</v>
      </c>
      <c r="B150" s="2" t="str">
        <f t="shared" si="2"/>
        <v>sáb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DATE(Configurações!$B$3,2,7)</f>
        <v>46060</v>
      </c>
      <c r="B151" s="2" t="str">
        <f t="shared" si="2"/>
        <v>sáb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DATE(Configurações!$B$3,2,7)</f>
        <v>46060</v>
      </c>
      <c r="B152" s="2" t="str">
        <f t="shared" si="2"/>
        <v>sáb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DATE(Configurações!$B$3,2,7)</f>
        <v>46060</v>
      </c>
      <c r="B153" s="2" t="str">
        <f t="shared" si="2"/>
        <v>sáb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DATE(Configurações!$B$3,2,7)</f>
        <v>46060</v>
      </c>
      <c r="B154" s="2" t="str">
        <f t="shared" si="2"/>
        <v>sáb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DATE(Configurações!$B$3,2,7)</f>
        <v>46060</v>
      </c>
      <c r="B155" s="2" t="str">
        <f t="shared" si="2"/>
        <v>sáb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DATE(Configurações!$B$3,2,7)</f>
        <v>46060</v>
      </c>
      <c r="B156" s="2" t="str">
        <f t="shared" si="2"/>
        <v>sáb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DATE(Configurações!$B$3,2,7)</f>
        <v>46060</v>
      </c>
      <c r="B157" s="2" t="str">
        <f t="shared" si="2"/>
        <v>sáb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DATE(Configurações!$B$3,2,7)</f>
        <v>46060</v>
      </c>
      <c r="B158" s="2" t="str">
        <f t="shared" si="2"/>
        <v>sáb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DATE(Configurações!$B$3,2,7)</f>
        <v>46060</v>
      </c>
      <c r="B159" s="2" t="str">
        <f t="shared" si="2"/>
        <v>sáb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DATE(Configurações!$B$3,2,7)</f>
        <v>46060</v>
      </c>
      <c r="B160" s="2" t="str">
        <f t="shared" si="2"/>
        <v>sáb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DATE(Configurações!$B$3,2,7)</f>
        <v>46060</v>
      </c>
      <c r="B161" s="2" t="str">
        <f t="shared" si="2"/>
        <v>sáb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DATE(Configurações!$B$3,2,7)</f>
        <v>46060</v>
      </c>
      <c r="B162" s="2" t="str">
        <f t="shared" si="2"/>
        <v>sáb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DATE(Configurações!$B$3,2,7)</f>
        <v>46060</v>
      </c>
      <c r="B163" s="2" t="str">
        <f t="shared" si="2"/>
        <v>sáb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DATE(Configurações!$B$3,2,7)</f>
        <v>46060</v>
      </c>
      <c r="B164" s="2" t="str">
        <f t="shared" si="2"/>
        <v>sáb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DATE(Configurações!$B$3,2,7)</f>
        <v>46060</v>
      </c>
      <c r="B165" s="2" t="str">
        <f t="shared" si="2"/>
        <v>sáb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DATE(Configurações!$B$3,2,7)</f>
        <v>46060</v>
      </c>
      <c r="B166" s="2" t="str">
        <f t="shared" si="2"/>
        <v>sáb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DATE(Configurações!$B$3,2,8)</f>
        <v>46061</v>
      </c>
      <c r="B167" s="2" t="str">
        <f t="shared" si="2"/>
        <v>dom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DATE(Configurações!$B$3,2,8)</f>
        <v>46061</v>
      </c>
      <c r="B168" s="2" t="str">
        <f t="shared" si="2"/>
        <v>dom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DATE(Configurações!$B$3,2,8)</f>
        <v>46061</v>
      </c>
      <c r="B169" s="2" t="str">
        <f t="shared" si="2"/>
        <v>dom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DATE(Configurações!$B$3,2,8)</f>
        <v>46061</v>
      </c>
      <c r="B170" s="2" t="str">
        <f t="shared" si="2"/>
        <v>dom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DATE(Configurações!$B$3,2,8)</f>
        <v>46061</v>
      </c>
      <c r="B171" s="2" t="str">
        <f t="shared" si="2"/>
        <v>dom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DATE(Configurações!$B$3,2,8)</f>
        <v>46061</v>
      </c>
      <c r="B172" s="2" t="str">
        <f t="shared" si="2"/>
        <v>dom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DATE(Configurações!$B$3,2,8)</f>
        <v>46061</v>
      </c>
      <c r="B173" s="2" t="str">
        <f t="shared" si="2"/>
        <v>dom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DATE(Configurações!$B$3,2,8)</f>
        <v>46061</v>
      </c>
      <c r="B174" s="2" t="str">
        <f t="shared" si="2"/>
        <v>dom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DATE(Configurações!$B$3,2,8)</f>
        <v>46061</v>
      </c>
      <c r="B175" s="2" t="str">
        <f t="shared" si="2"/>
        <v>dom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DATE(Configurações!$B$3,2,8)</f>
        <v>46061</v>
      </c>
      <c r="B176" s="2" t="str">
        <f t="shared" si="2"/>
        <v>dom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DATE(Configurações!$B$3,2,8)</f>
        <v>46061</v>
      </c>
      <c r="B177" s="2" t="str">
        <f t="shared" si="2"/>
        <v>dom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DATE(Configurações!$B$3,2,8)</f>
        <v>46061</v>
      </c>
      <c r="B178" s="2" t="str">
        <f t="shared" si="2"/>
        <v>dom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DATE(Configurações!$B$3,2,8)</f>
        <v>46061</v>
      </c>
      <c r="B179" s="2" t="str">
        <f t="shared" si="2"/>
        <v>dom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DATE(Configurações!$B$3,2,8)</f>
        <v>46061</v>
      </c>
      <c r="B180" s="2" t="str">
        <f t="shared" si="2"/>
        <v>dom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DATE(Configurações!$B$3,2,8)</f>
        <v>46061</v>
      </c>
      <c r="B181" s="2" t="str">
        <f t="shared" si="2"/>
        <v>dom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DATE(Configurações!$B$3,2,8)</f>
        <v>46061</v>
      </c>
      <c r="B182" s="2" t="str">
        <f t="shared" si="2"/>
        <v>dom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DATE(Configurações!$B$3,2,8)</f>
        <v>46061</v>
      </c>
      <c r="B183" s="2" t="str">
        <f t="shared" si="2"/>
        <v>dom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DATE(Configurações!$B$3,2,8)</f>
        <v>46061</v>
      </c>
      <c r="B184" s="2" t="str">
        <f t="shared" si="2"/>
        <v>dom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DATE(Configurações!$B$3,2,8)</f>
        <v>46061</v>
      </c>
      <c r="B185" s="2" t="str">
        <f t="shared" si="2"/>
        <v>dom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DATE(Configurações!$B$3,2,8)</f>
        <v>46061</v>
      </c>
      <c r="B186" s="2" t="str">
        <f t="shared" si="2"/>
        <v>dom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DATE(Configurações!$B$3,2,8)</f>
        <v>46061</v>
      </c>
      <c r="B187" s="2" t="str">
        <f t="shared" si="2"/>
        <v>dom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DATE(Configurações!$B$3,2,8)</f>
        <v>46061</v>
      </c>
      <c r="B188" s="2" t="str">
        <f t="shared" si="2"/>
        <v>dom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DATE(Configurações!$B$3,2,8)</f>
        <v>46061</v>
      </c>
      <c r="B189" s="2" t="str">
        <f t="shared" si="2"/>
        <v>dom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DATE(Configurações!$B$3,2,9)</f>
        <v>46062</v>
      </c>
      <c r="B190" s="2" t="str">
        <f t="shared" si="2"/>
        <v>seg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DATE(Configurações!$B$3,2,9)</f>
        <v>46062</v>
      </c>
      <c r="B191" s="2" t="str">
        <f t="shared" si="2"/>
        <v>seg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DATE(Configurações!$B$3,2,9)</f>
        <v>46062</v>
      </c>
      <c r="B192" s="2" t="str">
        <f t="shared" si="2"/>
        <v>seg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DATE(Configurações!$B$3,2,9)</f>
        <v>46062</v>
      </c>
      <c r="B193" s="2" t="str">
        <f t="shared" si="2"/>
        <v>seg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DATE(Configurações!$B$3,2,9)</f>
        <v>46062</v>
      </c>
      <c r="B194" s="2" t="str">
        <f t="shared" si="2"/>
        <v>seg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DATE(Configurações!$B$3,2,9)</f>
        <v>46062</v>
      </c>
      <c r="B195" s="2" t="str">
        <f t="shared" si="2"/>
        <v>seg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DATE(Configurações!$B$3,2,9)</f>
        <v>46062</v>
      </c>
      <c r="B196" s="2" t="str">
        <f t="shared" si="2"/>
        <v>seg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DATE(Configurações!$B$3,2,9)</f>
        <v>46062</v>
      </c>
      <c r="B197" s="2" t="str">
        <f t="shared" si="2"/>
        <v>seg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DATE(Configurações!$B$3,2,9)</f>
        <v>46062</v>
      </c>
      <c r="B198" s="2" t="str">
        <f t="shared" ref="B198:B261" si="3">TEXT(A198,"ddd")</f>
        <v>seg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DATE(Configurações!$B$3,2,9)</f>
        <v>46062</v>
      </c>
      <c r="B199" s="2" t="str">
        <f t="shared" si="3"/>
        <v>seg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DATE(Configurações!$B$3,2,9)</f>
        <v>46062</v>
      </c>
      <c r="B200" s="2" t="str">
        <f t="shared" si="3"/>
        <v>seg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DATE(Configurações!$B$3,2,9)</f>
        <v>46062</v>
      </c>
      <c r="B201" s="2" t="str">
        <f t="shared" si="3"/>
        <v>seg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DATE(Configurações!$B$3,2,9)</f>
        <v>46062</v>
      </c>
      <c r="B202" s="2" t="str">
        <f t="shared" si="3"/>
        <v>seg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DATE(Configurações!$B$3,2,9)</f>
        <v>46062</v>
      </c>
      <c r="B203" s="2" t="str">
        <f t="shared" si="3"/>
        <v>seg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DATE(Configurações!$B$3,2,9)</f>
        <v>46062</v>
      </c>
      <c r="B204" s="2" t="str">
        <f t="shared" si="3"/>
        <v>seg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DATE(Configurações!$B$3,2,9)</f>
        <v>46062</v>
      </c>
      <c r="B205" s="2" t="str">
        <f t="shared" si="3"/>
        <v>seg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DATE(Configurações!$B$3,2,9)</f>
        <v>46062</v>
      </c>
      <c r="B206" s="2" t="str">
        <f t="shared" si="3"/>
        <v>seg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DATE(Configurações!$B$3,2,9)</f>
        <v>46062</v>
      </c>
      <c r="B207" s="2" t="str">
        <f t="shared" si="3"/>
        <v>seg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DATE(Configurações!$B$3,2,9)</f>
        <v>46062</v>
      </c>
      <c r="B208" s="2" t="str">
        <f t="shared" si="3"/>
        <v>seg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DATE(Configurações!$B$3,2,9)</f>
        <v>46062</v>
      </c>
      <c r="B209" s="2" t="str">
        <f t="shared" si="3"/>
        <v>seg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DATE(Configurações!$B$3,2,9)</f>
        <v>46062</v>
      </c>
      <c r="B210" s="2" t="str">
        <f t="shared" si="3"/>
        <v>seg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DATE(Configurações!$B$3,2,9)</f>
        <v>46062</v>
      </c>
      <c r="B211" s="2" t="str">
        <f t="shared" si="3"/>
        <v>seg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DATE(Configurações!$B$3,2,9)</f>
        <v>46062</v>
      </c>
      <c r="B212" s="2" t="str">
        <f t="shared" si="3"/>
        <v>seg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DATE(Configurações!$B$3,2,10)</f>
        <v>46063</v>
      </c>
      <c r="B213" s="2" t="str">
        <f t="shared" si="3"/>
        <v>ter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DATE(Configurações!$B$3,2,10)</f>
        <v>46063</v>
      </c>
      <c r="B214" s="2" t="str">
        <f t="shared" si="3"/>
        <v>ter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DATE(Configurações!$B$3,2,10)</f>
        <v>46063</v>
      </c>
      <c r="B215" s="2" t="str">
        <f t="shared" si="3"/>
        <v>ter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DATE(Configurações!$B$3,2,10)</f>
        <v>46063</v>
      </c>
      <c r="B216" s="2" t="str">
        <f t="shared" si="3"/>
        <v>ter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DATE(Configurações!$B$3,2,10)</f>
        <v>46063</v>
      </c>
      <c r="B217" s="2" t="str">
        <f t="shared" si="3"/>
        <v>ter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DATE(Configurações!$B$3,2,10)</f>
        <v>46063</v>
      </c>
      <c r="B218" s="2" t="str">
        <f t="shared" si="3"/>
        <v>ter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DATE(Configurações!$B$3,2,10)</f>
        <v>46063</v>
      </c>
      <c r="B219" s="2" t="str">
        <f t="shared" si="3"/>
        <v>ter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DATE(Configurações!$B$3,2,10)</f>
        <v>46063</v>
      </c>
      <c r="B220" s="2" t="str">
        <f t="shared" si="3"/>
        <v>ter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DATE(Configurações!$B$3,2,10)</f>
        <v>46063</v>
      </c>
      <c r="B221" s="2" t="str">
        <f t="shared" si="3"/>
        <v>ter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DATE(Configurações!$B$3,2,10)</f>
        <v>46063</v>
      </c>
      <c r="B222" s="2" t="str">
        <f t="shared" si="3"/>
        <v>ter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DATE(Configurações!$B$3,2,10)</f>
        <v>46063</v>
      </c>
      <c r="B223" s="2" t="str">
        <f t="shared" si="3"/>
        <v>ter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DATE(Configurações!$B$3,2,10)</f>
        <v>46063</v>
      </c>
      <c r="B224" s="2" t="str">
        <f t="shared" si="3"/>
        <v>ter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DATE(Configurações!$B$3,2,10)</f>
        <v>46063</v>
      </c>
      <c r="B225" s="2" t="str">
        <f t="shared" si="3"/>
        <v>ter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DATE(Configurações!$B$3,2,10)</f>
        <v>46063</v>
      </c>
      <c r="B226" s="2" t="str">
        <f t="shared" si="3"/>
        <v>ter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DATE(Configurações!$B$3,2,10)</f>
        <v>46063</v>
      </c>
      <c r="B227" s="2" t="str">
        <f t="shared" si="3"/>
        <v>ter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DATE(Configurações!$B$3,2,10)</f>
        <v>46063</v>
      </c>
      <c r="B228" s="2" t="str">
        <f t="shared" si="3"/>
        <v>ter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DATE(Configurações!$B$3,2,10)</f>
        <v>46063</v>
      </c>
      <c r="B229" s="2" t="str">
        <f t="shared" si="3"/>
        <v>ter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DATE(Configurações!$B$3,2,10)</f>
        <v>46063</v>
      </c>
      <c r="B230" s="2" t="str">
        <f t="shared" si="3"/>
        <v>ter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DATE(Configurações!$B$3,2,10)</f>
        <v>46063</v>
      </c>
      <c r="B231" s="2" t="str">
        <f t="shared" si="3"/>
        <v>ter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DATE(Configurações!$B$3,2,10)</f>
        <v>46063</v>
      </c>
      <c r="B232" s="2" t="str">
        <f t="shared" si="3"/>
        <v>ter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DATE(Configurações!$B$3,2,10)</f>
        <v>46063</v>
      </c>
      <c r="B233" s="2" t="str">
        <f t="shared" si="3"/>
        <v>ter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DATE(Configurações!$B$3,2,10)</f>
        <v>46063</v>
      </c>
      <c r="B234" s="2" t="str">
        <f t="shared" si="3"/>
        <v>ter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DATE(Configurações!$B$3,2,10)</f>
        <v>46063</v>
      </c>
      <c r="B235" s="2" t="str">
        <f t="shared" si="3"/>
        <v>ter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DATE(Configurações!$B$3,2,11)</f>
        <v>46064</v>
      </c>
      <c r="B236" s="2" t="str">
        <f t="shared" si="3"/>
        <v>qua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DATE(Configurações!$B$3,2,11)</f>
        <v>46064</v>
      </c>
      <c r="B237" s="2" t="str">
        <f t="shared" si="3"/>
        <v>qua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DATE(Configurações!$B$3,2,11)</f>
        <v>46064</v>
      </c>
      <c r="B238" s="2" t="str">
        <f t="shared" si="3"/>
        <v>qua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DATE(Configurações!$B$3,2,11)</f>
        <v>46064</v>
      </c>
      <c r="B239" s="2" t="str">
        <f t="shared" si="3"/>
        <v>qua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DATE(Configurações!$B$3,2,11)</f>
        <v>46064</v>
      </c>
      <c r="B240" s="2" t="str">
        <f t="shared" si="3"/>
        <v>qua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DATE(Configurações!$B$3,2,11)</f>
        <v>46064</v>
      </c>
      <c r="B241" s="2" t="str">
        <f t="shared" si="3"/>
        <v>qua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DATE(Configurações!$B$3,2,11)</f>
        <v>46064</v>
      </c>
      <c r="B242" s="2" t="str">
        <f t="shared" si="3"/>
        <v>qua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DATE(Configurações!$B$3,2,11)</f>
        <v>46064</v>
      </c>
      <c r="B243" s="2" t="str">
        <f t="shared" si="3"/>
        <v>qua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DATE(Configurações!$B$3,2,11)</f>
        <v>46064</v>
      </c>
      <c r="B244" s="2" t="str">
        <f t="shared" si="3"/>
        <v>qua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DATE(Configurações!$B$3,2,11)</f>
        <v>46064</v>
      </c>
      <c r="B245" s="2" t="str">
        <f t="shared" si="3"/>
        <v>qua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DATE(Configurações!$B$3,2,11)</f>
        <v>46064</v>
      </c>
      <c r="B246" s="2" t="str">
        <f t="shared" si="3"/>
        <v>qua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DATE(Configurações!$B$3,2,11)</f>
        <v>46064</v>
      </c>
      <c r="B247" s="2" t="str">
        <f t="shared" si="3"/>
        <v>qua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DATE(Configurações!$B$3,2,11)</f>
        <v>46064</v>
      </c>
      <c r="B248" s="2" t="str">
        <f t="shared" si="3"/>
        <v>qua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DATE(Configurações!$B$3,2,11)</f>
        <v>46064</v>
      </c>
      <c r="B249" s="2" t="str">
        <f t="shared" si="3"/>
        <v>qua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DATE(Configurações!$B$3,2,11)</f>
        <v>46064</v>
      </c>
      <c r="B250" s="2" t="str">
        <f t="shared" si="3"/>
        <v>qua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DATE(Configurações!$B$3,2,11)</f>
        <v>46064</v>
      </c>
      <c r="B251" s="2" t="str">
        <f t="shared" si="3"/>
        <v>qua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DATE(Configurações!$B$3,2,11)</f>
        <v>46064</v>
      </c>
      <c r="B252" s="2" t="str">
        <f t="shared" si="3"/>
        <v>qua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DATE(Configurações!$B$3,2,11)</f>
        <v>46064</v>
      </c>
      <c r="B253" s="2" t="str">
        <f t="shared" si="3"/>
        <v>qua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DATE(Configurações!$B$3,2,11)</f>
        <v>46064</v>
      </c>
      <c r="B254" s="2" t="str">
        <f t="shared" si="3"/>
        <v>qua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DATE(Configurações!$B$3,2,11)</f>
        <v>46064</v>
      </c>
      <c r="B255" s="2" t="str">
        <f t="shared" si="3"/>
        <v>qua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DATE(Configurações!$B$3,2,11)</f>
        <v>46064</v>
      </c>
      <c r="B256" s="2" t="str">
        <f t="shared" si="3"/>
        <v>qua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DATE(Configurações!$B$3,2,11)</f>
        <v>46064</v>
      </c>
      <c r="B257" s="2" t="str">
        <f t="shared" si="3"/>
        <v>qua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DATE(Configurações!$B$3,2,11)</f>
        <v>46064</v>
      </c>
      <c r="B258" s="2" t="str">
        <f t="shared" si="3"/>
        <v>qua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DATE(Configurações!$B$3,2,12)</f>
        <v>46065</v>
      </c>
      <c r="B259" s="2" t="str">
        <f t="shared" si="3"/>
        <v>qui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DATE(Configurações!$B$3,2,12)</f>
        <v>46065</v>
      </c>
      <c r="B260" s="2" t="str">
        <f t="shared" si="3"/>
        <v>qui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DATE(Configurações!$B$3,2,12)</f>
        <v>46065</v>
      </c>
      <c r="B261" s="2" t="str">
        <f t="shared" si="3"/>
        <v>qui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DATE(Configurações!$B$3,2,12)</f>
        <v>46065</v>
      </c>
      <c r="B262" s="2" t="str">
        <f t="shared" ref="B262:B325" si="4">TEXT(A262,"ddd")</f>
        <v>qui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DATE(Configurações!$B$3,2,12)</f>
        <v>46065</v>
      </c>
      <c r="B263" s="2" t="str">
        <f t="shared" si="4"/>
        <v>qui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DATE(Configurações!$B$3,2,12)</f>
        <v>46065</v>
      </c>
      <c r="B264" s="2" t="str">
        <f t="shared" si="4"/>
        <v>qui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DATE(Configurações!$B$3,2,12)</f>
        <v>46065</v>
      </c>
      <c r="B265" s="2" t="str">
        <f t="shared" si="4"/>
        <v>qui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DATE(Configurações!$B$3,2,12)</f>
        <v>46065</v>
      </c>
      <c r="B266" s="2" t="str">
        <f t="shared" si="4"/>
        <v>qui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DATE(Configurações!$B$3,2,12)</f>
        <v>46065</v>
      </c>
      <c r="B267" s="2" t="str">
        <f t="shared" si="4"/>
        <v>qui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DATE(Configurações!$B$3,2,12)</f>
        <v>46065</v>
      </c>
      <c r="B268" s="2" t="str">
        <f t="shared" si="4"/>
        <v>qui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DATE(Configurações!$B$3,2,12)</f>
        <v>46065</v>
      </c>
      <c r="B269" s="2" t="str">
        <f t="shared" si="4"/>
        <v>qui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DATE(Configurações!$B$3,2,12)</f>
        <v>46065</v>
      </c>
      <c r="B270" s="2" t="str">
        <f t="shared" si="4"/>
        <v>qui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DATE(Configurações!$B$3,2,12)</f>
        <v>46065</v>
      </c>
      <c r="B271" s="2" t="str">
        <f t="shared" si="4"/>
        <v>qui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DATE(Configurações!$B$3,2,12)</f>
        <v>46065</v>
      </c>
      <c r="B272" s="2" t="str">
        <f t="shared" si="4"/>
        <v>qui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DATE(Configurações!$B$3,2,12)</f>
        <v>46065</v>
      </c>
      <c r="B273" s="2" t="str">
        <f t="shared" si="4"/>
        <v>qui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DATE(Configurações!$B$3,2,12)</f>
        <v>46065</v>
      </c>
      <c r="B274" s="2" t="str">
        <f t="shared" si="4"/>
        <v>qui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DATE(Configurações!$B$3,2,12)</f>
        <v>46065</v>
      </c>
      <c r="B275" s="2" t="str">
        <f t="shared" si="4"/>
        <v>qui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DATE(Configurações!$B$3,2,12)</f>
        <v>46065</v>
      </c>
      <c r="B276" s="2" t="str">
        <f t="shared" si="4"/>
        <v>qui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DATE(Configurações!$B$3,2,12)</f>
        <v>46065</v>
      </c>
      <c r="B277" s="2" t="str">
        <f t="shared" si="4"/>
        <v>qui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DATE(Configurações!$B$3,2,12)</f>
        <v>46065</v>
      </c>
      <c r="B278" s="2" t="str">
        <f t="shared" si="4"/>
        <v>qui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DATE(Configurações!$B$3,2,12)</f>
        <v>46065</v>
      </c>
      <c r="B279" s="2" t="str">
        <f t="shared" si="4"/>
        <v>qui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DATE(Configurações!$B$3,2,12)</f>
        <v>46065</v>
      </c>
      <c r="B280" s="2" t="str">
        <f t="shared" si="4"/>
        <v>qui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DATE(Configurações!$B$3,2,12)</f>
        <v>46065</v>
      </c>
      <c r="B281" s="2" t="str">
        <f t="shared" si="4"/>
        <v>qui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DATE(Configurações!$B$3,2,13)</f>
        <v>46066</v>
      </c>
      <c r="B282" s="2" t="str">
        <f t="shared" si="4"/>
        <v>sex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DATE(Configurações!$B$3,2,13)</f>
        <v>46066</v>
      </c>
      <c r="B283" s="2" t="str">
        <f t="shared" si="4"/>
        <v>sex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DATE(Configurações!$B$3,2,13)</f>
        <v>46066</v>
      </c>
      <c r="B284" s="2" t="str">
        <f t="shared" si="4"/>
        <v>sex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DATE(Configurações!$B$3,2,13)</f>
        <v>46066</v>
      </c>
      <c r="B285" s="2" t="str">
        <f t="shared" si="4"/>
        <v>sex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DATE(Configurações!$B$3,2,13)</f>
        <v>46066</v>
      </c>
      <c r="B286" s="2" t="str">
        <f t="shared" si="4"/>
        <v>sex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DATE(Configurações!$B$3,2,13)</f>
        <v>46066</v>
      </c>
      <c r="B287" s="2" t="str">
        <f t="shared" si="4"/>
        <v>sex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DATE(Configurações!$B$3,2,13)</f>
        <v>46066</v>
      </c>
      <c r="B288" s="2" t="str">
        <f t="shared" si="4"/>
        <v>sex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DATE(Configurações!$B$3,2,13)</f>
        <v>46066</v>
      </c>
      <c r="B289" s="2" t="str">
        <f t="shared" si="4"/>
        <v>sex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DATE(Configurações!$B$3,2,13)</f>
        <v>46066</v>
      </c>
      <c r="B290" s="2" t="str">
        <f t="shared" si="4"/>
        <v>sex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DATE(Configurações!$B$3,2,13)</f>
        <v>46066</v>
      </c>
      <c r="B291" s="2" t="str">
        <f t="shared" si="4"/>
        <v>sex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DATE(Configurações!$B$3,2,13)</f>
        <v>46066</v>
      </c>
      <c r="B292" s="2" t="str">
        <f t="shared" si="4"/>
        <v>sex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DATE(Configurações!$B$3,2,13)</f>
        <v>46066</v>
      </c>
      <c r="B293" s="2" t="str">
        <f t="shared" si="4"/>
        <v>sex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DATE(Configurações!$B$3,2,13)</f>
        <v>46066</v>
      </c>
      <c r="B294" s="2" t="str">
        <f t="shared" si="4"/>
        <v>sex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DATE(Configurações!$B$3,2,13)</f>
        <v>46066</v>
      </c>
      <c r="B295" s="2" t="str">
        <f t="shared" si="4"/>
        <v>sex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DATE(Configurações!$B$3,2,13)</f>
        <v>46066</v>
      </c>
      <c r="B296" s="2" t="str">
        <f t="shared" si="4"/>
        <v>sex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DATE(Configurações!$B$3,2,13)</f>
        <v>46066</v>
      </c>
      <c r="B297" s="2" t="str">
        <f t="shared" si="4"/>
        <v>sex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DATE(Configurações!$B$3,2,13)</f>
        <v>46066</v>
      </c>
      <c r="B298" s="2" t="str">
        <f t="shared" si="4"/>
        <v>sex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DATE(Configurações!$B$3,2,13)</f>
        <v>46066</v>
      </c>
      <c r="B299" s="2" t="str">
        <f t="shared" si="4"/>
        <v>sex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DATE(Configurações!$B$3,2,13)</f>
        <v>46066</v>
      </c>
      <c r="B300" s="2" t="str">
        <f t="shared" si="4"/>
        <v>sex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DATE(Configurações!$B$3,2,13)</f>
        <v>46066</v>
      </c>
      <c r="B301" s="2" t="str">
        <f t="shared" si="4"/>
        <v>sex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DATE(Configurações!$B$3,2,13)</f>
        <v>46066</v>
      </c>
      <c r="B302" s="2" t="str">
        <f t="shared" si="4"/>
        <v>sex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DATE(Configurações!$B$3,2,13)</f>
        <v>46066</v>
      </c>
      <c r="B303" s="2" t="str">
        <f t="shared" si="4"/>
        <v>sex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DATE(Configurações!$B$3,2,13)</f>
        <v>46066</v>
      </c>
      <c r="B304" s="2" t="str">
        <f t="shared" si="4"/>
        <v>sex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DATE(Configurações!$B$3,2,14)</f>
        <v>46067</v>
      </c>
      <c r="B305" s="2" t="str">
        <f t="shared" si="4"/>
        <v>sáb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DATE(Configurações!$B$3,2,14)</f>
        <v>46067</v>
      </c>
      <c r="B306" s="2" t="str">
        <f t="shared" si="4"/>
        <v>sáb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DATE(Configurações!$B$3,2,14)</f>
        <v>46067</v>
      </c>
      <c r="B307" s="2" t="str">
        <f t="shared" si="4"/>
        <v>sáb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DATE(Configurações!$B$3,2,14)</f>
        <v>46067</v>
      </c>
      <c r="B308" s="2" t="str">
        <f t="shared" si="4"/>
        <v>sáb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DATE(Configurações!$B$3,2,14)</f>
        <v>46067</v>
      </c>
      <c r="B309" s="2" t="str">
        <f t="shared" si="4"/>
        <v>sáb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DATE(Configurações!$B$3,2,14)</f>
        <v>46067</v>
      </c>
      <c r="B310" s="2" t="str">
        <f t="shared" si="4"/>
        <v>sáb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DATE(Configurações!$B$3,2,14)</f>
        <v>46067</v>
      </c>
      <c r="B311" s="2" t="str">
        <f t="shared" si="4"/>
        <v>sáb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DATE(Configurações!$B$3,2,14)</f>
        <v>46067</v>
      </c>
      <c r="B312" s="2" t="str">
        <f t="shared" si="4"/>
        <v>sáb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DATE(Configurações!$B$3,2,14)</f>
        <v>46067</v>
      </c>
      <c r="B313" s="2" t="str">
        <f t="shared" si="4"/>
        <v>sáb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DATE(Configurações!$B$3,2,14)</f>
        <v>46067</v>
      </c>
      <c r="B314" s="2" t="str">
        <f t="shared" si="4"/>
        <v>sáb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DATE(Configurações!$B$3,2,14)</f>
        <v>46067</v>
      </c>
      <c r="B315" s="2" t="str">
        <f t="shared" si="4"/>
        <v>sáb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DATE(Configurações!$B$3,2,14)</f>
        <v>46067</v>
      </c>
      <c r="B316" s="2" t="str">
        <f t="shared" si="4"/>
        <v>sáb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DATE(Configurações!$B$3,2,14)</f>
        <v>46067</v>
      </c>
      <c r="B317" s="2" t="str">
        <f t="shared" si="4"/>
        <v>sáb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DATE(Configurações!$B$3,2,14)</f>
        <v>46067</v>
      </c>
      <c r="B318" s="2" t="str">
        <f t="shared" si="4"/>
        <v>sáb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DATE(Configurações!$B$3,2,14)</f>
        <v>46067</v>
      </c>
      <c r="B319" s="2" t="str">
        <f t="shared" si="4"/>
        <v>sáb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DATE(Configurações!$B$3,2,14)</f>
        <v>46067</v>
      </c>
      <c r="B320" s="2" t="str">
        <f t="shared" si="4"/>
        <v>sáb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DATE(Configurações!$B$3,2,14)</f>
        <v>46067</v>
      </c>
      <c r="B321" s="2" t="str">
        <f t="shared" si="4"/>
        <v>sáb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DATE(Configurações!$B$3,2,14)</f>
        <v>46067</v>
      </c>
      <c r="B322" s="2" t="str">
        <f t="shared" si="4"/>
        <v>sáb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DATE(Configurações!$B$3,2,14)</f>
        <v>46067</v>
      </c>
      <c r="B323" s="2" t="str">
        <f t="shared" si="4"/>
        <v>sáb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DATE(Configurações!$B$3,2,14)</f>
        <v>46067</v>
      </c>
      <c r="B324" s="2" t="str">
        <f t="shared" si="4"/>
        <v>sáb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DATE(Configurações!$B$3,2,14)</f>
        <v>46067</v>
      </c>
      <c r="B325" s="2" t="str">
        <f t="shared" si="4"/>
        <v>sáb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DATE(Configurações!$B$3,2,14)</f>
        <v>46067</v>
      </c>
      <c r="B326" s="2" t="str">
        <f t="shared" ref="B326:B389" si="5">TEXT(A326,"ddd")</f>
        <v>sáb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DATE(Configurações!$B$3,2,14)</f>
        <v>46067</v>
      </c>
      <c r="B327" s="2" t="str">
        <f t="shared" si="5"/>
        <v>sáb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DATE(Configurações!$B$3,2,15)</f>
        <v>46068</v>
      </c>
      <c r="B328" s="2" t="str">
        <f t="shared" si="5"/>
        <v>dom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DATE(Configurações!$B$3,2,15)</f>
        <v>46068</v>
      </c>
      <c r="B329" s="2" t="str">
        <f t="shared" si="5"/>
        <v>dom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DATE(Configurações!$B$3,2,15)</f>
        <v>46068</v>
      </c>
      <c r="B330" s="2" t="str">
        <f t="shared" si="5"/>
        <v>dom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DATE(Configurações!$B$3,2,15)</f>
        <v>46068</v>
      </c>
      <c r="B331" s="2" t="str">
        <f t="shared" si="5"/>
        <v>dom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DATE(Configurações!$B$3,2,15)</f>
        <v>46068</v>
      </c>
      <c r="B332" s="2" t="str">
        <f t="shared" si="5"/>
        <v>dom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DATE(Configurações!$B$3,2,15)</f>
        <v>46068</v>
      </c>
      <c r="B333" s="2" t="str">
        <f t="shared" si="5"/>
        <v>dom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DATE(Configurações!$B$3,2,15)</f>
        <v>46068</v>
      </c>
      <c r="B334" s="2" t="str">
        <f t="shared" si="5"/>
        <v>dom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DATE(Configurações!$B$3,2,15)</f>
        <v>46068</v>
      </c>
      <c r="B335" s="2" t="str">
        <f t="shared" si="5"/>
        <v>dom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DATE(Configurações!$B$3,2,15)</f>
        <v>46068</v>
      </c>
      <c r="B336" s="2" t="str">
        <f t="shared" si="5"/>
        <v>dom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DATE(Configurações!$B$3,2,15)</f>
        <v>46068</v>
      </c>
      <c r="B337" s="2" t="str">
        <f t="shared" si="5"/>
        <v>dom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DATE(Configurações!$B$3,2,15)</f>
        <v>46068</v>
      </c>
      <c r="B338" s="2" t="str">
        <f t="shared" si="5"/>
        <v>dom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DATE(Configurações!$B$3,2,15)</f>
        <v>46068</v>
      </c>
      <c r="B339" s="2" t="str">
        <f t="shared" si="5"/>
        <v>dom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DATE(Configurações!$B$3,2,15)</f>
        <v>46068</v>
      </c>
      <c r="B340" s="2" t="str">
        <f t="shared" si="5"/>
        <v>dom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DATE(Configurações!$B$3,2,15)</f>
        <v>46068</v>
      </c>
      <c r="B341" s="2" t="str">
        <f t="shared" si="5"/>
        <v>dom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DATE(Configurações!$B$3,2,15)</f>
        <v>46068</v>
      </c>
      <c r="B342" s="2" t="str">
        <f t="shared" si="5"/>
        <v>dom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DATE(Configurações!$B$3,2,15)</f>
        <v>46068</v>
      </c>
      <c r="B343" s="2" t="str">
        <f t="shared" si="5"/>
        <v>dom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DATE(Configurações!$B$3,2,15)</f>
        <v>46068</v>
      </c>
      <c r="B344" s="2" t="str">
        <f t="shared" si="5"/>
        <v>dom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DATE(Configurações!$B$3,2,15)</f>
        <v>46068</v>
      </c>
      <c r="B345" s="2" t="str">
        <f t="shared" si="5"/>
        <v>dom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DATE(Configurações!$B$3,2,15)</f>
        <v>46068</v>
      </c>
      <c r="B346" s="2" t="str">
        <f t="shared" si="5"/>
        <v>dom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DATE(Configurações!$B$3,2,15)</f>
        <v>46068</v>
      </c>
      <c r="B347" s="2" t="str">
        <f t="shared" si="5"/>
        <v>dom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DATE(Configurações!$B$3,2,15)</f>
        <v>46068</v>
      </c>
      <c r="B348" s="2" t="str">
        <f t="shared" si="5"/>
        <v>dom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DATE(Configurações!$B$3,2,15)</f>
        <v>46068</v>
      </c>
      <c r="B349" s="2" t="str">
        <f t="shared" si="5"/>
        <v>dom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DATE(Configurações!$B$3,2,15)</f>
        <v>46068</v>
      </c>
      <c r="B350" s="2" t="str">
        <f t="shared" si="5"/>
        <v>dom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DATE(Configurações!$B$3,2,16)</f>
        <v>46069</v>
      </c>
      <c r="B351" s="2" t="str">
        <f t="shared" si="5"/>
        <v>seg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DATE(Configurações!$B$3,2,16)</f>
        <v>46069</v>
      </c>
      <c r="B352" s="2" t="str">
        <f t="shared" si="5"/>
        <v>seg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DATE(Configurações!$B$3,2,16)</f>
        <v>46069</v>
      </c>
      <c r="B353" s="2" t="str">
        <f t="shared" si="5"/>
        <v>seg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DATE(Configurações!$B$3,2,16)</f>
        <v>46069</v>
      </c>
      <c r="B354" s="2" t="str">
        <f t="shared" si="5"/>
        <v>seg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DATE(Configurações!$B$3,2,16)</f>
        <v>46069</v>
      </c>
      <c r="B355" s="2" t="str">
        <f t="shared" si="5"/>
        <v>seg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DATE(Configurações!$B$3,2,16)</f>
        <v>46069</v>
      </c>
      <c r="B356" s="2" t="str">
        <f t="shared" si="5"/>
        <v>seg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DATE(Configurações!$B$3,2,16)</f>
        <v>46069</v>
      </c>
      <c r="B357" s="2" t="str">
        <f t="shared" si="5"/>
        <v>seg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DATE(Configurações!$B$3,2,16)</f>
        <v>46069</v>
      </c>
      <c r="B358" s="2" t="str">
        <f t="shared" si="5"/>
        <v>seg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DATE(Configurações!$B$3,2,16)</f>
        <v>46069</v>
      </c>
      <c r="B359" s="2" t="str">
        <f t="shared" si="5"/>
        <v>seg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DATE(Configurações!$B$3,2,16)</f>
        <v>46069</v>
      </c>
      <c r="B360" s="2" t="str">
        <f t="shared" si="5"/>
        <v>seg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DATE(Configurações!$B$3,2,16)</f>
        <v>46069</v>
      </c>
      <c r="B361" s="2" t="str">
        <f t="shared" si="5"/>
        <v>seg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DATE(Configurações!$B$3,2,16)</f>
        <v>46069</v>
      </c>
      <c r="B362" s="2" t="str">
        <f t="shared" si="5"/>
        <v>seg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DATE(Configurações!$B$3,2,16)</f>
        <v>46069</v>
      </c>
      <c r="B363" s="2" t="str">
        <f t="shared" si="5"/>
        <v>seg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DATE(Configurações!$B$3,2,16)</f>
        <v>46069</v>
      </c>
      <c r="B364" s="2" t="str">
        <f t="shared" si="5"/>
        <v>seg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DATE(Configurações!$B$3,2,16)</f>
        <v>46069</v>
      </c>
      <c r="B365" s="2" t="str">
        <f t="shared" si="5"/>
        <v>seg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DATE(Configurações!$B$3,2,16)</f>
        <v>46069</v>
      </c>
      <c r="B366" s="2" t="str">
        <f t="shared" si="5"/>
        <v>seg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DATE(Configurações!$B$3,2,16)</f>
        <v>46069</v>
      </c>
      <c r="B367" s="2" t="str">
        <f t="shared" si="5"/>
        <v>seg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DATE(Configurações!$B$3,2,16)</f>
        <v>46069</v>
      </c>
      <c r="B368" s="2" t="str">
        <f t="shared" si="5"/>
        <v>seg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DATE(Configurações!$B$3,2,16)</f>
        <v>46069</v>
      </c>
      <c r="B369" s="2" t="str">
        <f t="shared" si="5"/>
        <v>seg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DATE(Configurações!$B$3,2,16)</f>
        <v>46069</v>
      </c>
      <c r="B370" s="2" t="str">
        <f t="shared" si="5"/>
        <v>seg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DATE(Configurações!$B$3,2,16)</f>
        <v>46069</v>
      </c>
      <c r="B371" s="2" t="str">
        <f t="shared" si="5"/>
        <v>seg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DATE(Configurações!$B$3,2,16)</f>
        <v>46069</v>
      </c>
      <c r="B372" s="2" t="str">
        <f t="shared" si="5"/>
        <v>seg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DATE(Configurações!$B$3,2,16)</f>
        <v>46069</v>
      </c>
      <c r="B373" s="2" t="str">
        <f t="shared" si="5"/>
        <v>seg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DATE(Configurações!$B$3,2,17)</f>
        <v>46070</v>
      </c>
      <c r="B374" s="2" t="str">
        <f t="shared" si="5"/>
        <v>ter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DATE(Configurações!$B$3,2,17)</f>
        <v>46070</v>
      </c>
      <c r="B375" s="2" t="str">
        <f t="shared" si="5"/>
        <v>ter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DATE(Configurações!$B$3,2,17)</f>
        <v>46070</v>
      </c>
      <c r="B376" s="2" t="str">
        <f t="shared" si="5"/>
        <v>ter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DATE(Configurações!$B$3,2,17)</f>
        <v>46070</v>
      </c>
      <c r="B377" s="2" t="str">
        <f t="shared" si="5"/>
        <v>ter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DATE(Configurações!$B$3,2,17)</f>
        <v>46070</v>
      </c>
      <c r="B378" s="2" t="str">
        <f t="shared" si="5"/>
        <v>ter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DATE(Configurações!$B$3,2,17)</f>
        <v>46070</v>
      </c>
      <c r="B379" s="2" t="str">
        <f t="shared" si="5"/>
        <v>ter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DATE(Configurações!$B$3,2,17)</f>
        <v>46070</v>
      </c>
      <c r="B380" s="2" t="str">
        <f t="shared" si="5"/>
        <v>ter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DATE(Configurações!$B$3,2,17)</f>
        <v>46070</v>
      </c>
      <c r="B381" s="2" t="str">
        <f t="shared" si="5"/>
        <v>ter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DATE(Configurações!$B$3,2,17)</f>
        <v>46070</v>
      </c>
      <c r="B382" s="2" t="str">
        <f t="shared" si="5"/>
        <v>ter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DATE(Configurações!$B$3,2,17)</f>
        <v>46070</v>
      </c>
      <c r="B383" s="2" t="str">
        <f t="shared" si="5"/>
        <v>ter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DATE(Configurações!$B$3,2,17)</f>
        <v>46070</v>
      </c>
      <c r="B384" s="2" t="str">
        <f t="shared" si="5"/>
        <v>ter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DATE(Configurações!$B$3,2,17)</f>
        <v>46070</v>
      </c>
      <c r="B385" s="2" t="str">
        <f t="shared" si="5"/>
        <v>ter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DATE(Configurações!$B$3,2,17)</f>
        <v>46070</v>
      </c>
      <c r="B386" s="2" t="str">
        <f t="shared" si="5"/>
        <v>ter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DATE(Configurações!$B$3,2,17)</f>
        <v>46070</v>
      </c>
      <c r="B387" s="2" t="str">
        <f t="shared" si="5"/>
        <v>ter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DATE(Configurações!$B$3,2,17)</f>
        <v>46070</v>
      </c>
      <c r="B388" s="2" t="str">
        <f t="shared" si="5"/>
        <v>ter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DATE(Configurações!$B$3,2,17)</f>
        <v>46070</v>
      </c>
      <c r="B389" s="2" t="str">
        <f t="shared" si="5"/>
        <v>ter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DATE(Configurações!$B$3,2,17)</f>
        <v>46070</v>
      </c>
      <c r="B390" s="2" t="str">
        <f t="shared" ref="B390:B453" si="6">TEXT(A390,"ddd")</f>
        <v>ter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DATE(Configurações!$B$3,2,17)</f>
        <v>46070</v>
      </c>
      <c r="B391" s="2" t="str">
        <f t="shared" si="6"/>
        <v>ter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DATE(Configurações!$B$3,2,17)</f>
        <v>46070</v>
      </c>
      <c r="B392" s="2" t="str">
        <f t="shared" si="6"/>
        <v>ter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DATE(Configurações!$B$3,2,17)</f>
        <v>46070</v>
      </c>
      <c r="B393" s="2" t="str">
        <f t="shared" si="6"/>
        <v>ter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DATE(Configurações!$B$3,2,17)</f>
        <v>46070</v>
      </c>
      <c r="B394" s="2" t="str">
        <f t="shared" si="6"/>
        <v>ter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DATE(Configurações!$B$3,2,17)</f>
        <v>46070</v>
      </c>
      <c r="B395" s="2" t="str">
        <f t="shared" si="6"/>
        <v>ter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DATE(Configurações!$B$3,2,17)</f>
        <v>46070</v>
      </c>
      <c r="B396" s="2" t="str">
        <f t="shared" si="6"/>
        <v>ter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DATE(Configurações!$B$3,2,18)</f>
        <v>46071</v>
      </c>
      <c r="B397" s="2" t="str">
        <f t="shared" si="6"/>
        <v>qua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DATE(Configurações!$B$3,2,18)</f>
        <v>46071</v>
      </c>
      <c r="B398" s="2" t="str">
        <f t="shared" si="6"/>
        <v>qua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DATE(Configurações!$B$3,2,18)</f>
        <v>46071</v>
      </c>
      <c r="B399" s="2" t="str">
        <f t="shared" si="6"/>
        <v>qua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DATE(Configurações!$B$3,2,18)</f>
        <v>46071</v>
      </c>
      <c r="B400" s="2" t="str">
        <f t="shared" si="6"/>
        <v>qua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DATE(Configurações!$B$3,2,18)</f>
        <v>46071</v>
      </c>
      <c r="B401" s="2" t="str">
        <f t="shared" si="6"/>
        <v>qua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DATE(Configurações!$B$3,2,18)</f>
        <v>46071</v>
      </c>
      <c r="B402" s="2" t="str">
        <f t="shared" si="6"/>
        <v>qua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DATE(Configurações!$B$3,2,18)</f>
        <v>46071</v>
      </c>
      <c r="B403" s="2" t="str">
        <f t="shared" si="6"/>
        <v>qua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DATE(Configurações!$B$3,2,18)</f>
        <v>46071</v>
      </c>
      <c r="B404" s="2" t="str">
        <f t="shared" si="6"/>
        <v>qua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DATE(Configurações!$B$3,2,18)</f>
        <v>46071</v>
      </c>
      <c r="B405" s="2" t="str">
        <f t="shared" si="6"/>
        <v>qua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DATE(Configurações!$B$3,2,18)</f>
        <v>46071</v>
      </c>
      <c r="B406" s="2" t="str">
        <f t="shared" si="6"/>
        <v>qua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DATE(Configurações!$B$3,2,18)</f>
        <v>46071</v>
      </c>
      <c r="B407" s="2" t="str">
        <f t="shared" si="6"/>
        <v>qua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DATE(Configurações!$B$3,2,18)</f>
        <v>46071</v>
      </c>
      <c r="B408" s="2" t="str">
        <f t="shared" si="6"/>
        <v>qua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DATE(Configurações!$B$3,2,18)</f>
        <v>46071</v>
      </c>
      <c r="B409" s="2" t="str">
        <f t="shared" si="6"/>
        <v>qua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DATE(Configurações!$B$3,2,18)</f>
        <v>46071</v>
      </c>
      <c r="B410" s="2" t="str">
        <f t="shared" si="6"/>
        <v>qua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DATE(Configurações!$B$3,2,18)</f>
        <v>46071</v>
      </c>
      <c r="B411" s="2" t="str">
        <f t="shared" si="6"/>
        <v>qua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DATE(Configurações!$B$3,2,18)</f>
        <v>46071</v>
      </c>
      <c r="B412" s="2" t="str">
        <f t="shared" si="6"/>
        <v>qua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DATE(Configurações!$B$3,2,18)</f>
        <v>46071</v>
      </c>
      <c r="B413" s="2" t="str">
        <f t="shared" si="6"/>
        <v>qua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DATE(Configurações!$B$3,2,18)</f>
        <v>46071</v>
      </c>
      <c r="B414" s="2" t="str">
        <f t="shared" si="6"/>
        <v>qua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DATE(Configurações!$B$3,2,18)</f>
        <v>46071</v>
      </c>
      <c r="B415" s="2" t="str">
        <f t="shared" si="6"/>
        <v>qua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DATE(Configurações!$B$3,2,18)</f>
        <v>46071</v>
      </c>
      <c r="B416" s="2" t="str">
        <f t="shared" si="6"/>
        <v>qua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DATE(Configurações!$B$3,2,18)</f>
        <v>46071</v>
      </c>
      <c r="B417" s="2" t="str">
        <f t="shared" si="6"/>
        <v>qua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DATE(Configurações!$B$3,2,18)</f>
        <v>46071</v>
      </c>
      <c r="B418" s="2" t="str">
        <f t="shared" si="6"/>
        <v>qua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DATE(Configurações!$B$3,2,18)</f>
        <v>46071</v>
      </c>
      <c r="B419" s="2" t="str">
        <f t="shared" si="6"/>
        <v>qua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DATE(Configurações!$B$3,2,19)</f>
        <v>46072</v>
      </c>
      <c r="B420" s="2" t="str">
        <f t="shared" si="6"/>
        <v>qui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DATE(Configurações!$B$3,2,19)</f>
        <v>46072</v>
      </c>
      <c r="B421" s="2" t="str">
        <f t="shared" si="6"/>
        <v>qui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DATE(Configurações!$B$3,2,19)</f>
        <v>46072</v>
      </c>
      <c r="B422" s="2" t="str">
        <f t="shared" si="6"/>
        <v>qui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DATE(Configurações!$B$3,2,19)</f>
        <v>46072</v>
      </c>
      <c r="B423" s="2" t="str">
        <f t="shared" si="6"/>
        <v>qui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DATE(Configurações!$B$3,2,19)</f>
        <v>46072</v>
      </c>
      <c r="B424" s="2" t="str">
        <f t="shared" si="6"/>
        <v>qui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DATE(Configurações!$B$3,2,19)</f>
        <v>46072</v>
      </c>
      <c r="B425" s="2" t="str">
        <f t="shared" si="6"/>
        <v>qui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DATE(Configurações!$B$3,2,19)</f>
        <v>46072</v>
      </c>
      <c r="B426" s="2" t="str">
        <f t="shared" si="6"/>
        <v>qui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DATE(Configurações!$B$3,2,19)</f>
        <v>46072</v>
      </c>
      <c r="B427" s="2" t="str">
        <f t="shared" si="6"/>
        <v>qui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DATE(Configurações!$B$3,2,19)</f>
        <v>46072</v>
      </c>
      <c r="B428" s="2" t="str">
        <f t="shared" si="6"/>
        <v>qui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DATE(Configurações!$B$3,2,19)</f>
        <v>46072</v>
      </c>
      <c r="B429" s="2" t="str">
        <f t="shared" si="6"/>
        <v>qui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DATE(Configurações!$B$3,2,19)</f>
        <v>46072</v>
      </c>
      <c r="B430" s="2" t="str">
        <f t="shared" si="6"/>
        <v>qui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DATE(Configurações!$B$3,2,19)</f>
        <v>46072</v>
      </c>
      <c r="B431" s="2" t="str">
        <f t="shared" si="6"/>
        <v>qui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DATE(Configurações!$B$3,2,19)</f>
        <v>46072</v>
      </c>
      <c r="B432" s="2" t="str">
        <f t="shared" si="6"/>
        <v>qui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DATE(Configurações!$B$3,2,19)</f>
        <v>46072</v>
      </c>
      <c r="B433" s="2" t="str">
        <f t="shared" si="6"/>
        <v>qui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DATE(Configurações!$B$3,2,19)</f>
        <v>46072</v>
      </c>
      <c r="B434" s="2" t="str">
        <f t="shared" si="6"/>
        <v>qui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DATE(Configurações!$B$3,2,19)</f>
        <v>46072</v>
      </c>
      <c r="B435" s="2" t="str">
        <f t="shared" si="6"/>
        <v>qui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DATE(Configurações!$B$3,2,19)</f>
        <v>46072</v>
      </c>
      <c r="B436" s="2" t="str">
        <f t="shared" si="6"/>
        <v>qui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DATE(Configurações!$B$3,2,19)</f>
        <v>46072</v>
      </c>
      <c r="B437" s="2" t="str">
        <f t="shared" si="6"/>
        <v>qui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DATE(Configurações!$B$3,2,19)</f>
        <v>46072</v>
      </c>
      <c r="B438" s="2" t="str">
        <f t="shared" si="6"/>
        <v>qui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DATE(Configurações!$B$3,2,19)</f>
        <v>46072</v>
      </c>
      <c r="B439" s="2" t="str">
        <f t="shared" si="6"/>
        <v>qui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DATE(Configurações!$B$3,2,19)</f>
        <v>46072</v>
      </c>
      <c r="B440" s="2" t="str">
        <f t="shared" si="6"/>
        <v>qui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DATE(Configurações!$B$3,2,19)</f>
        <v>46072</v>
      </c>
      <c r="B441" s="2" t="str">
        <f t="shared" si="6"/>
        <v>qui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DATE(Configurações!$B$3,2,19)</f>
        <v>46072</v>
      </c>
      <c r="B442" s="2" t="str">
        <f t="shared" si="6"/>
        <v>qui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DATE(Configurações!$B$3,2,20)</f>
        <v>46073</v>
      </c>
      <c r="B443" s="2" t="str">
        <f t="shared" si="6"/>
        <v>sex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DATE(Configurações!$B$3,2,20)</f>
        <v>46073</v>
      </c>
      <c r="B444" s="2" t="str">
        <f t="shared" si="6"/>
        <v>sex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DATE(Configurações!$B$3,2,20)</f>
        <v>46073</v>
      </c>
      <c r="B445" s="2" t="str">
        <f t="shared" si="6"/>
        <v>sex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DATE(Configurações!$B$3,2,20)</f>
        <v>46073</v>
      </c>
      <c r="B446" s="2" t="str">
        <f t="shared" si="6"/>
        <v>sex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DATE(Configurações!$B$3,2,20)</f>
        <v>46073</v>
      </c>
      <c r="B447" s="2" t="str">
        <f t="shared" si="6"/>
        <v>sex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DATE(Configurações!$B$3,2,20)</f>
        <v>46073</v>
      </c>
      <c r="B448" s="2" t="str">
        <f t="shared" si="6"/>
        <v>sex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DATE(Configurações!$B$3,2,20)</f>
        <v>46073</v>
      </c>
      <c r="B449" s="2" t="str">
        <f t="shared" si="6"/>
        <v>sex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DATE(Configurações!$B$3,2,20)</f>
        <v>46073</v>
      </c>
      <c r="B450" s="2" t="str">
        <f t="shared" si="6"/>
        <v>sex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DATE(Configurações!$B$3,2,20)</f>
        <v>46073</v>
      </c>
      <c r="B451" s="2" t="str">
        <f t="shared" si="6"/>
        <v>sex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DATE(Configurações!$B$3,2,20)</f>
        <v>46073</v>
      </c>
      <c r="B452" s="2" t="str">
        <f t="shared" si="6"/>
        <v>sex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DATE(Configurações!$B$3,2,20)</f>
        <v>46073</v>
      </c>
      <c r="B453" s="2" t="str">
        <f t="shared" si="6"/>
        <v>sex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DATE(Configurações!$B$3,2,20)</f>
        <v>46073</v>
      </c>
      <c r="B454" s="2" t="str">
        <f t="shared" ref="B454:B517" si="7">TEXT(A454,"ddd")</f>
        <v>sex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DATE(Configurações!$B$3,2,20)</f>
        <v>46073</v>
      </c>
      <c r="B455" s="2" t="str">
        <f t="shared" si="7"/>
        <v>sex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DATE(Configurações!$B$3,2,20)</f>
        <v>46073</v>
      </c>
      <c r="B456" s="2" t="str">
        <f t="shared" si="7"/>
        <v>sex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DATE(Configurações!$B$3,2,20)</f>
        <v>46073</v>
      </c>
      <c r="B457" s="2" t="str">
        <f t="shared" si="7"/>
        <v>sex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DATE(Configurações!$B$3,2,20)</f>
        <v>46073</v>
      </c>
      <c r="B458" s="2" t="str">
        <f t="shared" si="7"/>
        <v>sex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DATE(Configurações!$B$3,2,20)</f>
        <v>46073</v>
      </c>
      <c r="B459" s="2" t="str">
        <f t="shared" si="7"/>
        <v>sex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DATE(Configurações!$B$3,2,20)</f>
        <v>46073</v>
      </c>
      <c r="B460" s="2" t="str">
        <f t="shared" si="7"/>
        <v>sex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DATE(Configurações!$B$3,2,20)</f>
        <v>46073</v>
      </c>
      <c r="B461" s="2" t="str">
        <f t="shared" si="7"/>
        <v>sex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DATE(Configurações!$B$3,2,20)</f>
        <v>46073</v>
      </c>
      <c r="B462" s="2" t="str">
        <f t="shared" si="7"/>
        <v>sex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DATE(Configurações!$B$3,2,20)</f>
        <v>46073</v>
      </c>
      <c r="B463" s="2" t="str">
        <f t="shared" si="7"/>
        <v>sex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DATE(Configurações!$B$3,2,20)</f>
        <v>46073</v>
      </c>
      <c r="B464" s="2" t="str">
        <f t="shared" si="7"/>
        <v>sex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DATE(Configurações!$B$3,2,20)</f>
        <v>46073</v>
      </c>
      <c r="B465" s="2" t="str">
        <f t="shared" si="7"/>
        <v>sex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DATE(Configurações!$B$3,2,21)</f>
        <v>46074</v>
      </c>
      <c r="B466" s="2" t="str">
        <f t="shared" si="7"/>
        <v>sáb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DATE(Configurações!$B$3,2,21)</f>
        <v>46074</v>
      </c>
      <c r="B467" s="2" t="str">
        <f t="shared" si="7"/>
        <v>sáb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DATE(Configurações!$B$3,2,21)</f>
        <v>46074</v>
      </c>
      <c r="B468" s="2" t="str">
        <f t="shared" si="7"/>
        <v>sáb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DATE(Configurações!$B$3,2,21)</f>
        <v>46074</v>
      </c>
      <c r="B469" s="2" t="str">
        <f t="shared" si="7"/>
        <v>sáb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DATE(Configurações!$B$3,2,21)</f>
        <v>46074</v>
      </c>
      <c r="B470" s="2" t="str">
        <f t="shared" si="7"/>
        <v>sáb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DATE(Configurações!$B$3,2,21)</f>
        <v>46074</v>
      </c>
      <c r="B471" s="2" t="str">
        <f t="shared" si="7"/>
        <v>sáb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DATE(Configurações!$B$3,2,21)</f>
        <v>46074</v>
      </c>
      <c r="B472" s="2" t="str">
        <f t="shared" si="7"/>
        <v>sáb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DATE(Configurações!$B$3,2,21)</f>
        <v>46074</v>
      </c>
      <c r="B473" s="2" t="str">
        <f t="shared" si="7"/>
        <v>sáb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DATE(Configurações!$B$3,2,21)</f>
        <v>46074</v>
      </c>
      <c r="B474" s="2" t="str">
        <f t="shared" si="7"/>
        <v>sáb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DATE(Configurações!$B$3,2,21)</f>
        <v>46074</v>
      </c>
      <c r="B475" s="2" t="str">
        <f t="shared" si="7"/>
        <v>sáb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DATE(Configurações!$B$3,2,21)</f>
        <v>46074</v>
      </c>
      <c r="B476" s="2" t="str">
        <f t="shared" si="7"/>
        <v>sáb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DATE(Configurações!$B$3,2,21)</f>
        <v>46074</v>
      </c>
      <c r="B477" s="2" t="str">
        <f t="shared" si="7"/>
        <v>sáb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DATE(Configurações!$B$3,2,21)</f>
        <v>46074</v>
      </c>
      <c r="B478" s="2" t="str">
        <f t="shared" si="7"/>
        <v>sáb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DATE(Configurações!$B$3,2,21)</f>
        <v>46074</v>
      </c>
      <c r="B479" s="2" t="str">
        <f t="shared" si="7"/>
        <v>sáb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DATE(Configurações!$B$3,2,21)</f>
        <v>46074</v>
      </c>
      <c r="B480" s="2" t="str">
        <f t="shared" si="7"/>
        <v>sáb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DATE(Configurações!$B$3,2,21)</f>
        <v>46074</v>
      </c>
      <c r="B481" s="2" t="str">
        <f t="shared" si="7"/>
        <v>sáb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DATE(Configurações!$B$3,2,21)</f>
        <v>46074</v>
      </c>
      <c r="B482" s="2" t="str">
        <f t="shared" si="7"/>
        <v>sáb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DATE(Configurações!$B$3,2,21)</f>
        <v>46074</v>
      </c>
      <c r="B483" s="2" t="str">
        <f t="shared" si="7"/>
        <v>sáb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DATE(Configurações!$B$3,2,21)</f>
        <v>46074</v>
      </c>
      <c r="B484" s="2" t="str">
        <f t="shared" si="7"/>
        <v>sáb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DATE(Configurações!$B$3,2,21)</f>
        <v>46074</v>
      </c>
      <c r="B485" s="2" t="str">
        <f t="shared" si="7"/>
        <v>sáb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DATE(Configurações!$B$3,2,21)</f>
        <v>46074</v>
      </c>
      <c r="B486" s="2" t="str">
        <f t="shared" si="7"/>
        <v>sáb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DATE(Configurações!$B$3,2,21)</f>
        <v>46074</v>
      </c>
      <c r="B487" s="2" t="str">
        <f t="shared" si="7"/>
        <v>sáb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DATE(Configurações!$B$3,2,21)</f>
        <v>46074</v>
      </c>
      <c r="B488" s="2" t="str">
        <f t="shared" si="7"/>
        <v>sáb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DATE(Configurações!$B$3,2,22)</f>
        <v>46075</v>
      </c>
      <c r="B489" s="2" t="str">
        <f t="shared" si="7"/>
        <v>dom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DATE(Configurações!$B$3,2,22)</f>
        <v>46075</v>
      </c>
      <c r="B490" s="2" t="str">
        <f t="shared" si="7"/>
        <v>dom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DATE(Configurações!$B$3,2,22)</f>
        <v>46075</v>
      </c>
      <c r="B491" s="2" t="str">
        <f t="shared" si="7"/>
        <v>dom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DATE(Configurações!$B$3,2,22)</f>
        <v>46075</v>
      </c>
      <c r="B492" s="2" t="str">
        <f t="shared" si="7"/>
        <v>dom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DATE(Configurações!$B$3,2,22)</f>
        <v>46075</v>
      </c>
      <c r="B493" s="2" t="str">
        <f t="shared" si="7"/>
        <v>dom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DATE(Configurações!$B$3,2,22)</f>
        <v>46075</v>
      </c>
      <c r="B494" s="2" t="str">
        <f t="shared" si="7"/>
        <v>dom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DATE(Configurações!$B$3,2,22)</f>
        <v>46075</v>
      </c>
      <c r="B495" s="2" t="str">
        <f t="shared" si="7"/>
        <v>dom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DATE(Configurações!$B$3,2,22)</f>
        <v>46075</v>
      </c>
      <c r="B496" s="2" t="str">
        <f t="shared" si="7"/>
        <v>dom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DATE(Configurações!$B$3,2,22)</f>
        <v>46075</v>
      </c>
      <c r="B497" s="2" t="str">
        <f t="shared" si="7"/>
        <v>dom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DATE(Configurações!$B$3,2,22)</f>
        <v>46075</v>
      </c>
      <c r="B498" s="2" t="str">
        <f t="shared" si="7"/>
        <v>dom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DATE(Configurações!$B$3,2,22)</f>
        <v>46075</v>
      </c>
      <c r="B499" s="2" t="str">
        <f t="shared" si="7"/>
        <v>dom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DATE(Configurações!$B$3,2,22)</f>
        <v>46075</v>
      </c>
      <c r="B500" s="2" t="str">
        <f t="shared" si="7"/>
        <v>dom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DATE(Configurações!$B$3,2,22)</f>
        <v>46075</v>
      </c>
      <c r="B501" s="2" t="str">
        <f t="shared" si="7"/>
        <v>dom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DATE(Configurações!$B$3,2,22)</f>
        <v>46075</v>
      </c>
      <c r="B502" s="2" t="str">
        <f t="shared" si="7"/>
        <v>dom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DATE(Configurações!$B$3,2,22)</f>
        <v>46075</v>
      </c>
      <c r="B503" s="2" t="str">
        <f t="shared" si="7"/>
        <v>dom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DATE(Configurações!$B$3,2,22)</f>
        <v>46075</v>
      </c>
      <c r="B504" s="2" t="str">
        <f t="shared" si="7"/>
        <v>dom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DATE(Configurações!$B$3,2,22)</f>
        <v>46075</v>
      </c>
      <c r="B505" s="2" t="str">
        <f t="shared" si="7"/>
        <v>dom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DATE(Configurações!$B$3,2,22)</f>
        <v>46075</v>
      </c>
      <c r="B506" s="2" t="str">
        <f t="shared" si="7"/>
        <v>dom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DATE(Configurações!$B$3,2,22)</f>
        <v>46075</v>
      </c>
      <c r="B507" s="2" t="str">
        <f t="shared" si="7"/>
        <v>dom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DATE(Configurações!$B$3,2,22)</f>
        <v>46075</v>
      </c>
      <c r="B508" s="2" t="str">
        <f t="shared" si="7"/>
        <v>dom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DATE(Configurações!$B$3,2,22)</f>
        <v>46075</v>
      </c>
      <c r="B509" s="2" t="str">
        <f t="shared" si="7"/>
        <v>dom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DATE(Configurações!$B$3,2,22)</f>
        <v>46075</v>
      </c>
      <c r="B510" s="2" t="str">
        <f t="shared" si="7"/>
        <v>dom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DATE(Configurações!$B$3,2,22)</f>
        <v>46075</v>
      </c>
      <c r="B511" s="2" t="str">
        <f t="shared" si="7"/>
        <v>dom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DATE(Configurações!$B$3,2,23)</f>
        <v>46076</v>
      </c>
      <c r="B512" s="2" t="str">
        <f t="shared" si="7"/>
        <v>seg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DATE(Configurações!$B$3,2,23)</f>
        <v>46076</v>
      </c>
      <c r="B513" s="2" t="str">
        <f t="shared" si="7"/>
        <v>seg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DATE(Configurações!$B$3,2,23)</f>
        <v>46076</v>
      </c>
      <c r="B514" s="2" t="str">
        <f t="shared" si="7"/>
        <v>seg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DATE(Configurações!$B$3,2,23)</f>
        <v>46076</v>
      </c>
      <c r="B515" s="2" t="str">
        <f t="shared" si="7"/>
        <v>seg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DATE(Configurações!$B$3,2,23)</f>
        <v>46076</v>
      </c>
      <c r="B516" s="2" t="str">
        <f t="shared" si="7"/>
        <v>seg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DATE(Configurações!$B$3,2,23)</f>
        <v>46076</v>
      </c>
      <c r="B517" s="2" t="str">
        <f t="shared" si="7"/>
        <v>seg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DATE(Configurações!$B$3,2,23)</f>
        <v>46076</v>
      </c>
      <c r="B518" s="2" t="str">
        <f t="shared" ref="B518:B581" si="8">TEXT(A518,"ddd")</f>
        <v>seg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DATE(Configurações!$B$3,2,23)</f>
        <v>46076</v>
      </c>
      <c r="B519" s="2" t="str">
        <f t="shared" si="8"/>
        <v>seg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DATE(Configurações!$B$3,2,23)</f>
        <v>46076</v>
      </c>
      <c r="B520" s="2" t="str">
        <f t="shared" si="8"/>
        <v>seg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DATE(Configurações!$B$3,2,23)</f>
        <v>46076</v>
      </c>
      <c r="B521" s="2" t="str">
        <f t="shared" si="8"/>
        <v>seg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DATE(Configurações!$B$3,2,23)</f>
        <v>46076</v>
      </c>
      <c r="B522" s="2" t="str">
        <f t="shared" si="8"/>
        <v>seg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DATE(Configurações!$B$3,2,23)</f>
        <v>46076</v>
      </c>
      <c r="B523" s="2" t="str">
        <f t="shared" si="8"/>
        <v>seg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DATE(Configurações!$B$3,2,23)</f>
        <v>46076</v>
      </c>
      <c r="B524" s="2" t="str">
        <f t="shared" si="8"/>
        <v>seg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DATE(Configurações!$B$3,2,23)</f>
        <v>46076</v>
      </c>
      <c r="B525" s="2" t="str">
        <f t="shared" si="8"/>
        <v>seg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DATE(Configurações!$B$3,2,23)</f>
        <v>46076</v>
      </c>
      <c r="B526" s="2" t="str">
        <f t="shared" si="8"/>
        <v>seg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DATE(Configurações!$B$3,2,23)</f>
        <v>46076</v>
      </c>
      <c r="B527" s="2" t="str">
        <f t="shared" si="8"/>
        <v>seg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DATE(Configurações!$B$3,2,23)</f>
        <v>46076</v>
      </c>
      <c r="B528" s="2" t="str">
        <f t="shared" si="8"/>
        <v>seg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DATE(Configurações!$B$3,2,23)</f>
        <v>46076</v>
      </c>
      <c r="B529" s="2" t="str">
        <f t="shared" si="8"/>
        <v>seg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DATE(Configurações!$B$3,2,23)</f>
        <v>46076</v>
      </c>
      <c r="B530" s="2" t="str">
        <f t="shared" si="8"/>
        <v>seg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DATE(Configurações!$B$3,2,23)</f>
        <v>46076</v>
      </c>
      <c r="B531" s="2" t="str">
        <f t="shared" si="8"/>
        <v>seg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DATE(Configurações!$B$3,2,23)</f>
        <v>46076</v>
      </c>
      <c r="B532" s="2" t="str">
        <f t="shared" si="8"/>
        <v>seg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DATE(Configurações!$B$3,2,23)</f>
        <v>46076</v>
      </c>
      <c r="B533" s="2" t="str">
        <f t="shared" si="8"/>
        <v>seg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DATE(Configurações!$B$3,2,23)</f>
        <v>46076</v>
      </c>
      <c r="B534" s="2" t="str">
        <f t="shared" si="8"/>
        <v>seg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DATE(Configurações!$B$3,2,24)</f>
        <v>46077</v>
      </c>
      <c r="B535" s="2" t="str">
        <f t="shared" si="8"/>
        <v>ter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DATE(Configurações!$B$3,2,24)</f>
        <v>46077</v>
      </c>
      <c r="B536" s="2" t="str">
        <f t="shared" si="8"/>
        <v>ter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DATE(Configurações!$B$3,2,24)</f>
        <v>46077</v>
      </c>
      <c r="B537" s="2" t="str">
        <f t="shared" si="8"/>
        <v>ter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DATE(Configurações!$B$3,2,24)</f>
        <v>46077</v>
      </c>
      <c r="B538" s="2" t="str">
        <f t="shared" si="8"/>
        <v>ter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DATE(Configurações!$B$3,2,24)</f>
        <v>46077</v>
      </c>
      <c r="B539" s="2" t="str">
        <f t="shared" si="8"/>
        <v>ter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DATE(Configurações!$B$3,2,24)</f>
        <v>46077</v>
      </c>
      <c r="B540" s="2" t="str">
        <f t="shared" si="8"/>
        <v>ter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DATE(Configurações!$B$3,2,24)</f>
        <v>46077</v>
      </c>
      <c r="B541" s="2" t="str">
        <f t="shared" si="8"/>
        <v>ter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DATE(Configurações!$B$3,2,24)</f>
        <v>46077</v>
      </c>
      <c r="B542" s="2" t="str">
        <f t="shared" si="8"/>
        <v>ter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DATE(Configurações!$B$3,2,24)</f>
        <v>46077</v>
      </c>
      <c r="B543" s="2" t="str">
        <f t="shared" si="8"/>
        <v>ter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DATE(Configurações!$B$3,2,24)</f>
        <v>46077</v>
      </c>
      <c r="B544" s="2" t="str">
        <f t="shared" si="8"/>
        <v>ter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DATE(Configurações!$B$3,2,24)</f>
        <v>46077</v>
      </c>
      <c r="B545" s="2" t="str">
        <f t="shared" si="8"/>
        <v>ter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DATE(Configurações!$B$3,2,24)</f>
        <v>46077</v>
      </c>
      <c r="B546" s="2" t="str">
        <f t="shared" si="8"/>
        <v>ter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DATE(Configurações!$B$3,2,24)</f>
        <v>46077</v>
      </c>
      <c r="B547" s="2" t="str">
        <f t="shared" si="8"/>
        <v>ter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DATE(Configurações!$B$3,2,24)</f>
        <v>46077</v>
      </c>
      <c r="B548" s="2" t="str">
        <f t="shared" si="8"/>
        <v>ter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DATE(Configurações!$B$3,2,24)</f>
        <v>46077</v>
      </c>
      <c r="B549" s="2" t="str">
        <f t="shared" si="8"/>
        <v>ter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DATE(Configurações!$B$3,2,24)</f>
        <v>46077</v>
      </c>
      <c r="B550" s="2" t="str">
        <f t="shared" si="8"/>
        <v>ter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DATE(Configurações!$B$3,2,24)</f>
        <v>46077</v>
      </c>
      <c r="B551" s="2" t="str">
        <f t="shared" si="8"/>
        <v>ter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DATE(Configurações!$B$3,2,24)</f>
        <v>46077</v>
      </c>
      <c r="B552" s="2" t="str">
        <f t="shared" si="8"/>
        <v>ter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DATE(Configurações!$B$3,2,24)</f>
        <v>46077</v>
      </c>
      <c r="B553" s="2" t="str">
        <f t="shared" si="8"/>
        <v>ter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DATE(Configurações!$B$3,2,24)</f>
        <v>46077</v>
      </c>
      <c r="B554" s="2" t="str">
        <f t="shared" si="8"/>
        <v>ter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DATE(Configurações!$B$3,2,24)</f>
        <v>46077</v>
      </c>
      <c r="B555" s="2" t="str">
        <f t="shared" si="8"/>
        <v>ter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DATE(Configurações!$B$3,2,24)</f>
        <v>46077</v>
      </c>
      <c r="B556" s="2" t="str">
        <f t="shared" si="8"/>
        <v>ter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DATE(Configurações!$B$3,2,24)</f>
        <v>46077</v>
      </c>
      <c r="B557" s="2" t="str">
        <f t="shared" si="8"/>
        <v>ter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DATE(Configurações!$B$3,2,25)</f>
        <v>46078</v>
      </c>
      <c r="B558" s="2" t="str">
        <f t="shared" si="8"/>
        <v>qua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DATE(Configurações!$B$3,2,25)</f>
        <v>46078</v>
      </c>
      <c r="B559" s="2" t="str">
        <f t="shared" si="8"/>
        <v>qua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DATE(Configurações!$B$3,2,25)</f>
        <v>46078</v>
      </c>
      <c r="B560" s="2" t="str">
        <f t="shared" si="8"/>
        <v>qua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DATE(Configurações!$B$3,2,25)</f>
        <v>46078</v>
      </c>
      <c r="B561" s="2" t="str">
        <f t="shared" si="8"/>
        <v>qua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DATE(Configurações!$B$3,2,25)</f>
        <v>46078</v>
      </c>
      <c r="B562" s="2" t="str">
        <f t="shared" si="8"/>
        <v>qua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DATE(Configurações!$B$3,2,25)</f>
        <v>46078</v>
      </c>
      <c r="B563" s="2" t="str">
        <f t="shared" si="8"/>
        <v>qua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DATE(Configurações!$B$3,2,25)</f>
        <v>46078</v>
      </c>
      <c r="B564" s="2" t="str">
        <f t="shared" si="8"/>
        <v>qua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DATE(Configurações!$B$3,2,25)</f>
        <v>46078</v>
      </c>
      <c r="B565" s="2" t="str">
        <f t="shared" si="8"/>
        <v>qua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DATE(Configurações!$B$3,2,25)</f>
        <v>46078</v>
      </c>
      <c r="B566" s="2" t="str">
        <f t="shared" si="8"/>
        <v>qua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DATE(Configurações!$B$3,2,25)</f>
        <v>46078</v>
      </c>
      <c r="B567" s="2" t="str">
        <f t="shared" si="8"/>
        <v>qua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DATE(Configurações!$B$3,2,25)</f>
        <v>46078</v>
      </c>
      <c r="B568" s="2" t="str">
        <f t="shared" si="8"/>
        <v>qua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DATE(Configurações!$B$3,2,25)</f>
        <v>46078</v>
      </c>
      <c r="B569" s="2" t="str">
        <f t="shared" si="8"/>
        <v>qua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DATE(Configurações!$B$3,2,25)</f>
        <v>46078</v>
      </c>
      <c r="B570" s="2" t="str">
        <f t="shared" si="8"/>
        <v>qua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DATE(Configurações!$B$3,2,25)</f>
        <v>46078</v>
      </c>
      <c r="B571" s="2" t="str">
        <f t="shared" si="8"/>
        <v>qua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DATE(Configurações!$B$3,2,25)</f>
        <v>46078</v>
      </c>
      <c r="B572" s="2" t="str">
        <f t="shared" si="8"/>
        <v>qua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DATE(Configurações!$B$3,2,25)</f>
        <v>46078</v>
      </c>
      <c r="B573" s="2" t="str">
        <f t="shared" si="8"/>
        <v>qua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DATE(Configurações!$B$3,2,25)</f>
        <v>46078</v>
      </c>
      <c r="B574" s="2" t="str">
        <f t="shared" si="8"/>
        <v>qua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DATE(Configurações!$B$3,2,25)</f>
        <v>46078</v>
      </c>
      <c r="B575" s="2" t="str">
        <f t="shared" si="8"/>
        <v>qua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DATE(Configurações!$B$3,2,25)</f>
        <v>46078</v>
      </c>
      <c r="B576" s="2" t="str">
        <f t="shared" si="8"/>
        <v>qua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DATE(Configurações!$B$3,2,25)</f>
        <v>46078</v>
      </c>
      <c r="B577" s="2" t="str">
        <f t="shared" si="8"/>
        <v>qua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DATE(Configurações!$B$3,2,25)</f>
        <v>46078</v>
      </c>
      <c r="B578" s="2" t="str">
        <f t="shared" si="8"/>
        <v>qua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DATE(Configurações!$B$3,2,25)</f>
        <v>46078</v>
      </c>
      <c r="B579" s="2" t="str">
        <f t="shared" si="8"/>
        <v>qua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DATE(Configurações!$B$3,2,25)</f>
        <v>46078</v>
      </c>
      <c r="B580" s="2" t="str">
        <f t="shared" si="8"/>
        <v>qua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DATE(Configurações!$B$3,2,26)</f>
        <v>46079</v>
      </c>
      <c r="B581" s="2" t="str">
        <f t="shared" si="8"/>
        <v>qui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DATE(Configurações!$B$3,2,26)</f>
        <v>46079</v>
      </c>
      <c r="B582" s="2" t="str">
        <f t="shared" ref="B582:B645" si="9">TEXT(A582,"ddd")</f>
        <v>qui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DATE(Configurações!$B$3,2,26)</f>
        <v>46079</v>
      </c>
      <c r="B583" s="2" t="str">
        <f t="shared" si="9"/>
        <v>qui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DATE(Configurações!$B$3,2,26)</f>
        <v>46079</v>
      </c>
      <c r="B584" s="2" t="str">
        <f t="shared" si="9"/>
        <v>qui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DATE(Configurações!$B$3,2,26)</f>
        <v>46079</v>
      </c>
      <c r="B585" s="2" t="str">
        <f t="shared" si="9"/>
        <v>qui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DATE(Configurações!$B$3,2,26)</f>
        <v>46079</v>
      </c>
      <c r="B586" s="2" t="str">
        <f t="shared" si="9"/>
        <v>qui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DATE(Configurações!$B$3,2,26)</f>
        <v>46079</v>
      </c>
      <c r="B587" s="2" t="str">
        <f t="shared" si="9"/>
        <v>qui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DATE(Configurações!$B$3,2,26)</f>
        <v>46079</v>
      </c>
      <c r="B588" s="2" t="str">
        <f t="shared" si="9"/>
        <v>qui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DATE(Configurações!$B$3,2,26)</f>
        <v>46079</v>
      </c>
      <c r="B589" s="2" t="str">
        <f t="shared" si="9"/>
        <v>qui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DATE(Configurações!$B$3,2,26)</f>
        <v>46079</v>
      </c>
      <c r="B590" s="2" t="str">
        <f t="shared" si="9"/>
        <v>qui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DATE(Configurações!$B$3,2,26)</f>
        <v>46079</v>
      </c>
      <c r="B591" s="2" t="str">
        <f t="shared" si="9"/>
        <v>qui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DATE(Configurações!$B$3,2,26)</f>
        <v>46079</v>
      </c>
      <c r="B592" s="2" t="str">
        <f t="shared" si="9"/>
        <v>qui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DATE(Configurações!$B$3,2,26)</f>
        <v>46079</v>
      </c>
      <c r="B593" s="2" t="str">
        <f t="shared" si="9"/>
        <v>qui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DATE(Configurações!$B$3,2,26)</f>
        <v>46079</v>
      </c>
      <c r="B594" s="2" t="str">
        <f t="shared" si="9"/>
        <v>qui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DATE(Configurações!$B$3,2,26)</f>
        <v>46079</v>
      </c>
      <c r="B595" s="2" t="str">
        <f t="shared" si="9"/>
        <v>qui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DATE(Configurações!$B$3,2,26)</f>
        <v>46079</v>
      </c>
      <c r="B596" s="2" t="str">
        <f t="shared" si="9"/>
        <v>qui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DATE(Configurações!$B$3,2,26)</f>
        <v>46079</v>
      </c>
      <c r="B597" s="2" t="str">
        <f t="shared" si="9"/>
        <v>qui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DATE(Configurações!$B$3,2,26)</f>
        <v>46079</v>
      </c>
      <c r="B598" s="2" t="str">
        <f t="shared" si="9"/>
        <v>qui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DATE(Configurações!$B$3,2,26)</f>
        <v>46079</v>
      </c>
      <c r="B599" s="2" t="str">
        <f t="shared" si="9"/>
        <v>qui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DATE(Configurações!$B$3,2,26)</f>
        <v>46079</v>
      </c>
      <c r="B600" s="2" t="str">
        <f t="shared" si="9"/>
        <v>qui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DATE(Configurações!$B$3,2,26)</f>
        <v>46079</v>
      </c>
      <c r="B601" s="2" t="str">
        <f t="shared" si="9"/>
        <v>qui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DATE(Configurações!$B$3,2,26)</f>
        <v>46079</v>
      </c>
      <c r="B602" s="2" t="str">
        <f t="shared" si="9"/>
        <v>qui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DATE(Configurações!$B$3,2,26)</f>
        <v>46079</v>
      </c>
      <c r="B603" s="2" t="str">
        <f t="shared" si="9"/>
        <v>qui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DATE(Configurações!$B$3,2,27)</f>
        <v>46080</v>
      </c>
      <c r="B604" s="2" t="str">
        <f t="shared" si="9"/>
        <v>sex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DATE(Configurações!$B$3,2,27)</f>
        <v>46080</v>
      </c>
      <c r="B605" s="2" t="str">
        <f t="shared" si="9"/>
        <v>sex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DATE(Configurações!$B$3,2,27)</f>
        <v>46080</v>
      </c>
      <c r="B606" s="2" t="str">
        <f t="shared" si="9"/>
        <v>sex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DATE(Configurações!$B$3,2,27)</f>
        <v>46080</v>
      </c>
      <c r="B607" s="2" t="str">
        <f t="shared" si="9"/>
        <v>sex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DATE(Configurações!$B$3,2,27)</f>
        <v>46080</v>
      </c>
      <c r="B608" s="2" t="str">
        <f t="shared" si="9"/>
        <v>sex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DATE(Configurações!$B$3,2,27)</f>
        <v>46080</v>
      </c>
      <c r="B609" s="2" t="str">
        <f t="shared" si="9"/>
        <v>sex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DATE(Configurações!$B$3,2,27)</f>
        <v>46080</v>
      </c>
      <c r="B610" s="2" t="str">
        <f t="shared" si="9"/>
        <v>sex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DATE(Configurações!$B$3,2,27)</f>
        <v>46080</v>
      </c>
      <c r="B611" s="2" t="str">
        <f t="shared" si="9"/>
        <v>sex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DATE(Configurações!$B$3,2,27)</f>
        <v>46080</v>
      </c>
      <c r="B612" s="2" t="str">
        <f t="shared" si="9"/>
        <v>sex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DATE(Configurações!$B$3,2,27)</f>
        <v>46080</v>
      </c>
      <c r="B613" s="2" t="str">
        <f t="shared" si="9"/>
        <v>sex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DATE(Configurações!$B$3,2,27)</f>
        <v>46080</v>
      </c>
      <c r="B614" s="2" t="str">
        <f t="shared" si="9"/>
        <v>sex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DATE(Configurações!$B$3,2,27)</f>
        <v>46080</v>
      </c>
      <c r="B615" s="2" t="str">
        <f t="shared" si="9"/>
        <v>sex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DATE(Configurações!$B$3,2,27)</f>
        <v>46080</v>
      </c>
      <c r="B616" s="2" t="str">
        <f t="shared" si="9"/>
        <v>sex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DATE(Configurações!$B$3,2,27)</f>
        <v>46080</v>
      </c>
      <c r="B617" s="2" t="str">
        <f t="shared" si="9"/>
        <v>sex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DATE(Configurações!$B$3,2,27)</f>
        <v>46080</v>
      </c>
      <c r="B618" s="2" t="str">
        <f t="shared" si="9"/>
        <v>sex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DATE(Configurações!$B$3,2,27)</f>
        <v>46080</v>
      </c>
      <c r="B619" s="2" t="str">
        <f t="shared" si="9"/>
        <v>sex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DATE(Configurações!$B$3,2,27)</f>
        <v>46080</v>
      </c>
      <c r="B620" s="2" t="str">
        <f t="shared" si="9"/>
        <v>sex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DATE(Configurações!$B$3,2,27)</f>
        <v>46080</v>
      </c>
      <c r="B621" s="2" t="str">
        <f t="shared" si="9"/>
        <v>sex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DATE(Configurações!$B$3,2,27)</f>
        <v>46080</v>
      </c>
      <c r="B622" s="2" t="str">
        <f t="shared" si="9"/>
        <v>sex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DATE(Configurações!$B$3,2,27)</f>
        <v>46080</v>
      </c>
      <c r="B623" s="2" t="str">
        <f t="shared" si="9"/>
        <v>sex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DATE(Configurações!$B$3,2,27)</f>
        <v>46080</v>
      </c>
      <c r="B624" s="2" t="str">
        <f t="shared" si="9"/>
        <v>sex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DATE(Configurações!$B$3,2,27)</f>
        <v>46080</v>
      </c>
      <c r="B625" s="2" t="str">
        <f t="shared" si="9"/>
        <v>sex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DATE(Configurações!$B$3,2,27)</f>
        <v>46080</v>
      </c>
      <c r="B626" s="2" t="str">
        <f t="shared" si="9"/>
        <v>sex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DATE(Configurações!$B$3,2,28)</f>
        <v>46081</v>
      </c>
      <c r="B627" s="2" t="str">
        <f t="shared" si="9"/>
        <v>sáb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DATE(Configurações!$B$3,2,28)</f>
        <v>46081</v>
      </c>
      <c r="B628" s="2" t="str">
        <f t="shared" si="9"/>
        <v>sáb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DATE(Configurações!$B$3,2,28)</f>
        <v>46081</v>
      </c>
      <c r="B629" s="2" t="str">
        <f t="shared" si="9"/>
        <v>sáb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DATE(Configurações!$B$3,2,28)</f>
        <v>46081</v>
      </c>
      <c r="B630" s="2" t="str">
        <f t="shared" si="9"/>
        <v>sáb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DATE(Configurações!$B$3,2,28)</f>
        <v>46081</v>
      </c>
      <c r="B631" s="2" t="str">
        <f t="shared" si="9"/>
        <v>sáb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DATE(Configurações!$B$3,2,28)</f>
        <v>46081</v>
      </c>
      <c r="B632" s="2" t="str">
        <f t="shared" si="9"/>
        <v>sáb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DATE(Configurações!$B$3,2,28)</f>
        <v>46081</v>
      </c>
      <c r="B633" s="2" t="str">
        <f t="shared" si="9"/>
        <v>sáb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DATE(Configurações!$B$3,2,28)</f>
        <v>46081</v>
      </c>
      <c r="B634" s="2" t="str">
        <f t="shared" si="9"/>
        <v>sáb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DATE(Configurações!$B$3,2,28)</f>
        <v>46081</v>
      </c>
      <c r="B635" s="2" t="str">
        <f t="shared" si="9"/>
        <v>sáb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DATE(Configurações!$B$3,2,28)</f>
        <v>46081</v>
      </c>
      <c r="B636" s="2" t="str">
        <f t="shared" si="9"/>
        <v>sáb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DATE(Configurações!$B$3,2,28)</f>
        <v>46081</v>
      </c>
      <c r="B637" s="2" t="str">
        <f t="shared" si="9"/>
        <v>sáb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DATE(Configurações!$B$3,2,28)</f>
        <v>46081</v>
      </c>
      <c r="B638" s="2" t="str">
        <f t="shared" si="9"/>
        <v>sáb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DATE(Configurações!$B$3,2,28)</f>
        <v>46081</v>
      </c>
      <c r="B639" s="2" t="str">
        <f t="shared" si="9"/>
        <v>sáb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DATE(Configurações!$B$3,2,28)</f>
        <v>46081</v>
      </c>
      <c r="B640" s="2" t="str">
        <f t="shared" si="9"/>
        <v>sáb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DATE(Configurações!$B$3,2,28)</f>
        <v>46081</v>
      </c>
      <c r="B641" s="2" t="str">
        <f t="shared" si="9"/>
        <v>sáb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DATE(Configurações!$B$3,2,28)</f>
        <v>46081</v>
      </c>
      <c r="B642" s="2" t="str">
        <f t="shared" si="9"/>
        <v>sáb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DATE(Configurações!$B$3,2,28)</f>
        <v>46081</v>
      </c>
      <c r="B643" s="2" t="str">
        <f t="shared" si="9"/>
        <v>sáb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DATE(Configurações!$B$3,2,28)</f>
        <v>46081</v>
      </c>
      <c r="B644" s="2" t="str">
        <f t="shared" si="9"/>
        <v>sáb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DATE(Configurações!$B$3,2,28)</f>
        <v>46081</v>
      </c>
      <c r="B645" s="2" t="str">
        <f t="shared" si="9"/>
        <v>sáb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DATE(Configurações!$B$3,2,28)</f>
        <v>46081</v>
      </c>
      <c r="B646" s="2" t="str">
        <f t="shared" ref="B646:B709" si="10">TEXT(A646,"ddd")</f>
        <v>sáb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DATE(Configurações!$B$3,2,28)</f>
        <v>46081</v>
      </c>
      <c r="B647" s="2" t="str">
        <f t="shared" si="10"/>
        <v>sáb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DATE(Configurações!$B$3,2,28)</f>
        <v>46081</v>
      </c>
      <c r="B648" s="2" t="str">
        <f t="shared" si="10"/>
        <v>sáb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DATE(Configurações!$B$3,2,28)</f>
        <v>46081</v>
      </c>
      <c r="B649" s="2" t="str">
        <f t="shared" si="10"/>
        <v>sáb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DATE(Configurações!$B$3,2,29)</f>
        <v>46082</v>
      </c>
      <c r="B650" s="2" t="str">
        <f t="shared" si="10"/>
        <v>dom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DATE(Configurações!$B$3,2,29)</f>
        <v>46082</v>
      </c>
      <c r="B651" s="2" t="str">
        <f t="shared" si="10"/>
        <v>dom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DATE(Configurações!$B$3,2,29)</f>
        <v>46082</v>
      </c>
      <c r="B652" s="2" t="str">
        <f t="shared" si="10"/>
        <v>dom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DATE(Configurações!$B$3,2,29)</f>
        <v>46082</v>
      </c>
      <c r="B653" s="2" t="str">
        <f t="shared" si="10"/>
        <v>dom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DATE(Configurações!$B$3,2,29)</f>
        <v>46082</v>
      </c>
      <c r="B654" s="2" t="str">
        <f t="shared" si="10"/>
        <v>dom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DATE(Configurações!$B$3,2,29)</f>
        <v>46082</v>
      </c>
      <c r="B655" s="2" t="str">
        <f t="shared" si="10"/>
        <v>dom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DATE(Configurações!$B$3,2,29)</f>
        <v>46082</v>
      </c>
      <c r="B656" s="2" t="str">
        <f t="shared" si="10"/>
        <v>dom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DATE(Configurações!$B$3,2,29)</f>
        <v>46082</v>
      </c>
      <c r="B657" s="2" t="str">
        <f t="shared" si="10"/>
        <v>dom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DATE(Configurações!$B$3,2,29)</f>
        <v>46082</v>
      </c>
      <c r="B658" s="2" t="str">
        <f t="shared" si="10"/>
        <v>dom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DATE(Configurações!$B$3,2,29)</f>
        <v>46082</v>
      </c>
      <c r="B659" s="2" t="str">
        <f t="shared" si="10"/>
        <v>dom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DATE(Configurações!$B$3,2,29)</f>
        <v>46082</v>
      </c>
      <c r="B660" s="2" t="str">
        <f t="shared" si="10"/>
        <v>dom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DATE(Configurações!$B$3,2,29)</f>
        <v>46082</v>
      </c>
      <c r="B661" s="2" t="str">
        <f t="shared" si="10"/>
        <v>dom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DATE(Configurações!$B$3,2,29)</f>
        <v>46082</v>
      </c>
      <c r="B662" s="2" t="str">
        <f t="shared" si="10"/>
        <v>dom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DATE(Configurações!$B$3,2,29)</f>
        <v>46082</v>
      </c>
      <c r="B663" s="2" t="str">
        <f t="shared" si="10"/>
        <v>dom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DATE(Configurações!$B$3,2,29)</f>
        <v>46082</v>
      </c>
      <c r="B664" s="2" t="str">
        <f t="shared" si="10"/>
        <v>dom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DATE(Configurações!$B$3,2,29)</f>
        <v>46082</v>
      </c>
      <c r="B665" s="2" t="str">
        <f t="shared" si="10"/>
        <v>dom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DATE(Configurações!$B$3,2,29)</f>
        <v>46082</v>
      </c>
      <c r="B666" s="2" t="str">
        <f t="shared" si="10"/>
        <v>dom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DATE(Configurações!$B$3,2,29)</f>
        <v>46082</v>
      </c>
      <c r="B667" s="2" t="str">
        <f t="shared" si="10"/>
        <v>dom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DATE(Configurações!$B$3,2,29)</f>
        <v>46082</v>
      </c>
      <c r="B668" s="2" t="str">
        <f t="shared" si="10"/>
        <v>dom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DATE(Configurações!$B$3,2,29)</f>
        <v>46082</v>
      </c>
      <c r="B669" s="2" t="str">
        <f t="shared" si="10"/>
        <v>dom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DATE(Configurações!$B$3,2,29)</f>
        <v>46082</v>
      </c>
      <c r="B670" s="2" t="str">
        <f t="shared" si="10"/>
        <v>dom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DATE(Configurações!$B$3,2,29)</f>
        <v>46082</v>
      </c>
      <c r="B671" s="2" t="str">
        <f t="shared" si="10"/>
        <v>dom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DATE(Configurações!$B$3,2,29)</f>
        <v>46082</v>
      </c>
      <c r="B672" s="2" t="str">
        <f t="shared" si="10"/>
        <v>dom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DATE(Configurações!$B$3,2,30)</f>
        <v>46083</v>
      </c>
      <c r="B673" s="2" t="str">
        <f t="shared" si="10"/>
        <v>seg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DATE(Configurações!$B$3,2,30)</f>
        <v>46083</v>
      </c>
      <c r="B674" s="2" t="str">
        <f t="shared" si="10"/>
        <v>seg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DATE(Configurações!$B$3,2,30)</f>
        <v>46083</v>
      </c>
      <c r="B675" s="2" t="str">
        <f t="shared" si="10"/>
        <v>seg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DATE(Configurações!$B$3,2,30)</f>
        <v>46083</v>
      </c>
      <c r="B676" s="2" t="str">
        <f t="shared" si="10"/>
        <v>seg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DATE(Configurações!$B$3,2,30)</f>
        <v>46083</v>
      </c>
      <c r="B677" s="2" t="str">
        <f t="shared" si="10"/>
        <v>seg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DATE(Configurações!$B$3,2,30)</f>
        <v>46083</v>
      </c>
      <c r="B678" s="2" t="str">
        <f t="shared" si="10"/>
        <v>seg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DATE(Configurações!$B$3,2,30)</f>
        <v>46083</v>
      </c>
      <c r="B679" s="2" t="str">
        <f t="shared" si="10"/>
        <v>seg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DATE(Configurações!$B$3,2,30)</f>
        <v>46083</v>
      </c>
      <c r="B680" s="2" t="str">
        <f t="shared" si="10"/>
        <v>seg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DATE(Configurações!$B$3,2,30)</f>
        <v>46083</v>
      </c>
      <c r="B681" s="2" t="str">
        <f t="shared" si="10"/>
        <v>seg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DATE(Configurações!$B$3,2,30)</f>
        <v>46083</v>
      </c>
      <c r="B682" s="2" t="str">
        <f t="shared" si="10"/>
        <v>seg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DATE(Configurações!$B$3,2,30)</f>
        <v>46083</v>
      </c>
      <c r="B683" s="2" t="str">
        <f t="shared" si="10"/>
        <v>seg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DATE(Configurações!$B$3,2,30)</f>
        <v>46083</v>
      </c>
      <c r="B684" s="2" t="str">
        <f t="shared" si="10"/>
        <v>seg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DATE(Configurações!$B$3,2,30)</f>
        <v>46083</v>
      </c>
      <c r="B685" s="2" t="str">
        <f t="shared" si="10"/>
        <v>seg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DATE(Configurações!$B$3,2,30)</f>
        <v>46083</v>
      </c>
      <c r="B686" s="2" t="str">
        <f t="shared" si="10"/>
        <v>seg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DATE(Configurações!$B$3,2,30)</f>
        <v>46083</v>
      </c>
      <c r="B687" s="2" t="str">
        <f t="shared" si="10"/>
        <v>seg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DATE(Configurações!$B$3,2,30)</f>
        <v>46083</v>
      </c>
      <c r="B688" s="2" t="str">
        <f t="shared" si="10"/>
        <v>seg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DATE(Configurações!$B$3,2,30)</f>
        <v>46083</v>
      </c>
      <c r="B689" s="2" t="str">
        <f t="shared" si="10"/>
        <v>seg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DATE(Configurações!$B$3,2,30)</f>
        <v>46083</v>
      </c>
      <c r="B690" s="2" t="str">
        <f t="shared" si="10"/>
        <v>seg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DATE(Configurações!$B$3,2,30)</f>
        <v>46083</v>
      </c>
      <c r="B691" s="2" t="str">
        <f t="shared" si="10"/>
        <v>seg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DATE(Configurações!$B$3,2,30)</f>
        <v>46083</v>
      </c>
      <c r="B692" s="2" t="str">
        <f t="shared" si="10"/>
        <v>seg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DATE(Configurações!$B$3,2,30)</f>
        <v>46083</v>
      </c>
      <c r="B693" s="2" t="str">
        <f t="shared" si="10"/>
        <v>seg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DATE(Configurações!$B$3,2,30)</f>
        <v>46083</v>
      </c>
      <c r="B694" s="2" t="str">
        <f t="shared" si="10"/>
        <v>seg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DATE(Configurações!$B$3,2,30)</f>
        <v>46083</v>
      </c>
      <c r="B695" s="2" t="str">
        <f t="shared" si="10"/>
        <v>seg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DATE(Configurações!$B$3,2,31)</f>
        <v>46084</v>
      </c>
      <c r="B696" s="2" t="str">
        <f t="shared" si="10"/>
        <v>ter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DATE(Configurações!$B$3,2,31)</f>
        <v>46084</v>
      </c>
      <c r="B697" s="2" t="str">
        <f t="shared" si="10"/>
        <v>ter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DATE(Configurações!$B$3,2,31)</f>
        <v>46084</v>
      </c>
      <c r="B698" s="2" t="str">
        <f t="shared" si="10"/>
        <v>ter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DATE(Configurações!$B$3,2,31)</f>
        <v>46084</v>
      </c>
      <c r="B699" s="2" t="str">
        <f t="shared" si="10"/>
        <v>ter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DATE(Configurações!$B$3,2,31)</f>
        <v>46084</v>
      </c>
      <c r="B700" s="2" t="str">
        <f t="shared" si="10"/>
        <v>ter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DATE(Configurações!$B$3,2,31)</f>
        <v>46084</v>
      </c>
      <c r="B701" s="2" t="str">
        <f t="shared" si="10"/>
        <v>ter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DATE(Configurações!$B$3,2,31)</f>
        <v>46084</v>
      </c>
      <c r="B702" s="2" t="str">
        <f t="shared" si="10"/>
        <v>ter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DATE(Configurações!$B$3,2,31)</f>
        <v>46084</v>
      </c>
      <c r="B703" s="2" t="str">
        <f t="shared" si="10"/>
        <v>ter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DATE(Configurações!$B$3,2,31)</f>
        <v>46084</v>
      </c>
      <c r="B704" s="2" t="str">
        <f t="shared" si="10"/>
        <v>ter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DATE(Configurações!$B$3,2,31)</f>
        <v>46084</v>
      </c>
      <c r="B705" s="2" t="str">
        <f t="shared" si="10"/>
        <v>ter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DATE(Configurações!$B$3,2,31)</f>
        <v>46084</v>
      </c>
      <c r="B706" s="2" t="str">
        <f t="shared" si="10"/>
        <v>ter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DATE(Configurações!$B$3,2,31)</f>
        <v>46084</v>
      </c>
      <c r="B707" s="2" t="str">
        <f t="shared" si="10"/>
        <v>ter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DATE(Configurações!$B$3,2,31)</f>
        <v>46084</v>
      </c>
      <c r="B708" s="2" t="str">
        <f t="shared" si="10"/>
        <v>ter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DATE(Configurações!$B$3,2,31)</f>
        <v>46084</v>
      </c>
      <c r="B709" s="2" t="str">
        <f t="shared" si="10"/>
        <v>ter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DATE(Configurações!$B$3,2,31)</f>
        <v>46084</v>
      </c>
      <c r="B710" s="2" t="str">
        <f t="shared" ref="B710:B773" si="11">TEXT(A710,"ddd")</f>
        <v>ter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DATE(Configurações!$B$3,2,31)</f>
        <v>46084</v>
      </c>
      <c r="B711" s="2" t="str">
        <f t="shared" si="11"/>
        <v>ter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DATE(Configurações!$B$3,2,31)</f>
        <v>46084</v>
      </c>
      <c r="B712" s="2" t="str">
        <f t="shared" si="11"/>
        <v>ter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DATE(Configurações!$B$3,2,31)</f>
        <v>46084</v>
      </c>
      <c r="B713" s="2" t="str">
        <f t="shared" si="11"/>
        <v>ter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DATE(Configurações!$B$3,2,31)</f>
        <v>46084</v>
      </c>
      <c r="B714" s="2" t="str">
        <f t="shared" si="11"/>
        <v>ter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DATE(Configurações!$B$3,2,31)</f>
        <v>46084</v>
      </c>
      <c r="B715" s="2" t="str">
        <f t="shared" si="11"/>
        <v>ter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DATE(Configurações!$B$3,2,31)</f>
        <v>46084</v>
      </c>
      <c r="B716" s="2" t="str">
        <f t="shared" si="11"/>
        <v>ter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DATE(Configurações!$B$3,2,31)</f>
        <v>46084</v>
      </c>
      <c r="B717" s="2" t="str">
        <f t="shared" si="11"/>
        <v>ter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DATE(Configurações!$B$3,2,31)</f>
        <v>46084</v>
      </c>
      <c r="B718" s="2" t="str">
        <f t="shared" si="11"/>
        <v>ter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43" priority="1">
      <formula>F6="Online"</formula>
    </cfRule>
    <cfRule type="expression" dxfId="42" priority="2">
      <formula>F6="Offline"</formula>
    </cfRule>
    <cfRule type="expression" dxfId="41" priority="3">
      <formula>F6="Manutenção"</formula>
    </cfRule>
    <cfRule type="expression" dxfId="40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109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DATE(Configurações!$B$3,3,1)</f>
        <v>46082</v>
      </c>
      <c r="B6" s="2" t="str">
        <f t="shared" ref="B6:B69" si="0">TEXT(A6,"ddd")</f>
        <v>dom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DATE(Configurações!$B$3,3,1)</f>
        <v>46082</v>
      </c>
      <c r="B7" s="2" t="str">
        <f t="shared" si="0"/>
        <v>dom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DATE(Configurações!$B$3,3,1)</f>
        <v>46082</v>
      </c>
      <c r="B8" s="2" t="str">
        <f t="shared" si="0"/>
        <v>dom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DATE(Configurações!$B$3,3,1)</f>
        <v>46082</v>
      </c>
      <c r="B9" s="2" t="str">
        <f t="shared" si="0"/>
        <v>dom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DATE(Configurações!$B$3,3,1)</f>
        <v>46082</v>
      </c>
      <c r="B10" s="2" t="str">
        <f t="shared" si="0"/>
        <v>dom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DATE(Configurações!$B$3,3,1)</f>
        <v>46082</v>
      </c>
      <c r="B11" s="2" t="str">
        <f t="shared" si="0"/>
        <v>dom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DATE(Configurações!$B$3,3,1)</f>
        <v>46082</v>
      </c>
      <c r="B12" s="2" t="str">
        <f t="shared" si="0"/>
        <v>dom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DATE(Configurações!$B$3,3,1)</f>
        <v>46082</v>
      </c>
      <c r="B13" s="2" t="str">
        <f t="shared" si="0"/>
        <v>dom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DATE(Configurações!$B$3,3,1)</f>
        <v>46082</v>
      </c>
      <c r="B14" s="2" t="str">
        <f t="shared" si="0"/>
        <v>dom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DATE(Configurações!$B$3,3,1)</f>
        <v>46082</v>
      </c>
      <c r="B15" s="2" t="str">
        <f t="shared" si="0"/>
        <v>dom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DATE(Configurações!$B$3,3,1)</f>
        <v>46082</v>
      </c>
      <c r="B16" s="2" t="str">
        <f t="shared" si="0"/>
        <v>dom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DATE(Configurações!$B$3,3,1)</f>
        <v>46082</v>
      </c>
      <c r="B17" s="2" t="str">
        <f t="shared" si="0"/>
        <v>dom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DATE(Configurações!$B$3,3,1)</f>
        <v>46082</v>
      </c>
      <c r="B18" s="2" t="str">
        <f t="shared" si="0"/>
        <v>dom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DATE(Configurações!$B$3,3,1)</f>
        <v>46082</v>
      </c>
      <c r="B19" s="2" t="str">
        <f t="shared" si="0"/>
        <v>dom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DATE(Configurações!$B$3,3,1)</f>
        <v>46082</v>
      </c>
      <c r="B20" s="2" t="str">
        <f t="shared" si="0"/>
        <v>dom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DATE(Configurações!$B$3,3,1)</f>
        <v>46082</v>
      </c>
      <c r="B21" s="2" t="str">
        <f t="shared" si="0"/>
        <v>dom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DATE(Configurações!$B$3,3,1)</f>
        <v>46082</v>
      </c>
      <c r="B22" s="2" t="str">
        <f t="shared" si="0"/>
        <v>dom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DATE(Configurações!$B$3,3,1)</f>
        <v>46082</v>
      </c>
      <c r="B23" s="2" t="str">
        <f t="shared" si="0"/>
        <v>dom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DATE(Configurações!$B$3,3,1)</f>
        <v>46082</v>
      </c>
      <c r="B24" s="2" t="str">
        <f t="shared" si="0"/>
        <v>dom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DATE(Configurações!$B$3,3,1)</f>
        <v>46082</v>
      </c>
      <c r="B25" s="2" t="str">
        <f t="shared" si="0"/>
        <v>dom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DATE(Configurações!$B$3,3,1)</f>
        <v>46082</v>
      </c>
      <c r="B26" s="2" t="str">
        <f t="shared" si="0"/>
        <v>dom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DATE(Configurações!$B$3,3,1)</f>
        <v>46082</v>
      </c>
      <c r="B27" s="2" t="str">
        <f t="shared" si="0"/>
        <v>dom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DATE(Configurações!$B$3,3,1)</f>
        <v>46082</v>
      </c>
      <c r="B28" s="2" t="str">
        <f t="shared" si="0"/>
        <v>dom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DATE(Configurações!$B$3,3,2)</f>
        <v>46083</v>
      </c>
      <c r="B29" s="2" t="str">
        <f t="shared" si="0"/>
        <v>seg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DATE(Configurações!$B$3,3,2)</f>
        <v>46083</v>
      </c>
      <c r="B30" s="2" t="str">
        <f t="shared" si="0"/>
        <v>seg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DATE(Configurações!$B$3,3,2)</f>
        <v>46083</v>
      </c>
      <c r="B31" s="2" t="str">
        <f t="shared" si="0"/>
        <v>seg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DATE(Configurações!$B$3,3,2)</f>
        <v>46083</v>
      </c>
      <c r="B32" s="2" t="str">
        <f t="shared" si="0"/>
        <v>seg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DATE(Configurações!$B$3,3,2)</f>
        <v>46083</v>
      </c>
      <c r="B33" s="2" t="str">
        <f t="shared" si="0"/>
        <v>seg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DATE(Configurações!$B$3,3,2)</f>
        <v>46083</v>
      </c>
      <c r="B34" s="2" t="str">
        <f t="shared" si="0"/>
        <v>seg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DATE(Configurações!$B$3,3,2)</f>
        <v>46083</v>
      </c>
      <c r="B35" s="2" t="str">
        <f t="shared" si="0"/>
        <v>seg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DATE(Configurações!$B$3,3,2)</f>
        <v>46083</v>
      </c>
      <c r="B36" s="2" t="str">
        <f t="shared" si="0"/>
        <v>seg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DATE(Configurações!$B$3,3,2)</f>
        <v>46083</v>
      </c>
      <c r="B37" s="2" t="str">
        <f t="shared" si="0"/>
        <v>seg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DATE(Configurações!$B$3,3,2)</f>
        <v>46083</v>
      </c>
      <c r="B38" s="2" t="str">
        <f t="shared" si="0"/>
        <v>seg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DATE(Configurações!$B$3,3,2)</f>
        <v>46083</v>
      </c>
      <c r="B39" s="2" t="str">
        <f t="shared" si="0"/>
        <v>seg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DATE(Configurações!$B$3,3,2)</f>
        <v>46083</v>
      </c>
      <c r="B40" s="2" t="str">
        <f t="shared" si="0"/>
        <v>seg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DATE(Configurações!$B$3,3,2)</f>
        <v>46083</v>
      </c>
      <c r="B41" s="2" t="str">
        <f t="shared" si="0"/>
        <v>seg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DATE(Configurações!$B$3,3,2)</f>
        <v>46083</v>
      </c>
      <c r="B42" s="2" t="str">
        <f t="shared" si="0"/>
        <v>seg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DATE(Configurações!$B$3,3,2)</f>
        <v>46083</v>
      </c>
      <c r="B43" s="2" t="str">
        <f t="shared" si="0"/>
        <v>seg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DATE(Configurações!$B$3,3,2)</f>
        <v>46083</v>
      </c>
      <c r="B44" s="2" t="str">
        <f t="shared" si="0"/>
        <v>seg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DATE(Configurações!$B$3,3,2)</f>
        <v>46083</v>
      </c>
      <c r="B45" s="2" t="str">
        <f t="shared" si="0"/>
        <v>seg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DATE(Configurações!$B$3,3,2)</f>
        <v>46083</v>
      </c>
      <c r="B46" s="2" t="str">
        <f t="shared" si="0"/>
        <v>seg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DATE(Configurações!$B$3,3,2)</f>
        <v>46083</v>
      </c>
      <c r="B47" s="2" t="str">
        <f t="shared" si="0"/>
        <v>seg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DATE(Configurações!$B$3,3,2)</f>
        <v>46083</v>
      </c>
      <c r="B48" s="2" t="str">
        <f t="shared" si="0"/>
        <v>seg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DATE(Configurações!$B$3,3,2)</f>
        <v>46083</v>
      </c>
      <c r="B49" s="2" t="str">
        <f t="shared" si="0"/>
        <v>seg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DATE(Configurações!$B$3,3,2)</f>
        <v>46083</v>
      </c>
      <c r="B50" s="2" t="str">
        <f t="shared" si="0"/>
        <v>seg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DATE(Configurações!$B$3,3,2)</f>
        <v>46083</v>
      </c>
      <c r="B51" s="2" t="str">
        <f t="shared" si="0"/>
        <v>seg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DATE(Configurações!$B$3,3,3)</f>
        <v>46084</v>
      </c>
      <c r="B52" s="2" t="str">
        <f t="shared" si="0"/>
        <v>ter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DATE(Configurações!$B$3,3,3)</f>
        <v>46084</v>
      </c>
      <c r="B53" s="2" t="str">
        <f t="shared" si="0"/>
        <v>ter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DATE(Configurações!$B$3,3,3)</f>
        <v>46084</v>
      </c>
      <c r="B54" s="2" t="str">
        <f t="shared" si="0"/>
        <v>ter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DATE(Configurações!$B$3,3,3)</f>
        <v>46084</v>
      </c>
      <c r="B55" s="2" t="str">
        <f t="shared" si="0"/>
        <v>ter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DATE(Configurações!$B$3,3,3)</f>
        <v>46084</v>
      </c>
      <c r="B56" s="2" t="str">
        <f t="shared" si="0"/>
        <v>ter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DATE(Configurações!$B$3,3,3)</f>
        <v>46084</v>
      </c>
      <c r="B57" s="2" t="str">
        <f t="shared" si="0"/>
        <v>ter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DATE(Configurações!$B$3,3,3)</f>
        <v>46084</v>
      </c>
      <c r="B58" s="2" t="str">
        <f t="shared" si="0"/>
        <v>ter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DATE(Configurações!$B$3,3,3)</f>
        <v>46084</v>
      </c>
      <c r="B59" s="2" t="str">
        <f t="shared" si="0"/>
        <v>ter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DATE(Configurações!$B$3,3,3)</f>
        <v>46084</v>
      </c>
      <c r="B60" s="2" t="str">
        <f t="shared" si="0"/>
        <v>ter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DATE(Configurações!$B$3,3,3)</f>
        <v>46084</v>
      </c>
      <c r="B61" s="2" t="str">
        <f t="shared" si="0"/>
        <v>ter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DATE(Configurações!$B$3,3,3)</f>
        <v>46084</v>
      </c>
      <c r="B62" s="2" t="str">
        <f t="shared" si="0"/>
        <v>ter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DATE(Configurações!$B$3,3,3)</f>
        <v>46084</v>
      </c>
      <c r="B63" s="2" t="str">
        <f t="shared" si="0"/>
        <v>ter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DATE(Configurações!$B$3,3,3)</f>
        <v>46084</v>
      </c>
      <c r="B64" s="2" t="str">
        <f t="shared" si="0"/>
        <v>ter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DATE(Configurações!$B$3,3,3)</f>
        <v>46084</v>
      </c>
      <c r="B65" s="2" t="str">
        <f t="shared" si="0"/>
        <v>ter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DATE(Configurações!$B$3,3,3)</f>
        <v>46084</v>
      </c>
      <c r="B66" s="2" t="str">
        <f t="shared" si="0"/>
        <v>ter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DATE(Configurações!$B$3,3,3)</f>
        <v>46084</v>
      </c>
      <c r="B67" s="2" t="str">
        <f t="shared" si="0"/>
        <v>ter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DATE(Configurações!$B$3,3,3)</f>
        <v>46084</v>
      </c>
      <c r="B68" s="2" t="str">
        <f t="shared" si="0"/>
        <v>ter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DATE(Configurações!$B$3,3,3)</f>
        <v>46084</v>
      </c>
      <c r="B69" s="2" t="str">
        <f t="shared" si="0"/>
        <v>ter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DATE(Configurações!$B$3,3,3)</f>
        <v>46084</v>
      </c>
      <c r="B70" s="2" t="str">
        <f t="shared" ref="B70:B133" si="1">TEXT(A70,"ddd")</f>
        <v>ter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DATE(Configurações!$B$3,3,3)</f>
        <v>46084</v>
      </c>
      <c r="B71" s="2" t="str">
        <f t="shared" si="1"/>
        <v>ter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DATE(Configurações!$B$3,3,3)</f>
        <v>46084</v>
      </c>
      <c r="B72" s="2" t="str">
        <f t="shared" si="1"/>
        <v>ter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DATE(Configurações!$B$3,3,3)</f>
        <v>46084</v>
      </c>
      <c r="B73" s="2" t="str">
        <f t="shared" si="1"/>
        <v>ter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DATE(Configurações!$B$3,3,3)</f>
        <v>46084</v>
      </c>
      <c r="B74" s="2" t="str">
        <f t="shared" si="1"/>
        <v>ter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DATE(Configurações!$B$3,3,4)</f>
        <v>46085</v>
      </c>
      <c r="B75" s="2" t="str">
        <f t="shared" si="1"/>
        <v>qua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DATE(Configurações!$B$3,3,4)</f>
        <v>46085</v>
      </c>
      <c r="B76" s="2" t="str">
        <f t="shared" si="1"/>
        <v>qua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DATE(Configurações!$B$3,3,4)</f>
        <v>46085</v>
      </c>
      <c r="B77" s="2" t="str">
        <f t="shared" si="1"/>
        <v>qua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DATE(Configurações!$B$3,3,4)</f>
        <v>46085</v>
      </c>
      <c r="B78" s="2" t="str">
        <f t="shared" si="1"/>
        <v>qua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DATE(Configurações!$B$3,3,4)</f>
        <v>46085</v>
      </c>
      <c r="B79" s="2" t="str">
        <f t="shared" si="1"/>
        <v>qua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DATE(Configurações!$B$3,3,4)</f>
        <v>46085</v>
      </c>
      <c r="B80" s="2" t="str">
        <f t="shared" si="1"/>
        <v>qua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DATE(Configurações!$B$3,3,4)</f>
        <v>46085</v>
      </c>
      <c r="B81" s="2" t="str">
        <f t="shared" si="1"/>
        <v>qua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DATE(Configurações!$B$3,3,4)</f>
        <v>46085</v>
      </c>
      <c r="B82" s="2" t="str">
        <f t="shared" si="1"/>
        <v>qua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DATE(Configurações!$B$3,3,4)</f>
        <v>46085</v>
      </c>
      <c r="B83" s="2" t="str">
        <f t="shared" si="1"/>
        <v>qua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DATE(Configurações!$B$3,3,4)</f>
        <v>46085</v>
      </c>
      <c r="B84" s="2" t="str">
        <f t="shared" si="1"/>
        <v>qua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DATE(Configurações!$B$3,3,4)</f>
        <v>46085</v>
      </c>
      <c r="B85" s="2" t="str">
        <f t="shared" si="1"/>
        <v>qua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DATE(Configurações!$B$3,3,4)</f>
        <v>46085</v>
      </c>
      <c r="B86" s="2" t="str">
        <f t="shared" si="1"/>
        <v>qua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DATE(Configurações!$B$3,3,4)</f>
        <v>46085</v>
      </c>
      <c r="B87" s="2" t="str">
        <f t="shared" si="1"/>
        <v>qua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DATE(Configurações!$B$3,3,4)</f>
        <v>46085</v>
      </c>
      <c r="B88" s="2" t="str">
        <f t="shared" si="1"/>
        <v>qua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DATE(Configurações!$B$3,3,4)</f>
        <v>46085</v>
      </c>
      <c r="B89" s="2" t="str">
        <f t="shared" si="1"/>
        <v>qua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DATE(Configurações!$B$3,3,4)</f>
        <v>46085</v>
      </c>
      <c r="B90" s="2" t="str">
        <f t="shared" si="1"/>
        <v>qua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DATE(Configurações!$B$3,3,4)</f>
        <v>46085</v>
      </c>
      <c r="B91" s="2" t="str">
        <f t="shared" si="1"/>
        <v>qua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DATE(Configurações!$B$3,3,4)</f>
        <v>46085</v>
      </c>
      <c r="B92" s="2" t="str">
        <f t="shared" si="1"/>
        <v>qua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DATE(Configurações!$B$3,3,4)</f>
        <v>46085</v>
      </c>
      <c r="B93" s="2" t="str">
        <f t="shared" si="1"/>
        <v>qua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DATE(Configurações!$B$3,3,4)</f>
        <v>46085</v>
      </c>
      <c r="B94" s="2" t="str">
        <f t="shared" si="1"/>
        <v>qua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DATE(Configurações!$B$3,3,4)</f>
        <v>46085</v>
      </c>
      <c r="B95" s="2" t="str">
        <f t="shared" si="1"/>
        <v>qua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DATE(Configurações!$B$3,3,4)</f>
        <v>46085</v>
      </c>
      <c r="B96" s="2" t="str">
        <f t="shared" si="1"/>
        <v>qua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DATE(Configurações!$B$3,3,4)</f>
        <v>46085</v>
      </c>
      <c r="B97" s="2" t="str">
        <f t="shared" si="1"/>
        <v>qua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DATE(Configurações!$B$3,3,5)</f>
        <v>46086</v>
      </c>
      <c r="B98" s="2" t="str">
        <f t="shared" si="1"/>
        <v>qui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DATE(Configurações!$B$3,3,5)</f>
        <v>46086</v>
      </c>
      <c r="B99" s="2" t="str">
        <f t="shared" si="1"/>
        <v>qui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DATE(Configurações!$B$3,3,5)</f>
        <v>46086</v>
      </c>
      <c r="B100" s="2" t="str">
        <f t="shared" si="1"/>
        <v>qui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DATE(Configurações!$B$3,3,5)</f>
        <v>46086</v>
      </c>
      <c r="B101" s="2" t="str">
        <f t="shared" si="1"/>
        <v>qui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DATE(Configurações!$B$3,3,5)</f>
        <v>46086</v>
      </c>
      <c r="B102" s="2" t="str">
        <f t="shared" si="1"/>
        <v>qui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DATE(Configurações!$B$3,3,5)</f>
        <v>46086</v>
      </c>
      <c r="B103" s="2" t="str">
        <f t="shared" si="1"/>
        <v>qui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DATE(Configurações!$B$3,3,5)</f>
        <v>46086</v>
      </c>
      <c r="B104" s="2" t="str">
        <f t="shared" si="1"/>
        <v>qui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DATE(Configurações!$B$3,3,5)</f>
        <v>46086</v>
      </c>
      <c r="B105" s="2" t="str">
        <f t="shared" si="1"/>
        <v>qui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DATE(Configurações!$B$3,3,5)</f>
        <v>46086</v>
      </c>
      <c r="B106" s="2" t="str">
        <f t="shared" si="1"/>
        <v>qui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DATE(Configurações!$B$3,3,5)</f>
        <v>46086</v>
      </c>
      <c r="B107" s="2" t="str">
        <f t="shared" si="1"/>
        <v>qui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DATE(Configurações!$B$3,3,5)</f>
        <v>46086</v>
      </c>
      <c r="B108" s="2" t="str">
        <f t="shared" si="1"/>
        <v>qui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DATE(Configurações!$B$3,3,5)</f>
        <v>46086</v>
      </c>
      <c r="B109" s="2" t="str">
        <f t="shared" si="1"/>
        <v>qui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DATE(Configurações!$B$3,3,5)</f>
        <v>46086</v>
      </c>
      <c r="B110" s="2" t="str">
        <f t="shared" si="1"/>
        <v>qui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DATE(Configurações!$B$3,3,5)</f>
        <v>46086</v>
      </c>
      <c r="B111" s="2" t="str">
        <f t="shared" si="1"/>
        <v>qui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DATE(Configurações!$B$3,3,5)</f>
        <v>46086</v>
      </c>
      <c r="B112" s="2" t="str">
        <f t="shared" si="1"/>
        <v>qui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DATE(Configurações!$B$3,3,5)</f>
        <v>46086</v>
      </c>
      <c r="B113" s="2" t="str">
        <f t="shared" si="1"/>
        <v>qui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DATE(Configurações!$B$3,3,5)</f>
        <v>46086</v>
      </c>
      <c r="B114" s="2" t="str">
        <f t="shared" si="1"/>
        <v>qui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DATE(Configurações!$B$3,3,5)</f>
        <v>46086</v>
      </c>
      <c r="B115" s="2" t="str">
        <f t="shared" si="1"/>
        <v>qui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DATE(Configurações!$B$3,3,5)</f>
        <v>46086</v>
      </c>
      <c r="B116" s="2" t="str">
        <f t="shared" si="1"/>
        <v>qui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DATE(Configurações!$B$3,3,5)</f>
        <v>46086</v>
      </c>
      <c r="B117" s="2" t="str">
        <f t="shared" si="1"/>
        <v>qui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DATE(Configurações!$B$3,3,5)</f>
        <v>46086</v>
      </c>
      <c r="B118" s="2" t="str">
        <f t="shared" si="1"/>
        <v>qui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DATE(Configurações!$B$3,3,5)</f>
        <v>46086</v>
      </c>
      <c r="B119" s="2" t="str">
        <f t="shared" si="1"/>
        <v>qui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DATE(Configurações!$B$3,3,5)</f>
        <v>46086</v>
      </c>
      <c r="B120" s="2" t="str">
        <f t="shared" si="1"/>
        <v>qui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DATE(Configurações!$B$3,3,6)</f>
        <v>46087</v>
      </c>
      <c r="B121" s="2" t="str">
        <f t="shared" si="1"/>
        <v>sex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DATE(Configurações!$B$3,3,6)</f>
        <v>46087</v>
      </c>
      <c r="B122" s="2" t="str">
        <f t="shared" si="1"/>
        <v>sex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DATE(Configurações!$B$3,3,6)</f>
        <v>46087</v>
      </c>
      <c r="B123" s="2" t="str">
        <f t="shared" si="1"/>
        <v>sex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DATE(Configurações!$B$3,3,6)</f>
        <v>46087</v>
      </c>
      <c r="B124" s="2" t="str">
        <f t="shared" si="1"/>
        <v>sex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DATE(Configurações!$B$3,3,6)</f>
        <v>46087</v>
      </c>
      <c r="B125" s="2" t="str">
        <f t="shared" si="1"/>
        <v>sex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DATE(Configurações!$B$3,3,6)</f>
        <v>46087</v>
      </c>
      <c r="B126" s="2" t="str">
        <f t="shared" si="1"/>
        <v>sex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DATE(Configurações!$B$3,3,6)</f>
        <v>46087</v>
      </c>
      <c r="B127" s="2" t="str">
        <f t="shared" si="1"/>
        <v>sex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DATE(Configurações!$B$3,3,6)</f>
        <v>46087</v>
      </c>
      <c r="B128" s="2" t="str">
        <f t="shared" si="1"/>
        <v>sex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DATE(Configurações!$B$3,3,6)</f>
        <v>46087</v>
      </c>
      <c r="B129" s="2" t="str">
        <f t="shared" si="1"/>
        <v>sex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DATE(Configurações!$B$3,3,6)</f>
        <v>46087</v>
      </c>
      <c r="B130" s="2" t="str">
        <f t="shared" si="1"/>
        <v>sex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DATE(Configurações!$B$3,3,6)</f>
        <v>46087</v>
      </c>
      <c r="B131" s="2" t="str">
        <f t="shared" si="1"/>
        <v>sex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DATE(Configurações!$B$3,3,6)</f>
        <v>46087</v>
      </c>
      <c r="B132" s="2" t="str">
        <f t="shared" si="1"/>
        <v>sex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DATE(Configurações!$B$3,3,6)</f>
        <v>46087</v>
      </c>
      <c r="B133" s="2" t="str">
        <f t="shared" si="1"/>
        <v>sex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DATE(Configurações!$B$3,3,6)</f>
        <v>46087</v>
      </c>
      <c r="B134" s="2" t="str">
        <f t="shared" ref="B134:B197" si="2">TEXT(A134,"ddd")</f>
        <v>sex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DATE(Configurações!$B$3,3,6)</f>
        <v>46087</v>
      </c>
      <c r="B135" s="2" t="str">
        <f t="shared" si="2"/>
        <v>sex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DATE(Configurações!$B$3,3,6)</f>
        <v>46087</v>
      </c>
      <c r="B136" s="2" t="str">
        <f t="shared" si="2"/>
        <v>sex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DATE(Configurações!$B$3,3,6)</f>
        <v>46087</v>
      </c>
      <c r="B137" s="2" t="str">
        <f t="shared" si="2"/>
        <v>sex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DATE(Configurações!$B$3,3,6)</f>
        <v>46087</v>
      </c>
      <c r="B138" s="2" t="str">
        <f t="shared" si="2"/>
        <v>sex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DATE(Configurações!$B$3,3,6)</f>
        <v>46087</v>
      </c>
      <c r="B139" s="2" t="str">
        <f t="shared" si="2"/>
        <v>sex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DATE(Configurações!$B$3,3,6)</f>
        <v>46087</v>
      </c>
      <c r="B140" s="2" t="str">
        <f t="shared" si="2"/>
        <v>sex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DATE(Configurações!$B$3,3,6)</f>
        <v>46087</v>
      </c>
      <c r="B141" s="2" t="str">
        <f t="shared" si="2"/>
        <v>sex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DATE(Configurações!$B$3,3,6)</f>
        <v>46087</v>
      </c>
      <c r="B142" s="2" t="str">
        <f t="shared" si="2"/>
        <v>sex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DATE(Configurações!$B$3,3,6)</f>
        <v>46087</v>
      </c>
      <c r="B143" s="2" t="str">
        <f t="shared" si="2"/>
        <v>sex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DATE(Configurações!$B$3,3,7)</f>
        <v>46088</v>
      </c>
      <c r="B144" s="2" t="str">
        <f t="shared" si="2"/>
        <v>sáb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DATE(Configurações!$B$3,3,7)</f>
        <v>46088</v>
      </c>
      <c r="B145" s="2" t="str">
        <f t="shared" si="2"/>
        <v>sáb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DATE(Configurações!$B$3,3,7)</f>
        <v>46088</v>
      </c>
      <c r="B146" s="2" t="str">
        <f t="shared" si="2"/>
        <v>sáb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DATE(Configurações!$B$3,3,7)</f>
        <v>46088</v>
      </c>
      <c r="B147" s="2" t="str">
        <f t="shared" si="2"/>
        <v>sáb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DATE(Configurações!$B$3,3,7)</f>
        <v>46088</v>
      </c>
      <c r="B148" s="2" t="str">
        <f t="shared" si="2"/>
        <v>sáb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DATE(Configurações!$B$3,3,7)</f>
        <v>46088</v>
      </c>
      <c r="B149" s="2" t="str">
        <f t="shared" si="2"/>
        <v>sáb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DATE(Configurações!$B$3,3,7)</f>
        <v>46088</v>
      </c>
      <c r="B150" s="2" t="str">
        <f t="shared" si="2"/>
        <v>sáb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DATE(Configurações!$B$3,3,7)</f>
        <v>46088</v>
      </c>
      <c r="B151" s="2" t="str">
        <f t="shared" si="2"/>
        <v>sáb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DATE(Configurações!$B$3,3,7)</f>
        <v>46088</v>
      </c>
      <c r="B152" s="2" t="str">
        <f t="shared" si="2"/>
        <v>sáb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DATE(Configurações!$B$3,3,7)</f>
        <v>46088</v>
      </c>
      <c r="B153" s="2" t="str">
        <f t="shared" si="2"/>
        <v>sáb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DATE(Configurações!$B$3,3,7)</f>
        <v>46088</v>
      </c>
      <c r="B154" s="2" t="str">
        <f t="shared" si="2"/>
        <v>sáb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DATE(Configurações!$B$3,3,7)</f>
        <v>46088</v>
      </c>
      <c r="B155" s="2" t="str">
        <f t="shared" si="2"/>
        <v>sáb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DATE(Configurações!$B$3,3,7)</f>
        <v>46088</v>
      </c>
      <c r="B156" s="2" t="str">
        <f t="shared" si="2"/>
        <v>sáb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DATE(Configurações!$B$3,3,7)</f>
        <v>46088</v>
      </c>
      <c r="B157" s="2" t="str">
        <f t="shared" si="2"/>
        <v>sáb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DATE(Configurações!$B$3,3,7)</f>
        <v>46088</v>
      </c>
      <c r="B158" s="2" t="str">
        <f t="shared" si="2"/>
        <v>sáb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DATE(Configurações!$B$3,3,7)</f>
        <v>46088</v>
      </c>
      <c r="B159" s="2" t="str">
        <f t="shared" si="2"/>
        <v>sáb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DATE(Configurações!$B$3,3,7)</f>
        <v>46088</v>
      </c>
      <c r="B160" s="2" t="str">
        <f t="shared" si="2"/>
        <v>sáb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DATE(Configurações!$B$3,3,7)</f>
        <v>46088</v>
      </c>
      <c r="B161" s="2" t="str">
        <f t="shared" si="2"/>
        <v>sáb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DATE(Configurações!$B$3,3,7)</f>
        <v>46088</v>
      </c>
      <c r="B162" s="2" t="str">
        <f t="shared" si="2"/>
        <v>sáb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DATE(Configurações!$B$3,3,7)</f>
        <v>46088</v>
      </c>
      <c r="B163" s="2" t="str">
        <f t="shared" si="2"/>
        <v>sáb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DATE(Configurações!$B$3,3,7)</f>
        <v>46088</v>
      </c>
      <c r="B164" s="2" t="str">
        <f t="shared" si="2"/>
        <v>sáb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DATE(Configurações!$B$3,3,7)</f>
        <v>46088</v>
      </c>
      <c r="B165" s="2" t="str">
        <f t="shared" si="2"/>
        <v>sáb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DATE(Configurações!$B$3,3,7)</f>
        <v>46088</v>
      </c>
      <c r="B166" s="2" t="str">
        <f t="shared" si="2"/>
        <v>sáb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DATE(Configurações!$B$3,3,8)</f>
        <v>46089</v>
      </c>
      <c r="B167" s="2" t="str">
        <f t="shared" si="2"/>
        <v>dom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DATE(Configurações!$B$3,3,8)</f>
        <v>46089</v>
      </c>
      <c r="B168" s="2" t="str">
        <f t="shared" si="2"/>
        <v>dom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DATE(Configurações!$B$3,3,8)</f>
        <v>46089</v>
      </c>
      <c r="B169" s="2" t="str">
        <f t="shared" si="2"/>
        <v>dom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DATE(Configurações!$B$3,3,8)</f>
        <v>46089</v>
      </c>
      <c r="B170" s="2" t="str">
        <f t="shared" si="2"/>
        <v>dom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DATE(Configurações!$B$3,3,8)</f>
        <v>46089</v>
      </c>
      <c r="B171" s="2" t="str">
        <f t="shared" si="2"/>
        <v>dom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DATE(Configurações!$B$3,3,8)</f>
        <v>46089</v>
      </c>
      <c r="B172" s="2" t="str">
        <f t="shared" si="2"/>
        <v>dom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DATE(Configurações!$B$3,3,8)</f>
        <v>46089</v>
      </c>
      <c r="B173" s="2" t="str">
        <f t="shared" si="2"/>
        <v>dom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DATE(Configurações!$B$3,3,8)</f>
        <v>46089</v>
      </c>
      <c r="B174" s="2" t="str">
        <f t="shared" si="2"/>
        <v>dom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DATE(Configurações!$B$3,3,8)</f>
        <v>46089</v>
      </c>
      <c r="B175" s="2" t="str">
        <f t="shared" si="2"/>
        <v>dom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DATE(Configurações!$B$3,3,8)</f>
        <v>46089</v>
      </c>
      <c r="B176" s="2" t="str">
        <f t="shared" si="2"/>
        <v>dom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DATE(Configurações!$B$3,3,8)</f>
        <v>46089</v>
      </c>
      <c r="B177" s="2" t="str">
        <f t="shared" si="2"/>
        <v>dom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DATE(Configurações!$B$3,3,8)</f>
        <v>46089</v>
      </c>
      <c r="B178" s="2" t="str">
        <f t="shared" si="2"/>
        <v>dom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DATE(Configurações!$B$3,3,8)</f>
        <v>46089</v>
      </c>
      <c r="B179" s="2" t="str">
        <f t="shared" si="2"/>
        <v>dom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DATE(Configurações!$B$3,3,8)</f>
        <v>46089</v>
      </c>
      <c r="B180" s="2" t="str">
        <f t="shared" si="2"/>
        <v>dom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DATE(Configurações!$B$3,3,8)</f>
        <v>46089</v>
      </c>
      <c r="B181" s="2" t="str">
        <f t="shared" si="2"/>
        <v>dom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DATE(Configurações!$B$3,3,8)</f>
        <v>46089</v>
      </c>
      <c r="B182" s="2" t="str">
        <f t="shared" si="2"/>
        <v>dom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DATE(Configurações!$B$3,3,8)</f>
        <v>46089</v>
      </c>
      <c r="B183" s="2" t="str">
        <f t="shared" si="2"/>
        <v>dom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DATE(Configurações!$B$3,3,8)</f>
        <v>46089</v>
      </c>
      <c r="B184" s="2" t="str">
        <f t="shared" si="2"/>
        <v>dom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DATE(Configurações!$B$3,3,8)</f>
        <v>46089</v>
      </c>
      <c r="B185" s="2" t="str">
        <f t="shared" si="2"/>
        <v>dom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DATE(Configurações!$B$3,3,8)</f>
        <v>46089</v>
      </c>
      <c r="B186" s="2" t="str">
        <f t="shared" si="2"/>
        <v>dom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DATE(Configurações!$B$3,3,8)</f>
        <v>46089</v>
      </c>
      <c r="B187" s="2" t="str">
        <f t="shared" si="2"/>
        <v>dom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DATE(Configurações!$B$3,3,8)</f>
        <v>46089</v>
      </c>
      <c r="B188" s="2" t="str">
        <f t="shared" si="2"/>
        <v>dom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DATE(Configurações!$B$3,3,8)</f>
        <v>46089</v>
      </c>
      <c r="B189" s="2" t="str">
        <f t="shared" si="2"/>
        <v>dom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DATE(Configurações!$B$3,3,9)</f>
        <v>46090</v>
      </c>
      <c r="B190" s="2" t="str">
        <f t="shared" si="2"/>
        <v>seg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DATE(Configurações!$B$3,3,9)</f>
        <v>46090</v>
      </c>
      <c r="B191" s="2" t="str">
        <f t="shared" si="2"/>
        <v>seg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DATE(Configurações!$B$3,3,9)</f>
        <v>46090</v>
      </c>
      <c r="B192" s="2" t="str">
        <f t="shared" si="2"/>
        <v>seg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DATE(Configurações!$B$3,3,9)</f>
        <v>46090</v>
      </c>
      <c r="B193" s="2" t="str">
        <f t="shared" si="2"/>
        <v>seg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DATE(Configurações!$B$3,3,9)</f>
        <v>46090</v>
      </c>
      <c r="B194" s="2" t="str">
        <f t="shared" si="2"/>
        <v>seg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DATE(Configurações!$B$3,3,9)</f>
        <v>46090</v>
      </c>
      <c r="B195" s="2" t="str">
        <f t="shared" si="2"/>
        <v>seg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DATE(Configurações!$B$3,3,9)</f>
        <v>46090</v>
      </c>
      <c r="B196" s="2" t="str">
        <f t="shared" si="2"/>
        <v>seg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DATE(Configurações!$B$3,3,9)</f>
        <v>46090</v>
      </c>
      <c r="B197" s="2" t="str">
        <f t="shared" si="2"/>
        <v>seg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DATE(Configurações!$B$3,3,9)</f>
        <v>46090</v>
      </c>
      <c r="B198" s="2" t="str">
        <f t="shared" ref="B198:B261" si="3">TEXT(A198,"ddd")</f>
        <v>seg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DATE(Configurações!$B$3,3,9)</f>
        <v>46090</v>
      </c>
      <c r="B199" s="2" t="str">
        <f t="shared" si="3"/>
        <v>seg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DATE(Configurações!$B$3,3,9)</f>
        <v>46090</v>
      </c>
      <c r="B200" s="2" t="str">
        <f t="shared" si="3"/>
        <v>seg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DATE(Configurações!$B$3,3,9)</f>
        <v>46090</v>
      </c>
      <c r="B201" s="2" t="str">
        <f t="shared" si="3"/>
        <v>seg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DATE(Configurações!$B$3,3,9)</f>
        <v>46090</v>
      </c>
      <c r="B202" s="2" t="str">
        <f t="shared" si="3"/>
        <v>seg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DATE(Configurações!$B$3,3,9)</f>
        <v>46090</v>
      </c>
      <c r="B203" s="2" t="str">
        <f t="shared" si="3"/>
        <v>seg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DATE(Configurações!$B$3,3,9)</f>
        <v>46090</v>
      </c>
      <c r="B204" s="2" t="str">
        <f t="shared" si="3"/>
        <v>seg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DATE(Configurações!$B$3,3,9)</f>
        <v>46090</v>
      </c>
      <c r="B205" s="2" t="str">
        <f t="shared" si="3"/>
        <v>seg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DATE(Configurações!$B$3,3,9)</f>
        <v>46090</v>
      </c>
      <c r="B206" s="2" t="str">
        <f t="shared" si="3"/>
        <v>seg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DATE(Configurações!$B$3,3,9)</f>
        <v>46090</v>
      </c>
      <c r="B207" s="2" t="str">
        <f t="shared" si="3"/>
        <v>seg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DATE(Configurações!$B$3,3,9)</f>
        <v>46090</v>
      </c>
      <c r="B208" s="2" t="str">
        <f t="shared" si="3"/>
        <v>seg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DATE(Configurações!$B$3,3,9)</f>
        <v>46090</v>
      </c>
      <c r="B209" s="2" t="str">
        <f t="shared" si="3"/>
        <v>seg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DATE(Configurações!$B$3,3,9)</f>
        <v>46090</v>
      </c>
      <c r="B210" s="2" t="str">
        <f t="shared" si="3"/>
        <v>seg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DATE(Configurações!$B$3,3,9)</f>
        <v>46090</v>
      </c>
      <c r="B211" s="2" t="str">
        <f t="shared" si="3"/>
        <v>seg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DATE(Configurações!$B$3,3,9)</f>
        <v>46090</v>
      </c>
      <c r="B212" s="2" t="str">
        <f t="shared" si="3"/>
        <v>seg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DATE(Configurações!$B$3,3,10)</f>
        <v>46091</v>
      </c>
      <c r="B213" s="2" t="str">
        <f t="shared" si="3"/>
        <v>ter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DATE(Configurações!$B$3,3,10)</f>
        <v>46091</v>
      </c>
      <c r="B214" s="2" t="str">
        <f t="shared" si="3"/>
        <v>ter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DATE(Configurações!$B$3,3,10)</f>
        <v>46091</v>
      </c>
      <c r="B215" s="2" t="str">
        <f t="shared" si="3"/>
        <v>ter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DATE(Configurações!$B$3,3,10)</f>
        <v>46091</v>
      </c>
      <c r="B216" s="2" t="str">
        <f t="shared" si="3"/>
        <v>ter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DATE(Configurações!$B$3,3,10)</f>
        <v>46091</v>
      </c>
      <c r="B217" s="2" t="str">
        <f t="shared" si="3"/>
        <v>ter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DATE(Configurações!$B$3,3,10)</f>
        <v>46091</v>
      </c>
      <c r="B218" s="2" t="str">
        <f t="shared" si="3"/>
        <v>ter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DATE(Configurações!$B$3,3,10)</f>
        <v>46091</v>
      </c>
      <c r="B219" s="2" t="str">
        <f t="shared" si="3"/>
        <v>ter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DATE(Configurações!$B$3,3,10)</f>
        <v>46091</v>
      </c>
      <c r="B220" s="2" t="str">
        <f t="shared" si="3"/>
        <v>ter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DATE(Configurações!$B$3,3,10)</f>
        <v>46091</v>
      </c>
      <c r="B221" s="2" t="str">
        <f t="shared" si="3"/>
        <v>ter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DATE(Configurações!$B$3,3,10)</f>
        <v>46091</v>
      </c>
      <c r="B222" s="2" t="str">
        <f t="shared" si="3"/>
        <v>ter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DATE(Configurações!$B$3,3,10)</f>
        <v>46091</v>
      </c>
      <c r="B223" s="2" t="str">
        <f t="shared" si="3"/>
        <v>ter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DATE(Configurações!$B$3,3,10)</f>
        <v>46091</v>
      </c>
      <c r="B224" s="2" t="str">
        <f t="shared" si="3"/>
        <v>ter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DATE(Configurações!$B$3,3,10)</f>
        <v>46091</v>
      </c>
      <c r="B225" s="2" t="str">
        <f t="shared" si="3"/>
        <v>ter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DATE(Configurações!$B$3,3,10)</f>
        <v>46091</v>
      </c>
      <c r="B226" s="2" t="str">
        <f t="shared" si="3"/>
        <v>ter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DATE(Configurações!$B$3,3,10)</f>
        <v>46091</v>
      </c>
      <c r="B227" s="2" t="str">
        <f t="shared" si="3"/>
        <v>ter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DATE(Configurações!$B$3,3,10)</f>
        <v>46091</v>
      </c>
      <c r="B228" s="2" t="str">
        <f t="shared" si="3"/>
        <v>ter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DATE(Configurações!$B$3,3,10)</f>
        <v>46091</v>
      </c>
      <c r="B229" s="2" t="str">
        <f t="shared" si="3"/>
        <v>ter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DATE(Configurações!$B$3,3,10)</f>
        <v>46091</v>
      </c>
      <c r="B230" s="2" t="str">
        <f t="shared" si="3"/>
        <v>ter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DATE(Configurações!$B$3,3,10)</f>
        <v>46091</v>
      </c>
      <c r="B231" s="2" t="str">
        <f t="shared" si="3"/>
        <v>ter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DATE(Configurações!$B$3,3,10)</f>
        <v>46091</v>
      </c>
      <c r="B232" s="2" t="str">
        <f t="shared" si="3"/>
        <v>ter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DATE(Configurações!$B$3,3,10)</f>
        <v>46091</v>
      </c>
      <c r="B233" s="2" t="str">
        <f t="shared" si="3"/>
        <v>ter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DATE(Configurações!$B$3,3,10)</f>
        <v>46091</v>
      </c>
      <c r="B234" s="2" t="str">
        <f t="shared" si="3"/>
        <v>ter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DATE(Configurações!$B$3,3,10)</f>
        <v>46091</v>
      </c>
      <c r="B235" s="2" t="str">
        <f t="shared" si="3"/>
        <v>ter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DATE(Configurações!$B$3,3,11)</f>
        <v>46092</v>
      </c>
      <c r="B236" s="2" t="str">
        <f t="shared" si="3"/>
        <v>qua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DATE(Configurações!$B$3,3,11)</f>
        <v>46092</v>
      </c>
      <c r="B237" s="2" t="str">
        <f t="shared" si="3"/>
        <v>qua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DATE(Configurações!$B$3,3,11)</f>
        <v>46092</v>
      </c>
      <c r="B238" s="2" t="str">
        <f t="shared" si="3"/>
        <v>qua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DATE(Configurações!$B$3,3,11)</f>
        <v>46092</v>
      </c>
      <c r="B239" s="2" t="str">
        <f t="shared" si="3"/>
        <v>qua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DATE(Configurações!$B$3,3,11)</f>
        <v>46092</v>
      </c>
      <c r="B240" s="2" t="str">
        <f t="shared" si="3"/>
        <v>qua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DATE(Configurações!$B$3,3,11)</f>
        <v>46092</v>
      </c>
      <c r="B241" s="2" t="str">
        <f t="shared" si="3"/>
        <v>qua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DATE(Configurações!$B$3,3,11)</f>
        <v>46092</v>
      </c>
      <c r="B242" s="2" t="str">
        <f t="shared" si="3"/>
        <v>qua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DATE(Configurações!$B$3,3,11)</f>
        <v>46092</v>
      </c>
      <c r="B243" s="2" t="str">
        <f t="shared" si="3"/>
        <v>qua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DATE(Configurações!$B$3,3,11)</f>
        <v>46092</v>
      </c>
      <c r="B244" s="2" t="str">
        <f t="shared" si="3"/>
        <v>qua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DATE(Configurações!$B$3,3,11)</f>
        <v>46092</v>
      </c>
      <c r="B245" s="2" t="str">
        <f t="shared" si="3"/>
        <v>qua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DATE(Configurações!$B$3,3,11)</f>
        <v>46092</v>
      </c>
      <c r="B246" s="2" t="str">
        <f t="shared" si="3"/>
        <v>qua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DATE(Configurações!$B$3,3,11)</f>
        <v>46092</v>
      </c>
      <c r="B247" s="2" t="str">
        <f t="shared" si="3"/>
        <v>qua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DATE(Configurações!$B$3,3,11)</f>
        <v>46092</v>
      </c>
      <c r="B248" s="2" t="str">
        <f t="shared" si="3"/>
        <v>qua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DATE(Configurações!$B$3,3,11)</f>
        <v>46092</v>
      </c>
      <c r="B249" s="2" t="str">
        <f t="shared" si="3"/>
        <v>qua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DATE(Configurações!$B$3,3,11)</f>
        <v>46092</v>
      </c>
      <c r="B250" s="2" t="str">
        <f t="shared" si="3"/>
        <v>qua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DATE(Configurações!$B$3,3,11)</f>
        <v>46092</v>
      </c>
      <c r="B251" s="2" t="str">
        <f t="shared" si="3"/>
        <v>qua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DATE(Configurações!$B$3,3,11)</f>
        <v>46092</v>
      </c>
      <c r="B252" s="2" t="str">
        <f t="shared" si="3"/>
        <v>qua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DATE(Configurações!$B$3,3,11)</f>
        <v>46092</v>
      </c>
      <c r="B253" s="2" t="str">
        <f t="shared" si="3"/>
        <v>qua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DATE(Configurações!$B$3,3,11)</f>
        <v>46092</v>
      </c>
      <c r="B254" s="2" t="str">
        <f t="shared" si="3"/>
        <v>qua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DATE(Configurações!$B$3,3,11)</f>
        <v>46092</v>
      </c>
      <c r="B255" s="2" t="str">
        <f t="shared" si="3"/>
        <v>qua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DATE(Configurações!$B$3,3,11)</f>
        <v>46092</v>
      </c>
      <c r="B256" s="2" t="str">
        <f t="shared" si="3"/>
        <v>qua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DATE(Configurações!$B$3,3,11)</f>
        <v>46092</v>
      </c>
      <c r="B257" s="2" t="str">
        <f t="shared" si="3"/>
        <v>qua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DATE(Configurações!$B$3,3,11)</f>
        <v>46092</v>
      </c>
      <c r="B258" s="2" t="str">
        <f t="shared" si="3"/>
        <v>qua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DATE(Configurações!$B$3,3,12)</f>
        <v>46093</v>
      </c>
      <c r="B259" s="2" t="str">
        <f t="shared" si="3"/>
        <v>qui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DATE(Configurações!$B$3,3,12)</f>
        <v>46093</v>
      </c>
      <c r="B260" s="2" t="str">
        <f t="shared" si="3"/>
        <v>qui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DATE(Configurações!$B$3,3,12)</f>
        <v>46093</v>
      </c>
      <c r="B261" s="2" t="str">
        <f t="shared" si="3"/>
        <v>qui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DATE(Configurações!$B$3,3,12)</f>
        <v>46093</v>
      </c>
      <c r="B262" s="2" t="str">
        <f t="shared" ref="B262:B325" si="4">TEXT(A262,"ddd")</f>
        <v>qui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DATE(Configurações!$B$3,3,12)</f>
        <v>46093</v>
      </c>
      <c r="B263" s="2" t="str">
        <f t="shared" si="4"/>
        <v>qui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DATE(Configurações!$B$3,3,12)</f>
        <v>46093</v>
      </c>
      <c r="B264" s="2" t="str">
        <f t="shared" si="4"/>
        <v>qui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DATE(Configurações!$B$3,3,12)</f>
        <v>46093</v>
      </c>
      <c r="B265" s="2" t="str">
        <f t="shared" si="4"/>
        <v>qui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DATE(Configurações!$B$3,3,12)</f>
        <v>46093</v>
      </c>
      <c r="B266" s="2" t="str">
        <f t="shared" si="4"/>
        <v>qui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DATE(Configurações!$B$3,3,12)</f>
        <v>46093</v>
      </c>
      <c r="B267" s="2" t="str">
        <f t="shared" si="4"/>
        <v>qui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DATE(Configurações!$B$3,3,12)</f>
        <v>46093</v>
      </c>
      <c r="B268" s="2" t="str">
        <f t="shared" si="4"/>
        <v>qui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DATE(Configurações!$B$3,3,12)</f>
        <v>46093</v>
      </c>
      <c r="B269" s="2" t="str">
        <f t="shared" si="4"/>
        <v>qui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DATE(Configurações!$B$3,3,12)</f>
        <v>46093</v>
      </c>
      <c r="B270" s="2" t="str">
        <f t="shared" si="4"/>
        <v>qui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DATE(Configurações!$B$3,3,12)</f>
        <v>46093</v>
      </c>
      <c r="B271" s="2" t="str">
        <f t="shared" si="4"/>
        <v>qui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DATE(Configurações!$B$3,3,12)</f>
        <v>46093</v>
      </c>
      <c r="B272" s="2" t="str">
        <f t="shared" si="4"/>
        <v>qui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DATE(Configurações!$B$3,3,12)</f>
        <v>46093</v>
      </c>
      <c r="B273" s="2" t="str">
        <f t="shared" si="4"/>
        <v>qui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DATE(Configurações!$B$3,3,12)</f>
        <v>46093</v>
      </c>
      <c r="B274" s="2" t="str">
        <f t="shared" si="4"/>
        <v>qui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DATE(Configurações!$B$3,3,12)</f>
        <v>46093</v>
      </c>
      <c r="B275" s="2" t="str">
        <f t="shared" si="4"/>
        <v>qui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DATE(Configurações!$B$3,3,12)</f>
        <v>46093</v>
      </c>
      <c r="B276" s="2" t="str">
        <f t="shared" si="4"/>
        <v>qui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DATE(Configurações!$B$3,3,12)</f>
        <v>46093</v>
      </c>
      <c r="B277" s="2" t="str">
        <f t="shared" si="4"/>
        <v>qui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DATE(Configurações!$B$3,3,12)</f>
        <v>46093</v>
      </c>
      <c r="B278" s="2" t="str">
        <f t="shared" si="4"/>
        <v>qui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DATE(Configurações!$B$3,3,12)</f>
        <v>46093</v>
      </c>
      <c r="B279" s="2" t="str">
        <f t="shared" si="4"/>
        <v>qui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DATE(Configurações!$B$3,3,12)</f>
        <v>46093</v>
      </c>
      <c r="B280" s="2" t="str">
        <f t="shared" si="4"/>
        <v>qui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DATE(Configurações!$B$3,3,12)</f>
        <v>46093</v>
      </c>
      <c r="B281" s="2" t="str">
        <f t="shared" si="4"/>
        <v>qui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DATE(Configurações!$B$3,3,13)</f>
        <v>46094</v>
      </c>
      <c r="B282" s="2" t="str">
        <f t="shared" si="4"/>
        <v>sex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DATE(Configurações!$B$3,3,13)</f>
        <v>46094</v>
      </c>
      <c r="B283" s="2" t="str">
        <f t="shared" si="4"/>
        <v>sex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DATE(Configurações!$B$3,3,13)</f>
        <v>46094</v>
      </c>
      <c r="B284" s="2" t="str">
        <f t="shared" si="4"/>
        <v>sex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DATE(Configurações!$B$3,3,13)</f>
        <v>46094</v>
      </c>
      <c r="B285" s="2" t="str">
        <f t="shared" si="4"/>
        <v>sex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DATE(Configurações!$B$3,3,13)</f>
        <v>46094</v>
      </c>
      <c r="B286" s="2" t="str">
        <f t="shared" si="4"/>
        <v>sex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DATE(Configurações!$B$3,3,13)</f>
        <v>46094</v>
      </c>
      <c r="B287" s="2" t="str">
        <f t="shared" si="4"/>
        <v>sex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DATE(Configurações!$B$3,3,13)</f>
        <v>46094</v>
      </c>
      <c r="B288" s="2" t="str">
        <f t="shared" si="4"/>
        <v>sex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DATE(Configurações!$B$3,3,13)</f>
        <v>46094</v>
      </c>
      <c r="B289" s="2" t="str">
        <f t="shared" si="4"/>
        <v>sex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DATE(Configurações!$B$3,3,13)</f>
        <v>46094</v>
      </c>
      <c r="B290" s="2" t="str">
        <f t="shared" si="4"/>
        <v>sex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DATE(Configurações!$B$3,3,13)</f>
        <v>46094</v>
      </c>
      <c r="B291" s="2" t="str">
        <f t="shared" si="4"/>
        <v>sex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DATE(Configurações!$B$3,3,13)</f>
        <v>46094</v>
      </c>
      <c r="B292" s="2" t="str">
        <f t="shared" si="4"/>
        <v>sex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DATE(Configurações!$B$3,3,13)</f>
        <v>46094</v>
      </c>
      <c r="B293" s="2" t="str">
        <f t="shared" si="4"/>
        <v>sex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DATE(Configurações!$B$3,3,13)</f>
        <v>46094</v>
      </c>
      <c r="B294" s="2" t="str">
        <f t="shared" si="4"/>
        <v>sex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DATE(Configurações!$B$3,3,13)</f>
        <v>46094</v>
      </c>
      <c r="B295" s="2" t="str">
        <f t="shared" si="4"/>
        <v>sex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DATE(Configurações!$B$3,3,13)</f>
        <v>46094</v>
      </c>
      <c r="B296" s="2" t="str">
        <f t="shared" si="4"/>
        <v>sex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DATE(Configurações!$B$3,3,13)</f>
        <v>46094</v>
      </c>
      <c r="B297" s="2" t="str">
        <f t="shared" si="4"/>
        <v>sex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DATE(Configurações!$B$3,3,13)</f>
        <v>46094</v>
      </c>
      <c r="B298" s="2" t="str">
        <f t="shared" si="4"/>
        <v>sex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DATE(Configurações!$B$3,3,13)</f>
        <v>46094</v>
      </c>
      <c r="B299" s="2" t="str">
        <f t="shared" si="4"/>
        <v>sex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DATE(Configurações!$B$3,3,13)</f>
        <v>46094</v>
      </c>
      <c r="B300" s="2" t="str">
        <f t="shared" si="4"/>
        <v>sex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DATE(Configurações!$B$3,3,13)</f>
        <v>46094</v>
      </c>
      <c r="B301" s="2" t="str">
        <f t="shared" si="4"/>
        <v>sex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DATE(Configurações!$B$3,3,13)</f>
        <v>46094</v>
      </c>
      <c r="B302" s="2" t="str">
        <f t="shared" si="4"/>
        <v>sex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DATE(Configurações!$B$3,3,13)</f>
        <v>46094</v>
      </c>
      <c r="B303" s="2" t="str">
        <f t="shared" si="4"/>
        <v>sex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DATE(Configurações!$B$3,3,13)</f>
        <v>46094</v>
      </c>
      <c r="B304" s="2" t="str">
        <f t="shared" si="4"/>
        <v>sex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DATE(Configurações!$B$3,3,14)</f>
        <v>46095</v>
      </c>
      <c r="B305" s="2" t="str">
        <f t="shared" si="4"/>
        <v>sáb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DATE(Configurações!$B$3,3,14)</f>
        <v>46095</v>
      </c>
      <c r="B306" s="2" t="str">
        <f t="shared" si="4"/>
        <v>sáb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DATE(Configurações!$B$3,3,14)</f>
        <v>46095</v>
      </c>
      <c r="B307" s="2" t="str">
        <f t="shared" si="4"/>
        <v>sáb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DATE(Configurações!$B$3,3,14)</f>
        <v>46095</v>
      </c>
      <c r="B308" s="2" t="str">
        <f t="shared" si="4"/>
        <v>sáb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DATE(Configurações!$B$3,3,14)</f>
        <v>46095</v>
      </c>
      <c r="B309" s="2" t="str">
        <f t="shared" si="4"/>
        <v>sáb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DATE(Configurações!$B$3,3,14)</f>
        <v>46095</v>
      </c>
      <c r="B310" s="2" t="str">
        <f t="shared" si="4"/>
        <v>sáb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DATE(Configurações!$B$3,3,14)</f>
        <v>46095</v>
      </c>
      <c r="B311" s="2" t="str">
        <f t="shared" si="4"/>
        <v>sáb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DATE(Configurações!$B$3,3,14)</f>
        <v>46095</v>
      </c>
      <c r="B312" s="2" t="str">
        <f t="shared" si="4"/>
        <v>sáb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DATE(Configurações!$B$3,3,14)</f>
        <v>46095</v>
      </c>
      <c r="B313" s="2" t="str">
        <f t="shared" si="4"/>
        <v>sáb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DATE(Configurações!$B$3,3,14)</f>
        <v>46095</v>
      </c>
      <c r="B314" s="2" t="str">
        <f t="shared" si="4"/>
        <v>sáb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DATE(Configurações!$B$3,3,14)</f>
        <v>46095</v>
      </c>
      <c r="B315" s="2" t="str">
        <f t="shared" si="4"/>
        <v>sáb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DATE(Configurações!$B$3,3,14)</f>
        <v>46095</v>
      </c>
      <c r="B316" s="2" t="str">
        <f t="shared" si="4"/>
        <v>sáb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DATE(Configurações!$B$3,3,14)</f>
        <v>46095</v>
      </c>
      <c r="B317" s="2" t="str">
        <f t="shared" si="4"/>
        <v>sáb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DATE(Configurações!$B$3,3,14)</f>
        <v>46095</v>
      </c>
      <c r="B318" s="2" t="str">
        <f t="shared" si="4"/>
        <v>sáb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DATE(Configurações!$B$3,3,14)</f>
        <v>46095</v>
      </c>
      <c r="B319" s="2" t="str">
        <f t="shared" si="4"/>
        <v>sáb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DATE(Configurações!$B$3,3,14)</f>
        <v>46095</v>
      </c>
      <c r="B320" s="2" t="str">
        <f t="shared" si="4"/>
        <v>sáb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DATE(Configurações!$B$3,3,14)</f>
        <v>46095</v>
      </c>
      <c r="B321" s="2" t="str">
        <f t="shared" si="4"/>
        <v>sáb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DATE(Configurações!$B$3,3,14)</f>
        <v>46095</v>
      </c>
      <c r="B322" s="2" t="str">
        <f t="shared" si="4"/>
        <v>sáb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DATE(Configurações!$B$3,3,14)</f>
        <v>46095</v>
      </c>
      <c r="B323" s="2" t="str">
        <f t="shared" si="4"/>
        <v>sáb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DATE(Configurações!$B$3,3,14)</f>
        <v>46095</v>
      </c>
      <c r="B324" s="2" t="str">
        <f t="shared" si="4"/>
        <v>sáb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DATE(Configurações!$B$3,3,14)</f>
        <v>46095</v>
      </c>
      <c r="B325" s="2" t="str">
        <f t="shared" si="4"/>
        <v>sáb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DATE(Configurações!$B$3,3,14)</f>
        <v>46095</v>
      </c>
      <c r="B326" s="2" t="str">
        <f t="shared" ref="B326:B389" si="5">TEXT(A326,"ddd")</f>
        <v>sáb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DATE(Configurações!$B$3,3,14)</f>
        <v>46095</v>
      </c>
      <c r="B327" s="2" t="str">
        <f t="shared" si="5"/>
        <v>sáb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DATE(Configurações!$B$3,3,15)</f>
        <v>46096</v>
      </c>
      <c r="B328" s="2" t="str">
        <f t="shared" si="5"/>
        <v>dom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DATE(Configurações!$B$3,3,15)</f>
        <v>46096</v>
      </c>
      <c r="B329" s="2" t="str">
        <f t="shared" si="5"/>
        <v>dom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DATE(Configurações!$B$3,3,15)</f>
        <v>46096</v>
      </c>
      <c r="B330" s="2" t="str">
        <f t="shared" si="5"/>
        <v>dom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DATE(Configurações!$B$3,3,15)</f>
        <v>46096</v>
      </c>
      <c r="B331" s="2" t="str">
        <f t="shared" si="5"/>
        <v>dom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DATE(Configurações!$B$3,3,15)</f>
        <v>46096</v>
      </c>
      <c r="B332" s="2" t="str">
        <f t="shared" si="5"/>
        <v>dom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DATE(Configurações!$B$3,3,15)</f>
        <v>46096</v>
      </c>
      <c r="B333" s="2" t="str">
        <f t="shared" si="5"/>
        <v>dom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DATE(Configurações!$B$3,3,15)</f>
        <v>46096</v>
      </c>
      <c r="B334" s="2" t="str">
        <f t="shared" si="5"/>
        <v>dom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DATE(Configurações!$B$3,3,15)</f>
        <v>46096</v>
      </c>
      <c r="B335" s="2" t="str">
        <f t="shared" si="5"/>
        <v>dom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DATE(Configurações!$B$3,3,15)</f>
        <v>46096</v>
      </c>
      <c r="B336" s="2" t="str">
        <f t="shared" si="5"/>
        <v>dom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DATE(Configurações!$B$3,3,15)</f>
        <v>46096</v>
      </c>
      <c r="B337" s="2" t="str">
        <f t="shared" si="5"/>
        <v>dom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DATE(Configurações!$B$3,3,15)</f>
        <v>46096</v>
      </c>
      <c r="B338" s="2" t="str">
        <f t="shared" si="5"/>
        <v>dom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DATE(Configurações!$B$3,3,15)</f>
        <v>46096</v>
      </c>
      <c r="B339" s="2" t="str">
        <f t="shared" si="5"/>
        <v>dom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DATE(Configurações!$B$3,3,15)</f>
        <v>46096</v>
      </c>
      <c r="B340" s="2" t="str">
        <f t="shared" si="5"/>
        <v>dom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DATE(Configurações!$B$3,3,15)</f>
        <v>46096</v>
      </c>
      <c r="B341" s="2" t="str">
        <f t="shared" si="5"/>
        <v>dom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DATE(Configurações!$B$3,3,15)</f>
        <v>46096</v>
      </c>
      <c r="B342" s="2" t="str">
        <f t="shared" si="5"/>
        <v>dom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DATE(Configurações!$B$3,3,15)</f>
        <v>46096</v>
      </c>
      <c r="B343" s="2" t="str">
        <f t="shared" si="5"/>
        <v>dom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DATE(Configurações!$B$3,3,15)</f>
        <v>46096</v>
      </c>
      <c r="B344" s="2" t="str">
        <f t="shared" si="5"/>
        <v>dom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DATE(Configurações!$B$3,3,15)</f>
        <v>46096</v>
      </c>
      <c r="B345" s="2" t="str">
        <f t="shared" si="5"/>
        <v>dom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DATE(Configurações!$B$3,3,15)</f>
        <v>46096</v>
      </c>
      <c r="B346" s="2" t="str">
        <f t="shared" si="5"/>
        <v>dom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DATE(Configurações!$B$3,3,15)</f>
        <v>46096</v>
      </c>
      <c r="B347" s="2" t="str">
        <f t="shared" si="5"/>
        <v>dom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DATE(Configurações!$B$3,3,15)</f>
        <v>46096</v>
      </c>
      <c r="B348" s="2" t="str">
        <f t="shared" si="5"/>
        <v>dom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DATE(Configurações!$B$3,3,15)</f>
        <v>46096</v>
      </c>
      <c r="B349" s="2" t="str">
        <f t="shared" si="5"/>
        <v>dom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DATE(Configurações!$B$3,3,15)</f>
        <v>46096</v>
      </c>
      <c r="B350" s="2" t="str">
        <f t="shared" si="5"/>
        <v>dom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DATE(Configurações!$B$3,3,16)</f>
        <v>46097</v>
      </c>
      <c r="B351" s="2" t="str">
        <f t="shared" si="5"/>
        <v>seg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DATE(Configurações!$B$3,3,16)</f>
        <v>46097</v>
      </c>
      <c r="B352" s="2" t="str">
        <f t="shared" si="5"/>
        <v>seg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DATE(Configurações!$B$3,3,16)</f>
        <v>46097</v>
      </c>
      <c r="B353" s="2" t="str">
        <f t="shared" si="5"/>
        <v>seg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DATE(Configurações!$B$3,3,16)</f>
        <v>46097</v>
      </c>
      <c r="B354" s="2" t="str">
        <f t="shared" si="5"/>
        <v>seg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DATE(Configurações!$B$3,3,16)</f>
        <v>46097</v>
      </c>
      <c r="B355" s="2" t="str">
        <f t="shared" si="5"/>
        <v>seg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DATE(Configurações!$B$3,3,16)</f>
        <v>46097</v>
      </c>
      <c r="B356" s="2" t="str">
        <f t="shared" si="5"/>
        <v>seg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DATE(Configurações!$B$3,3,16)</f>
        <v>46097</v>
      </c>
      <c r="B357" s="2" t="str">
        <f t="shared" si="5"/>
        <v>seg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DATE(Configurações!$B$3,3,16)</f>
        <v>46097</v>
      </c>
      <c r="B358" s="2" t="str">
        <f t="shared" si="5"/>
        <v>seg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DATE(Configurações!$B$3,3,16)</f>
        <v>46097</v>
      </c>
      <c r="B359" s="2" t="str">
        <f t="shared" si="5"/>
        <v>seg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DATE(Configurações!$B$3,3,16)</f>
        <v>46097</v>
      </c>
      <c r="B360" s="2" t="str">
        <f t="shared" si="5"/>
        <v>seg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DATE(Configurações!$B$3,3,16)</f>
        <v>46097</v>
      </c>
      <c r="B361" s="2" t="str">
        <f t="shared" si="5"/>
        <v>seg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DATE(Configurações!$B$3,3,16)</f>
        <v>46097</v>
      </c>
      <c r="B362" s="2" t="str">
        <f t="shared" si="5"/>
        <v>seg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DATE(Configurações!$B$3,3,16)</f>
        <v>46097</v>
      </c>
      <c r="B363" s="2" t="str">
        <f t="shared" si="5"/>
        <v>seg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DATE(Configurações!$B$3,3,16)</f>
        <v>46097</v>
      </c>
      <c r="B364" s="2" t="str">
        <f t="shared" si="5"/>
        <v>seg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DATE(Configurações!$B$3,3,16)</f>
        <v>46097</v>
      </c>
      <c r="B365" s="2" t="str">
        <f t="shared" si="5"/>
        <v>seg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DATE(Configurações!$B$3,3,16)</f>
        <v>46097</v>
      </c>
      <c r="B366" s="2" t="str">
        <f t="shared" si="5"/>
        <v>seg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DATE(Configurações!$B$3,3,16)</f>
        <v>46097</v>
      </c>
      <c r="B367" s="2" t="str">
        <f t="shared" si="5"/>
        <v>seg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DATE(Configurações!$B$3,3,16)</f>
        <v>46097</v>
      </c>
      <c r="B368" s="2" t="str">
        <f t="shared" si="5"/>
        <v>seg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DATE(Configurações!$B$3,3,16)</f>
        <v>46097</v>
      </c>
      <c r="B369" s="2" t="str">
        <f t="shared" si="5"/>
        <v>seg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DATE(Configurações!$B$3,3,16)</f>
        <v>46097</v>
      </c>
      <c r="B370" s="2" t="str">
        <f t="shared" si="5"/>
        <v>seg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DATE(Configurações!$B$3,3,16)</f>
        <v>46097</v>
      </c>
      <c r="B371" s="2" t="str">
        <f t="shared" si="5"/>
        <v>seg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DATE(Configurações!$B$3,3,16)</f>
        <v>46097</v>
      </c>
      <c r="B372" s="2" t="str">
        <f t="shared" si="5"/>
        <v>seg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DATE(Configurações!$B$3,3,16)</f>
        <v>46097</v>
      </c>
      <c r="B373" s="2" t="str">
        <f t="shared" si="5"/>
        <v>seg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DATE(Configurações!$B$3,3,17)</f>
        <v>46098</v>
      </c>
      <c r="B374" s="2" t="str">
        <f t="shared" si="5"/>
        <v>ter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DATE(Configurações!$B$3,3,17)</f>
        <v>46098</v>
      </c>
      <c r="B375" s="2" t="str">
        <f t="shared" si="5"/>
        <v>ter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DATE(Configurações!$B$3,3,17)</f>
        <v>46098</v>
      </c>
      <c r="B376" s="2" t="str">
        <f t="shared" si="5"/>
        <v>ter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DATE(Configurações!$B$3,3,17)</f>
        <v>46098</v>
      </c>
      <c r="B377" s="2" t="str">
        <f t="shared" si="5"/>
        <v>ter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DATE(Configurações!$B$3,3,17)</f>
        <v>46098</v>
      </c>
      <c r="B378" s="2" t="str">
        <f t="shared" si="5"/>
        <v>ter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DATE(Configurações!$B$3,3,17)</f>
        <v>46098</v>
      </c>
      <c r="B379" s="2" t="str">
        <f t="shared" si="5"/>
        <v>ter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DATE(Configurações!$B$3,3,17)</f>
        <v>46098</v>
      </c>
      <c r="B380" s="2" t="str">
        <f t="shared" si="5"/>
        <v>ter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DATE(Configurações!$B$3,3,17)</f>
        <v>46098</v>
      </c>
      <c r="B381" s="2" t="str">
        <f t="shared" si="5"/>
        <v>ter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DATE(Configurações!$B$3,3,17)</f>
        <v>46098</v>
      </c>
      <c r="B382" s="2" t="str">
        <f t="shared" si="5"/>
        <v>ter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DATE(Configurações!$B$3,3,17)</f>
        <v>46098</v>
      </c>
      <c r="B383" s="2" t="str">
        <f t="shared" si="5"/>
        <v>ter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DATE(Configurações!$B$3,3,17)</f>
        <v>46098</v>
      </c>
      <c r="B384" s="2" t="str">
        <f t="shared" si="5"/>
        <v>ter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DATE(Configurações!$B$3,3,17)</f>
        <v>46098</v>
      </c>
      <c r="B385" s="2" t="str">
        <f t="shared" si="5"/>
        <v>ter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DATE(Configurações!$B$3,3,17)</f>
        <v>46098</v>
      </c>
      <c r="B386" s="2" t="str">
        <f t="shared" si="5"/>
        <v>ter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DATE(Configurações!$B$3,3,17)</f>
        <v>46098</v>
      </c>
      <c r="B387" s="2" t="str">
        <f t="shared" si="5"/>
        <v>ter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DATE(Configurações!$B$3,3,17)</f>
        <v>46098</v>
      </c>
      <c r="B388" s="2" t="str">
        <f t="shared" si="5"/>
        <v>ter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DATE(Configurações!$B$3,3,17)</f>
        <v>46098</v>
      </c>
      <c r="B389" s="2" t="str">
        <f t="shared" si="5"/>
        <v>ter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DATE(Configurações!$B$3,3,17)</f>
        <v>46098</v>
      </c>
      <c r="B390" s="2" t="str">
        <f t="shared" ref="B390:B453" si="6">TEXT(A390,"ddd")</f>
        <v>ter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DATE(Configurações!$B$3,3,17)</f>
        <v>46098</v>
      </c>
      <c r="B391" s="2" t="str">
        <f t="shared" si="6"/>
        <v>ter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DATE(Configurações!$B$3,3,17)</f>
        <v>46098</v>
      </c>
      <c r="B392" s="2" t="str">
        <f t="shared" si="6"/>
        <v>ter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DATE(Configurações!$B$3,3,17)</f>
        <v>46098</v>
      </c>
      <c r="B393" s="2" t="str">
        <f t="shared" si="6"/>
        <v>ter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DATE(Configurações!$B$3,3,17)</f>
        <v>46098</v>
      </c>
      <c r="B394" s="2" t="str">
        <f t="shared" si="6"/>
        <v>ter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DATE(Configurações!$B$3,3,17)</f>
        <v>46098</v>
      </c>
      <c r="B395" s="2" t="str">
        <f t="shared" si="6"/>
        <v>ter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DATE(Configurações!$B$3,3,17)</f>
        <v>46098</v>
      </c>
      <c r="B396" s="2" t="str">
        <f t="shared" si="6"/>
        <v>ter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DATE(Configurações!$B$3,3,18)</f>
        <v>46099</v>
      </c>
      <c r="B397" s="2" t="str">
        <f t="shared" si="6"/>
        <v>qua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DATE(Configurações!$B$3,3,18)</f>
        <v>46099</v>
      </c>
      <c r="B398" s="2" t="str">
        <f t="shared" si="6"/>
        <v>qua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DATE(Configurações!$B$3,3,18)</f>
        <v>46099</v>
      </c>
      <c r="B399" s="2" t="str">
        <f t="shared" si="6"/>
        <v>qua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DATE(Configurações!$B$3,3,18)</f>
        <v>46099</v>
      </c>
      <c r="B400" s="2" t="str">
        <f t="shared" si="6"/>
        <v>qua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DATE(Configurações!$B$3,3,18)</f>
        <v>46099</v>
      </c>
      <c r="B401" s="2" t="str">
        <f t="shared" si="6"/>
        <v>qua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DATE(Configurações!$B$3,3,18)</f>
        <v>46099</v>
      </c>
      <c r="B402" s="2" t="str">
        <f t="shared" si="6"/>
        <v>qua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DATE(Configurações!$B$3,3,18)</f>
        <v>46099</v>
      </c>
      <c r="B403" s="2" t="str">
        <f t="shared" si="6"/>
        <v>qua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DATE(Configurações!$B$3,3,18)</f>
        <v>46099</v>
      </c>
      <c r="B404" s="2" t="str">
        <f t="shared" si="6"/>
        <v>qua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DATE(Configurações!$B$3,3,18)</f>
        <v>46099</v>
      </c>
      <c r="B405" s="2" t="str">
        <f t="shared" si="6"/>
        <v>qua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DATE(Configurações!$B$3,3,18)</f>
        <v>46099</v>
      </c>
      <c r="B406" s="2" t="str">
        <f t="shared" si="6"/>
        <v>qua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DATE(Configurações!$B$3,3,18)</f>
        <v>46099</v>
      </c>
      <c r="B407" s="2" t="str">
        <f t="shared" si="6"/>
        <v>qua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DATE(Configurações!$B$3,3,18)</f>
        <v>46099</v>
      </c>
      <c r="B408" s="2" t="str">
        <f t="shared" si="6"/>
        <v>qua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DATE(Configurações!$B$3,3,18)</f>
        <v>46099</v>
      </c>
      <c r="B409" s="2" t="str">
        <f t="shared" si="6"/>
        <v>qua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DATE(Configurações!$B$3,3,18)</f>
        <v>46099</v>
      </c>
      <c r="B410" s="2" t="str">
        <f t="shared" si="6"/>
        <v>qua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DATE(Configurações!$B$3,3,18)</f>
        <v>46099</v>
      </c>
      <c r="B411" s="2" t="str">
        <f t="shared" si="6"/>
        <v>qua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DATE(Configurações!$B$3,3,18)</f>
        <v>46099</v>
      </c>
      <c r="B412" s="2" t="str">
        <f t="shared" si="6"/>
        <v>qua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DATE(Configurações!$B$3,3,18)</f>
        <v>46099</v>
      </c>
      <c r="B413" s="2" t="str">
        <f t="shared" si="6"/>
        <v>qua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DATE(Configurações!$B$3,3,18)</f>
        <v>46099</v>
      </c>
      <c r="B414" s="2" t="str">
        <f t="shared" si="6"/>
        <v>qua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DATE(Configurações!$B$3,3,18)</f>
        <v>46099</v>
      </c>
      <c r="B415" s="2" t="str">
        <f t="shared" si="6"/>
        <v>qua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DATE(Configurações!$B$3,3,18)</f>
        <v>46099</v>
      </c>
      <c r="B416" s="2" t="str">
        <f t="shared" si="6"/>
        <v>qua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DATE(Configurações!$B$3,3,18)</f>
        <v>46099</v>
      </c>
      <c r="B417" s="2" t="str">
        <f t="shared" si="6"/>
        <v>qua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DATE(Configurações!$B$3,3,18)</f>
        <v>46099</v>
      </c>
      <c r="B418" s="2" t="str">
        <f t="shared" si="6"/>
        <v>qua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DATE(Configurações!$B$3,3,18)</f>
        <v>46099</v>
      </c>
      <c r="B419" s="2" t="str">
        <f t="shared" si="6"/>
        <v>qua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DATE(Configurações!$B$3,3,19)</f>
        <v>46100</v>
      </c>
      <c r="B420" s="2" t="str">
        <f t="shared" si="6"/>
        <v>qui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DATE(Configurações!$B$3,3,19)</f>
        <v>46100</v>
      </c>
      <c r="B421" s="2" t="str">
        <f t="shared" si="6"/>
        <v>qui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DATE(Configurações!$B$3,3,19)</f>
        <v>46100</v>
      </c>
      <c r="B422" s="2" t="str">
        <f t="shared" si="6"/>
        <v>qui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DATE(Configurações!$B$3,3,19)</f>
        <v>46100</v>
      </c>
      <c r="B423" s="2" t="str">
        <f t="shared" si="6"/>
        <v>qui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DATE(Configurações!$B$3,3,19)</f>
        <v>46100</v>
      </c>
      <c r="B424" s="2" t="str">
        <f t="shared" si="6"/>
        <v>qui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DATE(Configurações!$B$3,3,19)</f>
        <v>46100</v>
      </c>
      <c r="B425" s="2" t="str">
        <f t="shared" si="6"/>
        <v>qui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DATE(Configurações!$B$3,3,19)</f>
        <v>46100</v>
      </c>
      <c r="B426" s="2" t="str">
        <f t="shared" si="6"/>
        <v>qui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DATE(Configurações!$B$3,3,19)</f>
        <v>46100</v>
      </c>
      <c r="B427" s="2" t="str">
        <f t="shared" si="6"/>
        <v>qui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DATE(Configurações!$B$3,3,19)</f>
        <v>46100</v>
      </c>
      <c r="B428" s="2" t="str">
        <f t="shared" si="6"/>
        <v>qui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DATE(Configurações!$B$3,3,19)</f>
        <v>46100</v>
      </c>
      <c r="B429" s="2" t="str">
        <f t="shared" si="6"/>
        <v>qui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DATE(Configurações!$B$3,3,19)</f>
        <v>46100</v>
      </c>
      <c r="B430" s="2" t="str">
        <f t="shared" si="6"/>
        <v>qui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DATE(Configurações!$B$3,3,19)</f>
        <v>46100</v>
      </c>
      <c r="B431" s="2" t="str">
        <f t="shared" si="6"/>
        <v>qui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DATE(Configurações!$B$3,3,19)</f>
        <v>46100</v>
      </c>
      <c r="B432" s="2" t="str">
        <f t="shared" si="6"/>
        <v>qui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DATE(Configurações!$B$3,3,19)</f>
        <v>46100</v>
      </c>
      <c r="B433" s="2" t="str">
        <f t="shared" si="6"/>
        <v>qui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DATE(Configurações!$B$3,3,19)</f>
        <v>46100</v>
      </c>
      <c r="B434" s="2" t="str">
        <f t="shared" si="6"/>
        <v>qui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DATE(Configurações!$B$3,3,19)</f>
        <v>46100</v>
      </c>
      <c r="B435" s="2" t="str">
        <f t="shared" si="6"/>
        <v>qui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DATE(Configurações!$B$3,3,19)</f>
        <v>46100</v>
      </c>
      <c r="B436" s="2" t="str">
        <f t="shared" si="6"/>
        <v>qui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DATE(Configurações!$B$3,3,19)</f>
        <v>46100</v>
      </c>
      <c r="B437" s="2" t="str">
        <f t="shared" si="6"/>
        <v>qui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DATE(Configurações!$B$3,3,19)</f>
        <v>46100</v>
      </c>
      <c r="B438" s="2" t="str">
        <f t="shared" si="6"/>
        <v>qui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DATE(Configurações!$B$3,3,19)</f>
        <v>46100</v>
      </c>
      <c r="B439" s="2" t="str">
        <f t="shared" si="6"/>
        <v>qui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DATE(Configurações!$B$3,3,19)</f>
        <v>46100</v>
      </c>
      <c r="B440" s="2" t="str">
        <f t="shared" si="6"/>
        <v>qui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DATE(Configurações!$B$3,3,19)</f>
        <v>46100</v>
      </c>
      <c r="B441" s="2" t="str">
        <f t="shared" si="6"/>
        <v>qui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DATE(Configurações!$B$3,3,19)</f>
        <v>46100</v>
      </c>
      <c r="B442" s="2" t="str">
        <f t="shared" si="6"/>
        <v>qui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DATE(Configurações!$B$3,3,20)</f>
        <v>46101</v>
      </c>
      <c r="B443" s="2" t="str">
        <f t="shared" si="6"/>
        <v>sex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DATE(Configurações!$B$3,3,20)</f>
        <v>46101</v>
      </c>
      <c r="B444" s="2" t="str">
        <f t="shared" si="6"/>
        <v>sex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DATE(Configurações!$B$3,3,20)</f>
        <v>46101</v>
      </c>
      <c r="B445" s="2" t="str">
        <f t="shared" si="6"/>
        <v>sex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DATE(Configurações!$B$3,3,20)</f>
        <v>46101</v>
      </c>
      <c r="B446" s="2" t="str">
        <f t="shared" si="6"/>
        <v>sex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DATE(Configurações!$B$3,3,20)</f>
        <v>46101</v>
      </c>
      <c r="B447" s="2" t="str">
        <f t="shared" si="6"/>
        <v>sex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DATE(Configurações!$B$3,3,20)</f>
        <v>46101</v>
      </c>
      <c r="B448" s="2" t="str">
        <f t="shared" si="6"/>
        <v>sex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DATE(Configurações!$B$3,3,20)</f>
        <v>46101</v>
      </c>
      <c r="B449" s="2" t="str">
        <f t="shared" si="6"/>
        <v>sex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DATE(Configurações!$B$3,3,20)</f>
        <v>46101</v>
      </c>
      <c r="B450" s="2" t="str">
        <f t="shared" si="6"/>
        <v>sex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DATE(Configurações!$B$3,3,20)</f>
        <v>46101</v>
      </c>
      <c r="B451" s="2" t="str">
        <f t="shared" si="6"/>
        <v>sex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DATE(Configurações!$B$3,3,20)</f>
        <v>46101</v>
      </c>
      <c r="B452" s="2" t="str">
        <f t="shared" si="6"/>
        <v>sex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DATE(Configurações!$B$3,3,20)</f>
        <v>46101</v>
      </c>
      <c r="B453" s="2" t="str">
        <f t="shared" si="6"/>
        <v>sex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DATE(Configurações!$B$3,3,20)</f>
        <v>46101</v>
      </c>
      <c r="B454" s="2" t="str">
        <f t="shared" ref="B454:B517" si="7">TEXT(A454,"ddd")</f>
        <v>sex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DATE(Configurações!$B$3,3,20)</f>
        <v>46101</v>
      </c>
      <c r="B455" s="2" t="str">
        <f t="shared" si="7"/>
        <v>sex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DATE(Configurações!$B$3,3,20)</f>
        <v>46101</v>
      </c>
      <c r="B456" s="2" t="str">
        <f t="shared" si="7"/>
        <v>sex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DATE(Configurações!$B$3,3,20)</f>
        <v>46101</v>
      </c>
      <c r="B457" s="2" t="str">
        <f t="shared" si="7"/>
        <v>sex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DATE(Configurações!$B$3,3,20)</f>
        <v>46101</v>
      </c>
      <c r="B458" s="2" t="str">
        <f t="shared" si="7"/>
        <v>sex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DATE(Configurações!$B$3,3,20)</f>
        <v>46101</v>
      </c>
      <c r="B459" s="2" t="str">
        <f t="shared" si="7"/>
        <v>sex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DATE(Configurações!$B$3,3,20)</f>
        <v>46101</v>
      </c>
      <c r="B460" s="2" t="str">
        <f t="shared" si="7"/>
        <v>sex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DATE(Configurações!$B$3,3,20)</f>
        <v>46101</v>
      </c>
      <c r="B461" s="2" t="str">
        <f t="shared" si="7"/>
        <v>sex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DATE(Configurações!$B$3,3,20)</f>
        <v>46101</v>
      </c>
      <c r="B462" s="2" t="str">
        <f t="shared" si="7"/>
        <v>sex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DATE(Configurações!$B$3,3,20)</f>
        <v>46101</v>
      </c>
      <c r="B463" s="2" t="str">
        <f t="shared" si="7"/>
        <v>sex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DATE(Configurações!$B$3,3,20)</f>
        <v>46101</v>
      </c>
      <c r="B464" s="2" t="str">
        <f t="shared" si="7"/>
        <v>sex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DATE(Configurações!$B$3,3,20)</f>
        <v>46101</v>
      </c>
      <c r="B465" s="2" t="str">
        <f t="shared" si="7"/>
        <v>sex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DATE(Configurações!$B$3,3,21)</f>
        <v>46102</v>
      </c>
      <c r="B466" s="2" t="str">
        <f t="shared" si="7"/>
        <v>sáb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DATE(Configurações!$B$3,3,21)</f>
        <v>46102</v>
      </c>
      <c r="B467" s="2" t="str">
        <f t="shared" si="7"/>
        <v>sáb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DATE(Configurações!$B$3,3,21)</f>
        <v>46102</v>
      </c>
      <c r="B468" s="2" t="str">
        <f t="shared" si="7"/>
        <v>sáb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DATE(Configurações!$B$3,3,21)</f>
        <v>46102</v>
      </c>
      <c r="B469" s="2" t="str">
        <f t="shared" si="7"/>
        <v>sáb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DATE(Configurações!$B$3,3,21)</f>
        <v>46102</v>
      </c>
      <c r="B470" s="2" t="str">
        <f t="shared" si="7"/>
        <v>sáb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DATE(Configurações!$B$3,3,21)</f>
        <v>46102</v>
      </c>
      <c r="B471" s="2" t="str">
        <f t="shared" si="7"/>
        <v>sáb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DATE(Configurações!$B$3,3,21)</f>
        <v>46102</v>
      </c>
      <c r="B472" s="2" t="str">
        <f t="shared" si="7"/>
        <v>sáb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DATE(Configurações!$B$3,3,21)</f>
        <v>46102</v>
      </c>
      <c r="B473" s="2" t="str">
        <f t="shared" si="7"/>
        <v>sáb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DATE(Configurações!$B$3,3,21)</f>
        <v>46102</v>
      </c>
      <c r="B474" s="2" t="str">
        <f t="shared" si="7"/>
        <v>sáb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DATE(Configurações!$B$3,3,21)</f>
        <v>46102</v>
      </c>
      <c r="B475" s="2" t="str">
        <f t="shared" si="7"/>
        <v>sáb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DATE(Configurações!$B$3,3,21)</f>
        <v>46102</v>
      </c>
      <c r="B476" s="2" t="str">
        <f t="shared" si="7"/>
        <v>sáb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DATE(Configurações!$B$3,3,21)</f>
        <v>46102</v>
      </c>
      <c r="B477" s="2" t="str">
        <f t="shared" si="7"/>
        <v>sáb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DATE(Configurações!$B$3,3,21)</f>
        <v>46102</v>
      </c>
      <c r="B478" s="2" t="str">
        <f t="shared" si="7"/>
        <v>sáb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DATE(Configurações!$B$3,3,21)</f>
        <v>46102</v>
      </c>
      <c r="B479" s="2" t="str">
        <f t="shared" si="7"/>
        <v>sáb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DATE(Configurações!$B$3,3,21)</f>
        <v>46102</v>
      </c>
      <c r="B480" s="2" t="str">
        <f t="shared" si="7"/>
        <v>sáb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DATE(Configurações!$B$3,3,21)</f>
        <v>46102</v>
      </c>
      <c r="B481" s="2" t="str">
        <f t="shared" si="7"/>
        <v>sáb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DATE(Configurações!$B$3,3,21)</f>
        <v>46102</v>
      </c>
      <c r="B482" s="2" t="str">
        <f t="shared" si="7"/>
        <v>sáb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DATE(Configurações!$B$3,3,21)</f>
        <v>46102</v>
      </c>
      <c r="B483" s="2" t="str">
        <f t="shared" si="7"/>
        <v>sáb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DATE(Configurações!$B$3,3,21)</f>
        <v>46102</v>
      </c>
      <c r="B484" s="2" t="str">
        <f t="shared" si="7"/>
        <v>sáb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DATE(Configurações!$B$3,3,21)</f>
        <v>46102</v>
      </c>
      <c r="B485" s="2" t="str">
        <f t="shared" si="7"/>
        <v>sáb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DATE(Configurações!$B$3,3,21)</f>
        <v>46102</v>
      </c>
      <c r="B486" s="2" t="str">
        <f t="shared" si="7"/>
        <v>sáb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DATE(Configurações!$B$3,3,21)</f>
        <v>46102</v>
      </c>
      <c r="B487" s="2" t="str">
        <f t="shared" si="7"/>
        <v>sáb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DATE(Configurações!$B$3,3,21)</f>
        <v>46102</v>
      </c>
      <c r="B488" s="2" t="str">
        <f t="shared" si="7"/>
        <v>sáb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DATE(Configurações!$B$3,3,22)</f>
        <v>46103</v>
      </c>
      <c r="B489" s="2" t="str">
        <f t="shared" si="7"/>
        <v>dom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DATE(Configurações!$B$3,3,22)</f>
        <v>46103</v>
      </c>
      <c r="B490" s="2" t="str">
        <f t="shared" si="7"/>
        <v>dom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DATE(Configurações!$B$3,3,22)</f>
        <v>46103</v>
      </c>
      <c r="B491" s="2" t="str">
        <f t="shared" si="7"/>
        <v>dom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DATE(Configurações!$B$3,3,22)</f>
        <v>46103</v>
      </c>
      <c r="B492" s="2" t="str">
        <f t="shared" si="7"/>
        <v>dom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DATE(Configurações!$B$3,3,22)</f>
        <v>46103</v>
      </c>
      <c r="B493" s="2" t="str">
        <f t="shared" si="7"/>
        <v>dom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DATE(Configurações!$B$3,3,22)</f>
        <v>46103</v>
      </c>
      <c r="B494" s="2" t="str">
        <f t="shared" si="7"/>
        <v>dom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DATE(Configurações!$B$3,3,22)</f>
        <v>46103</v>
      </c>
      <c r="B495" s="2" t="str">
        <f t="shared" si="7"/>
        <v>dom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DATE(Configurações!$B$3,3,22)</f>
        <v>46103</v>
      </c>
      <c r="B496" s="2" t="str">
        <f t="shared" si="7"/>
        <v>dom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DATE(Configurações!$B$3,3,22)</f>
        <v>46103</v>
      </c>
      <c r="B497" s="2" t="str">
        <f t="shared" si="7"/>
        <v>dom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DATE(Configurações!$B$3,3,22)</f>
        <v>46103</v>
      </c>
      <c r="B498" s="2" t="str">
        <f t="shared" si="7"/>
        <v>dom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DATE(Configurações!$B$3,3,22)</f>
        <v>46103</v>
      </c>
      <c r="B499" s="2" t="str">
        <f t="shared" si="7"/>
        <v>dom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DATE(Configurações!$B$3,3,22)</f>
        <v>46103</v>
      </c>
      <c r="B500" s="2" t="str">
        <f t="shared" si="7"/>
        <v>dom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DATE(Configurações!$B$3,3,22)</f>
        <v>46103</v>
      </c>
      <c r="B501" s="2" t="str">
        <f t="shared" si="7"/>
        <v>dom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DATE(Configurações!$B$3,3,22)</f>
        <v>46103</v>
      </c>
      <c r="B502" s="2" t="str">
        <f t="shared" si="7"/>
        <v>dom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DATE(Configurações!$B$3,3,22)</f>
        <v>46103</v>
      </c>
      <c r="B503" s="2" t="str">
        <f t="shared" si="7"/>
        <v>dom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DATE(Configurações!$B$3,3,22)</f>
        <v>46103</v>
      </c>
      <c r="B504" s="2" t="str">
        <f t="shared" si="7"/>
        <v>dom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DATE(Configurações!$B$3,3,22)</f>
        <v>46103</v>
      </c>
      <c r="B505" s="2" t="str">
        <f t="shared" si="7"/>
        <v>dom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DATE(Configurações!$B$3,3,22)</f>
        <v>46103</v>
      </c>
      <c r="B506" s="2" t="str">
        <f t="shared" si="7"/>
        <v>dom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DATE(Configurações!$B$3,3,22)</f>
        <v>46103</v>
      </c>
      <c r="B507" s="2" t="str">
        <f t="shared" si="7"/>
        <v>dom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DATE(Configurações!$B$3,3,22)</f>
        <v>46103</v>
      </c>
      <c r="B508" s="2" t="str">
        <f t="shared" si="7"/>
        <v>dom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DATE(Configurações!$B$3,3,22)</f>
        <v>46103</v>
      </c>
      <c r="B509" s="2" t="str">
        <f t="shared" si="7"/>
        <v>dom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DATE(Configurações!$B$3,3,22)</f>
        <v>46103</v>
      </c>
      <c r="B510" s="2" t="str">
        <f t="shared" si="7"/>
        <v>dom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DATE(Configurações!$B$3,3,22)</f>
        <v>46103</v>
      </c>
      <c r="B511" s="2" t="str">
        <f t="shared" si="7"/>
        <v>dom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DATE(Configurações!$B$3,3,23)</f>
        <v>46104</v>
      </c>
      <c r="B512" s="2" t="str">
        <f t="shared" si="7"/>
        <v>seg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DATE(Configurações!$B$3,3,23)</f>
        <v>46104</v>
      </c>
      <c r="B513" s="2" t="str">
        <f t="shared" si="7"/>
        <v>seg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DATE(Configurações!$B$3,3,23)</f>
        <v>46104</v>
      </c>
      <c r="B514" s="2" t="str">
        <f t="shared" si="7"/>
        <v>seg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DATE(Configurações!$B$3,3,23)</f>
        <v>46104</v>
      </c>
      <c r="B515" s="2" t="str">
        <f t="shared" si="7"/>
        <v>seg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DATE(Configurações!$B$3,3,23)</f>
        <v>46104</v>
      </c>
      <c r="B516" s="2" t="str">
        <f t="shared" si="7"/>
        <v>seg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DATE(Configurações!$B$3,3,23)</f>
        <v>46104</v>
      </c>
      <c r="B517" s="2" t="str">
        <f t="shared" si="7"/>
        <v>seg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DATE(Configurações!$B$3,3,23)</f>
        <v>46104</v>
      </c>
      <c r="B518" s="2" t="str">
        <f t="shared" ref="B518:B581" si="8">TEXT(A518,"ddd")</f>
        <v>seg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DATE(Configurações!$B$3,3,23)</f>
        <v>46104</v>
      </c>
      <c r="B519" s="2" t="str">
        <f t="shared" si="8"/>
        <v>seg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DATE(Configurações!$B$3,3,23)</f>
        <v>46104</v>
      </c>
      <c r="B520" s="2" t="str">
        <f t="shared" si="8"/>
        <v>seg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DATE(Configurações!$B$3,3,23)</f>
        <v>46104</v>
      </c>
      <c r="B521" s="2" t="str">
        <f t="shared" si="8"/>
        <v>seg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DATE(Configurações!$B$3,3,23)</f>
        <v>46104</v>
      </c>
      <c r="B522" s="2" t="str">
        <f t="shared" si="8"/>
        <v>seg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DATE(Configurações!$B$3,3,23)</f>
        <v>46104</v>
      </c>
      <c r="B523" s="2" t="str">
        <f t="shared" si="8"/>
        <v>seg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DATE(Configurações!$B$3,3,23)</f>
        <v>46104</v>
      </c>
      <c r="B524" s="2" t="str">
        <f t="shared" si="8"/>
        <v>seg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DATE(Configurações!$B$3,3,23)</f>
        <v>46104</v>
      </c>
      <c r="B525" s="2" t="str">
        <f t="shared" si="8"/>
        <v>seg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DATE(Configurações!$B$3,3,23)</f>
        <v>46104</v>
      </c>
      <c r="B526" s="2" t="str">
        <f t="shared" si="8"/>
        <v>seg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DATE(Configurações!$B$3,3,23)</f>
        <v>46104</v>
      </c>
      <c r="B527" s="2" t="str">
        <f t="shared" si="8"/>
        <v>seg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DATE(Configurações!$B$3,3,23)</f>
        <v>46104</v>
      </c>
      <c r="B528" s="2" t="str">
        <f t="shared" si="8"/>
        <v>seg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DATE(Configurações!$B$3,3,23)</f>
        <v>46104</v>
      </c>
      <c r="B529" s="2" t="str">
        <f t="shared" si="8"/>
        <v>seg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DATE(Configurações!$B$3,3,23)</f>
        <v>46104</v>
      </c>
      <c r="B530" s="2" t="str">
        <f t="shared" si="8"/>
        <v>seg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DATE(Configurações!$B$3,3,23)</f>
        <v>46104</v>
      </c>
      <c r="B531" s="2" t="str">
        <f t="shared" si="8"/>
        <v>seg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DATE(Configurações!$B$3,3,23)</f>
        <v>46104</v>
      </c>
      <c r="B532" s="2" t="str">
        <f t="shared" si="8"/>
        <v>seg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DATE(Configurações!$B$3,3,23)</f>
        <v>46104</v>
      </c>
      <c r="B533" s="2" t="str">
        <f t="shared" si="8"/>
        <v>seg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DATE(Configurações!$B$3,3,23)</f>
        <v>46104</v>
      </c>
      <c r="B534" s="2" t="str">
        <f t="shared" si="8"/>
        <v>seg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DATE(Configurações!$B$3,3,24)</f>
        <v>46105</v>
      </c>
      <c r="B535" s="2" t="str">
        <f t="shared" si="8"/>
        <v>ter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DATE(Configurações!$B$3,3,24)</f>
        <v>46105</v>
      </c>
      <c r="B536" s="2" t="str">
        <f t="shared" si="8"/>
        <v>ter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DATE(Configurações!$B$3,3,24)</f>
        <v>46105</v>
      </c>
      <c r="B537" s="2" t="str">
        <f t="shared" si="8"/>
        <v>ter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DATE(Configurações!$B$3,3,24)</f>
        <v>46105</v>
      </c>
      <c r="B538" s="2" t="str">
        <f t="shared" si="8"/>
        <v>ter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DATE(Configurações!$B$3,3,24)</f>
        <v>46105</v>
      </c>
      <c r="B539" s="2" t="str">
        <f t="shared" si="8"/>
        <v>ter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DATE(Configurações!$B$3,3,24)</f>
        <v>46105</v>
      </c>
      <c r="B540" s="2" t="str">
        <f t="shared" si="8"/>
        <v>ter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DATE(Configurações!$B$3,3,24)</f>
        <v>46105</v>
      </c>
      <c r="B541" s="2" t="str">
        <f t="shared" si="8"/>
        <v>ter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DATE(Configurações!$B$3,3,24)</f>
        <v>46105</v>
      </c>
      <c r="B542" s="2" t="str">
        <f t="shared" si="8"/>
        <v>ter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DATE(Configurações!$B$3,3,24)</f>
        <v>46105</v>
      </c>
      <c r="B543" s="2" t="str">
        <f t="shared" si="8"/>
        <v>ter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DATE(Configurações!$B$3,3,24)</f>
        <v>46105</v>
      </c>
      <c r="B544" s="2" t="str">
        <f t="shared" si="8"/>
        <v>ter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DATE(Configurações!$B$3,3,24)</f>
        <v>46105</v>
      </c>
      <c r="B545" s="2" t="str">
        <f t="shared" si="8"/>
        <v>ter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DATE(Configurações!$B$3,3,24)</f>
        <v>46105</v>
      </c>
      <c r="B546" s="2" t="str">
        <f t="shared" si="8"/>
        <v>ter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DATE(Configurações!$B$3,3,24)</f>
        <v>46105</v>
      </c>
      <c r="B547" s="2" t="str">
        <f t="shared" si="8"/>
        <v>ter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DATE(Configurações!$B$3,3,24)</f>
        <v>46105</v>
      </c>
      <c r="B548" s="2" t="str">
        <f t="shared" si="8"/>
        <v>ter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DATE(Configurações!$B$3,3,24)</f>
        <v>46105</v>
      </c>
      <c r="B549" s="2" t="str">
        <f t="shared" si="8"/>
        <v>ter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DATE(Configurações!$B$3,3,24)</f>
        <v>46105</v>
      </c>
      <c r="B550" s="2" t="str">
        <f t="shared" si="8"/>
        <v>ter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DATE(Configurações!$B$3,3,24)</f>
        <v>46105</v>
      </c>
      <c r="B551" s="2" t="str">
        <f t="shared" si="8"/>
        <v>ter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DATE(Configurações!$B$3,3,24)</f>
        <v>46105</v>
      </c>
      <c r="B552" s="2" t="str">
        <f t="shared" si="8"/>
        <v>ter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DATE(Configurações!$B$3,3,24)</f>
        <v>46105</v>
      </c>
      <c r="B553" s="2" t="str">
        <f t="shared" si="8"/>
        <v>ter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DATE(Configurações!$B$3,3,24)</f>
        <v>46105</v>
      </c>
      <c r="B554" s="2" t="str">
        <f t="shared" si="8"/>
        <v>ter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DATE(Configurações!$B$3,3,24)</f>
        <v>46105</v>
      </c>
      <c r="B555" s="2" t="str">
        <f t="shared" si="8"/>
        <v>ter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DATE(Configurações!$B$3,3,24)</f>
        <v>46105</v>
      </c>
      <c r="B556" s="2" t="str">
        <f t="shared" si="8"/>
        <v>ter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DATE(Configurações!$B$3,3,24)</f>
        <v>46105</v>
      </c>
      <c r="B557" s="2" t="str">
        <f t="shared" si="8"/>
        <v>ter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DATE(Configurações!$B$3,3,25)</f>
        <v>46106</v>
      </c>
      <c r="B558" s="2" t="str">
        <f t="shared" si="8"/>
        <v>qua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DATE(Configurações!$B$3,3,25)</f>
        <v>46106</v>
      </c>
      <c r="B559" s="2" t="str">
        <f t="shared" si="8"/>
        <v>qua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DATE(Configurações!$B$3,3,25)</f>
        <v>46106</v>
      </c>
      <c r="B560" s="2" t="str">
        <f t="shared" si="8"/>
        <v>qua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DATE(Configurações!$B$3,3,25)</f>
        <v>46106</v>
      </c>
      <c r="B561" s="2" t="str">
        <f t="shared" si="8"/>
        <v>qua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DATE(Configurações!$B$3,3,25)</f>
        <v>46106</v>
      </c>
      <c r="B562" s="2" t="str">
        <f t="shared" si="8"/>
        <v>qua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DATE(Configurações!$B$3,3,25)</f>
        <v>46106</v>
      </c>
      <c r="B563" s="2" t="str">
        <f t="shared" si="8"/>
        <v>qua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DATE(Configurações!$B$3,3,25)</f>
        <v>46106</v>
      </c>
      <c r="B564" s="2" t="str">
        <f t="shared" si="8"/>
        <v>qua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DATE(Configurações!$B$3,3,25)</f>
        <v>46106</v>
      </c>
      <c r="B565" s="2" t="str">
        <f t="shared" si="8"/>
        <v>qua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DATE(Configurações!$B$3,3,25)</f>
        <v>46106</v>
      </c>
      <c r="B566" s="2" t="str">
        <f t="shared" si="8"/>
        <v>qua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DATE(Configurações!$B$3,3,25)</f>
        <v>46106</v>
      </c>
      <c r="B567" s="2" t="str">
        <f t="shared" si="8"/>
        <v>qua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DATE(Configurações!$B$3,3,25)</f>
        <v>46106</v>
      </c>
      <c r="B568" s="2" t="str">
        <f t="shared" si="8"/>
        <v>qua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DATE(Configurações!$B$3,3,25)</f>
        <v>46106</v>
      </c>
      <c r="B569" s="2" t="str">
        <f t="shared" si="8"/>
        <v>qua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DATE(Configurações!$B$3,3,25)</f>
        <v>46106</v>
      </c>
      <c r="B570" s="2" t="str">
        <f t="shared" si="8"/>
        <v>qua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DATE(Configurações!$B$3,3,25)</f>
        <v>46106</v>
      </c>
      <c r="B571" s="2" t="str">
        <f t="shared" si="8"/>
        <v>qua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DATE(Configurações!$B$3,3,25)</f>
        <v>46106</v>
      </c>
      <c r="B572" s="2" t="str">
        <f t="shared" si="8"/>
        <v>qua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DATE(Configurações!$B$3,3,25)</f>
        <v>46106</v>
      </c>
      <c r="B573" s="2" t="str">
        <f t="shared" si="8"/>
        <v>qua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DATE(Configurações!$B$3,3,25)</f>
        <v>46106</v>
      </c>
      <c r="B574" s="2" t="str">
        <f t="shared" si="8"/>
        <v>qua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DATE(Configurações!$B$3,3,25)</f>
        <v>46106</v>
      </c>
      <c r="B575" s="2" t="str">
        <f t="shared" si="8"/>
        <v>qua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DATE(Configurações!$B$3,3,25)</f>
        <v>46106</v>
      </c>
      <c r="B576" s="2" t="str">
        <f t="shared" si="8"/>
        <v>qua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DATE(Configurações!$B$3,3,25)</f>
        <v>46106</v>
      </c>
      <c r="B577" s="2" t="str">
        <f t="shared" si="8"/>
        <v>qua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DATE(Configurações!$B$3,3,25)</f>
        <v>46106</v>
      </c>
      <c r="B578" s="2" t="str">
        <f t="shared" si="8"/>
        <v>qua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DATE(Configurações!$B$3,3,25)</f>
        <v>46106</v>
      </c>
      <c r="B579" s="2" t="str">
        <f t="shared" si="8"/>
        <v>qua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DATE(Configurações!$B$3,3,25)</f>
        <v>46106</v>
      </c>
      <c r="B580" s="2" t="str">
        <f t="shared" si="8"/>
        <v>qua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DATE(Configurações!$B$3,3,26)</f>
        <v>46107</v>
      </c>
      <c r="B581" s="2" t="str">
        <f t="shared" si="8"/>
        <v>qui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DATE(Configurações!$B$3,3,26)</f>
        <v>46107</v>
      </c>
      <c r="B582" s="2" t="str">
        <f t="shared" ref="B582:B645" si="9">TEXT(A582,"ddd")</f>
        <v>qui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DATE(Configurações!$B$3,3,26)</f>
        <v>46107</v>
      </c>
      <c r="B583" s="2" t="str">
        <f t="shared" si="9"/>
        <v>qui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DATE(Configurações!$B$3,3,26)</f>
        <v>46107</v>
      </c>
      <c r="B584" s="2" t="str">
        <f t="shared" si="9"/>
        <v>qui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DATE(Configurações!$B$3,3,26)</f>
        <v>46107</v>
      </c>
      <c r="B585" s="2" t="str">
        <f t="shared" si="9"/>
        <v>qui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DATE(Configurações!$B$3,3,26)</f>
        <v>46107</v>
      </c>
      <c r="B586" s="2" t="str">
        <f t="shared" si="9"/>
        <v>qui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DATE(Configurações!$B$3,3,26)</f>
        <v>46107</v>
      </c>
      <c r="B587" s="2" t="str">
        <f t="shared" si="9"/>
        <v>qui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DATE(Configurações!$B$3,3,26)</f>
        <v>46107</v>
      </c>
      <c r="B588" s="2" t="str">
        <f t="shared" si="9"/>
        <v>qui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DATE(Configurações!$B$3,3,26)</f>
        <v>46107</v>
      </c>
      <c r="B589" s="2" t="str">
        <f t="shared" si="9"/>
        <v>qui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DATE(Configurações!$B$3,3,26)</f>
        <v>46107</v>
      </c>
      <c r="B590" s="2" t="str">
        <f t="shared" si="9"/>
        <v>qui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DATE(Configurações!$B$3,3,26)</f>
        <v>46107</v>
      </c>
      <c r="B591" s="2" t="str">
        <f t="shared" si="9"/>
        <v>qui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DATE(Configurações!$B$3,3,26)</f>
        <v>46107</v>
      </c>
      <c r="B592" s="2" t="str">
        <f t="shared" si="9"/>
        <v>qui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DATE(Configurações!$B$3,3,26)</f>
        <v>46107</v>
      </c>
      <c r="B593" s="2" t="str">
        <f t="shared" si="9"/>
        <v>qui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DATE(Configurações!$B$3,3,26)</f>
        <v>46107</v>
      </c>
      <c r="B594" s="2" t="str">
        <f t="shared" si="9"/>
        <v>qui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DATE(Configurações!$B$3,3,26)</f>
        <v>46107</v>
      </c>
      <c r="B595" s="2" t="str">
        <f t="shared" si="9"/>
        <v>qui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DATE(Configurações!$B$3,3,26)</f>
        <v>46107</v>
      </c>
      <c r="B596" s="2" t="str">
        <f t="shared" si="9"/>
        <v>qui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DATE(Configurações!$B$3,3,26)</f>
        <v>46107</v>
      </c>
      <c r="B597" s="2" t="str">
        <f t="shared" si="9"/>
        <v>qui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DATE(Configurações!$B$3,3,26)</f>
        <v>46107</v>
      </c>
      <c r="B598" s="2" t="str">
        <f t="shared" si="9"/>
        <v>qui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DATE(Configurações!$B$3,3,26)</f>
        <v>46107</v>
      </c>
      <c r="B599" s="2" t="str">
        <f t="shared" si="9"/>
        <v>qui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DATE(Configurações!$B$3,3,26)</f>
        <v>46107</v>
      </c>
      <c r="B600" s="2" t="str">
        <f t="shared" si="9"/>
        <v>qui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DATE(Configurações!$B$3,3,26)</f>
        <v>46107</v>
      </c>
      <c r="B601" s="2" t="str">
        <f t="shared" si="9"/>
        <v>qui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DATE(Configurações!$B$3,3,26)</f>
        <v>46107</v>
      </c>
      <c r="B602" s="2" t="str">
        <f t="shared" si="9"/>
        <v>qui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DATE(Configurações!$B$3,3,26)</f>
        <v>46107</v>
      </c>
      <c r="B603" s="2" t="str">
        <f t="shared" si="9"/>
        <v>qui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DATE(Configurações!$B$3,3,27)</f>
        <v>46108</v>
      </c>
      <c r="B604" s="2" t="str">
        <f t="shared" si="9"/>
        <v>sex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DATE(Configurações!$B$3,3,27)</f>
        <v>46108</v>
      </c>
      <c r="B605" s="2" t="str">
        <f t="shared" si="9"/>
        <v>sex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DATE(Configurações!$B$3,3,27)</f>
        <v>46108</v>
      </c>
      <c r="B606" s="2" t="str">
        <f t="shared" si="9"/>
        <v>sex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DATE(Configurações!$B$3,3,27)</f>
        <v>46108</v>
      </c>
      <c r="B607" s="2" t="str">
        <f t="shared" si="9"/>
        <v>sex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DATE(Configurações!$B$3,3,27)</f>
        <v>46108</v>
      </c>
      <c r="B608" s="2" t="str">
        <f t="shared" si="9"/>
        <v>sex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DATE(Configurações!$B$3,3,27)</f>
        <v>46108</v>
      </c>
      <c r="B609" s="2" t="str">
        <f t="shared" si="9"/>
        <v>sex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DATE(Configurações!$B$3,3,27)</f>
        <v>46108</v>
      </c>
      <c r="B610" s="2" t="str">
        <f t="shared" si="9"/>
        <v>sex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DATE(Configurações!$B$3,3,27)</f>
        <v>46108</v>
      </c>
      <c r="B611" s="2" t="str">
        <f t="shared" si="9"/>
        <v>sex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DATE(Configurações!$B$3,3,27)</f>
        <v>46108</v>
      </c>
      <c r="B612" s="2" t="str">
        <f t="shared" si="9"/>
        <v>sex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DATE(Configurações!$B$3,3,27)</f>
        <v>46108</v>
      </c>
      <c r="B613" s="2" t="str">
        <f t="shared" si="9"/>
        <v>sex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DATE(Configurações!$B$3,3,27)</f>
        <v>46108</v>
      </c>
      <c r="B614" s="2" t="str">
        <f t="shared" si="9"/>
        <v>sex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DATE(Configurações!$B$3,3,27)</f>
        <v>46108</v>
      </c>
      <c r="B615" s="2" t="str">
        <f t="shared" si="9"/>
        <v>sex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DATE(Configurações!$B$3,3,27)</f>
        <v>46108</v>
      </c>
      <c r="B616" s="2" t="str">
        <f t="shared" si="9"/>
        <v>sex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DATE(Configurações!$B$3,3,27)</f>
        <v>46108</v>
      </c>
      <c r="B617" s="2" t="str">
        <f t="shared" si="9"/>
        <v>sex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DATE(Configurações!$B$3,3,27)</f>
        <v>46108</v>
      </c>
      <c r="B618" s="2" t="str">
        <f t="shared" si="9"/>
        <v>sex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DATE(Configurações!$B$3,3,27)</f>
        <v>46108</v>
      </c>
      <c r="B619" s="2" t="str">
        <f t="shared" si="9"/>
        <v>sex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DATE(Configurações!$B$3,3,27)</f>
        <v>46108</v>
      </c>
      <c r="B620" s="2" t="str">
        <f t="shared" si="9"/>
        <v>sex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DATE(Configurações!$B$3,3,27)</f>
        <v>46108</v>
      </c>
      <c r="B621" s="2" t="str">
        <f t="shared" si="9"/>
        <v>sex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DATE(Configurações!$B$3,3,27)</f>
        <v>46108</v>
      </c>
      <c r="B622" s="2" t="str">
        <f t="shared" si="9"/>
        <v>sex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DATE(Configurações!$B$3,3,27)</f>
        <v>46108</v>
      </c>
      <c r="B623" s="2" t="str">
        <f t="shared" si="9"/>
        <v>sex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DATE(Configurações!$B$3,3,27)</f>
        <v>46108</v>
      </c>
      <c r="B624" s="2" t="str">
        <f t="shared" si="9"/>
        <v>sex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DATE(Configurações!$B$3,3,27)</f>
        <v>46108</v>
      </c>
      <c r="B625" s="2" t="str">
        <f t="shared" si="9"/>
        <v>sex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DATE(Configurações!$B$3,3,27)</f>
        <v>46108</v>
      </c>
      <c r="B626" s="2" t="str">
        <f t="shared" si="9"/>
        <v>sex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DATE(Configurações!$B$3,3,28)</f>
        <v>46109</v>
      </c>
      <c r="B627" s="2" t="str">
        <f t="shared" si="9"/>
        <v>sáb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DATE(Configurações!$B$3,3,28)</f>
        <v>46109</v>
      </c>
      <c r="B628" s="2" t="str">
        <f t="shared" si="9"/>
        <v>sáb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DATE(Configurações!$B$3,3,28)</f>
        <v>46109</v>
      </c>
      <c r="B629" s="2" t="str">
        <f t="shared" si="9"/>
        <v>sáb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DATE(Configurações!$B$3,3,28)</f>
        <v>46109</v>
      </c>
      <c r="B630" s="2" t="str">
        <f t="shared" si="9"/>
        <v>sáb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DATE(Configurações!$B$3,3,28)</f>
        <v>46109</v>
      </c>
      <c r="B631" s="2" t="str">
        <f t="shared" si="9"/>
        <v>sáb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DATE(Configurações!$B$3,3,28)</f>
        <v>46109</v>
      </c>
      <c r="B632" s="2" t="str">
        <f t="shared" si="9"/>
        <v>sáb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DATE(Configurações!$B$3,3,28)</f>
        <v>46109</v>
      </c>
      <c r="B633" s="2" t="str">
        <f t="shared" si="9"/>
        <v>sáb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DATE(Configurações!$B$3,3,28)</f>
        <v>46109</v>
      </c>
      <c r="B634" s="2" t="str">
        <f t="shared" si="9"/>
        <v>sáb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DATE(Configurações!$B$3,3,28)</f>
        <v>46109</v>
      </c>
      <c r="B635" s="2" t="str">
        <f t="shared" si="9"/>
        <v>sáb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DATE(Configurações!$B$3,3,28)</f>
        <v>46109</v>
      </c>
      <c r="B636" s="2" t="str">
        <f t="shared" si="9"/>
        <v>sáb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DATE(Configurações!$B$3,3,28)</f>
        <v>46109</v>
      </c>
      <c r="B637" s="2" t="str">
        <f t="shared" si="9"/>
        <v>sáb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DATE(Configurações!$B$3,3,28)</f>
        <v>46109</v>
      </c>
      <c r="B638" s="2" t="str">
        <f t="shared" si="9"/>
        <v>sáb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DATE(Configurações!$B$3,3,28)</f>
        <v>46109</v>
      </c>
      <c r="B639" s="2" t="str">
        <f t="shared" si="9"/>
        <v>sáb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DATE(Configurações!$B$3,3,28)</f>
        <v>46109</v>
      </c>
      <c r="B640" s="2" t="str">
        <f t="shared" si="9"/>
        <v>sáb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DATE(Configurações!$B$3,3,28)</f>
        <v>46109</v>
      </c>
      <c r="B641" s="2" t="str">
        <f t="shared" si="9"/>
        <v>sáb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DATE(Configurações!$B$3,3,28)</f>
        <v>46109</v>
      </c>
      <c r="B642" s="2" t="str">
        <f t="shared" si="9"/>
        <v>sáb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DATE(Configurações!$B$3,3,28)</f>
        <v>46109</v>
      </c>
      <c r="B643" s="2" t="str">
        <f t="shared" si="9"/>
        <v>sáb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DATE(Configurações!$B$3,3,28)</f>
        <v>46109</v>
      </c>
      <c r="B644" s="2" t="str">
        <f t="shared" si="9"/>
        <v>sáb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DATE(Configurações!$B$3,3,28)</f>
        <v>46109</v>
      </c>
      <c r="B645" s="2" t="str">
        <f t="shared" si="9"/>
        <v>sáb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DATE(Configurações!$B$3,3,28)</f>
        <v>46109</v>
      </c>
      <c r="B646" s="2" t="str">
        <f t="shared" ref="B646:B709" si="10">TEXT(A646,"ddd")</f>
        <v>sáb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DATE(Configurações!$B$3,3,28)</f>
        <v>46109</v>
      </c>
      <c r="B647" s="2" t="str">
        <f t="shared" si="10"/>
        <v>sáb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DATE(Configurações!$B$3,3,28)</f>
        <v>46109</v>
      </c>
      <c r="B648" s="2" t="str">
        <f t="shared" si="10"/>
        <v>sáb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DATE(Configurações!$B$3,3,28)</f>
        <v>46109</v>
      </c>
      <c r="B649" s="2" t="str">
        <f t="shared" si="10"/>
        <v>sáb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DATE(Configurações!$B$3,3,29)</f>
        <v>46110</v>
      </c>
      <c r="B650" s="2" t="str">
        <f t="shared" si="10"/>
        <v>dom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DATE(Configurações!$B$3,3,29)</f>
        <v>46110</v>
      </c>
      <c r="B651" s="2" t="str">
        <f t="shared" si="10"/>
        <v>dom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DATE(Configurações!$B$3,3,29)</f>
        <v>46110</v>
      </c>
      <c r="B652" s="2" t="str">
        <f t="shared" si="10"/>
        <v>dom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DATE(Configurações!$B$3,3,29)</f>
        <v>46110</v>
      </c>
      <c r="B653" s="2" t="str">
        <f t="shared" si="10"/>
        <v>dom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DATE(Configurações!$B$3,3,29)</f>
        <v>46110</v>
      </c>
      <c r="B654" s="2" t="str">
        <f t="shared" si="10"/>
        <v>dom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DATE(Configurações!$B$3,3,29)</f>
        <v>46110</v>
      </c>
      <c r="B655" s="2" t="str">
        <f t="shared" si="10"/>
        <v>dom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DATE(Configurações!$B$3,3,29)</f>
        <v>46110</v>
      </c>
      <c r="B656" s="2" t="str">
        <f t="shared" si="10"/>
        <v>dom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DATE(Configurações!$B$3,3,29)</f>
        <v>46110</v>
      </c>
      <c r="B657" s="2" t="str">
        <f t="shared" si="10"/>
        <v>dom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DATE(Configurações!$B$3,3,29)</f>
        <v>46110</v>
      </c>
      <c r="B658" s="2" t="str">
        <f t="shared" si="10"/>
        <v>dom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DATE(Configurações!$B$3,3,29)</f>
        <v>46110</v>
      </c>
      <c r="B659" s="2" t="str">
        <f t="shared" si="10"/>
        <v>dom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DATE(Configurações!$B$3,3,29)</f>
        <v>46110</v>
      </c>
      <c r="B660" s="2" t="str">
        <f t="shared" si="10"/>
        <v>dom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DATE(Configurações!$B$3,3,29)</f>
        <v>46110</v>
      </c>
      <c r="B661" s="2" t="str">
        <f t="shared" si="10"/>
        <v>dom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DATE(Configurações!$B$3,3,29)</f>
        <v>46110</v>
      </c>
      <c r="B662" s="2" t="str">
        <f t="shared" si="10"/>
        <v>dom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DATE(Configurações!$B$3,3,29)</f>
        <v>46110</v>
      </c>
      <c r="B663" s="2" t="str">
        <f t="shared" si="10"/>
        <v>dom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DATE(Configurações!$B$3,3,29)</f>
        <v>46110</v>
      </c>
      <c r="B664" s="2" t="str">
        <f t="shared" si="10"/>
        <v>dom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DATE(Configurações!$B$3,3,29)</f>
        <v>46110</v>
      </c>
      <c r="B665" s="2" t="str">
        <f t="shared" si="10"/>
        <v>dom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DATE(Configurações!$B$3,3,29)</f>
        <v>46110</v>
      </c>
      <c r="B666" s="2" t="str">
        <f t="shared" si="10"/>
        <v>dom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DATE(Configurações!$B$3,3,29)</f>
        <v>46110</v>
      </c>
      <c r="B667" s="2" t="str">
        <f t="shared" si="10"/>
        <v>dom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DATE(Configurações!$B$3,3,29)</f>
        <v>46110</v>
      </c>
      <c r="B668" s="2" t="str">
        <f t="shared" si="10"/>
        <v>dom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DATE(Configurações!$B$3,3,29)</f>
        <v>46110</v>
      </c>
      <c r="B669" s="2" t="str">
        <f t="shared" si="10"/>
        <v>dom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DATE(Configurações!$B$3,3,29)</f>
        <v>46110</v>
      </c>
      <c r="B670" s="2" t="str">
        <f t="shared" si="10"/>
        <v>dom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DATE(Configurações!$B$3,3,29)</f>
        <v>46110</v>
      </c>
      <c r="B671" s="2" t="str">
        <f t="shared" si="10"/>
        <v>dom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DATE(Configurações!$B$3,3,29)</f>
        <v>46110</v>
      </c>
      <c r="B672" s="2" t="str">
        <f t="shared" si="10"/>
        <v>dom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DATE(Configurações!$B$3,3,30)</f>
        <v>46111</v>
      </c>
      <c r="B673" s="2" t="str">
        <f t="shared" si="10"/>
        <v>seg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DATE(Configurações!$B$3,3,30)</f>
        <v>46111</v>
      </c>
      <c r="B674" s="2" t="str">
        <f t="shared" si="10"/>
        <v>seg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DATE(Configurações!$B$3,3,30)</f>
        <v>46111</v>
      </c>
      <c r="B675" s="2" t="str">
        <f t="shared" si="10"/>
        <v>seg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DATE(Configurações!$B$3,3,30)</f>
        <v>46111</v>
      </c>
      <c r="B676" s="2" t="str">
        <f t="shared" si="10"/>
        <v>seg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DATE(Configurações!$B$3,3,30)</f>
        <v>46111</v>
      </c>
      <c r="B677" s="2" t="str">
        <f t="shared" si="10"/>
        <v>seg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DATE(Configurações!$B$3,3,30)</f>
        <v>46111</v>
      </c>
      <c r="B678" s="2" t="str">
        <f t="shared" si="10"/>
        <v>seg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DATE(Configurações!$B$3,3,30)</f>
        <v>46111</v>
      </c>
      <c r="B679" s="2" t="str">
        <f t="shared" si="10"/>
        <v>seg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DATE(Configurações!$B$3,3,30)</f>
        <v>46111</v>
      </c>
      <c r="B680" s="2" t="str">
        <f t="shared" si="10"/>
        <v>seg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DATE(Configurações!$B$3,3,30)</f>
        <v>46111</v>
      </c>
      <c r="B681" s="2" t="str">
        <f t="shared" si="10"/>
        <v>seg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DATE(Configurações!$B$3,3,30)</f>
        <v>46111</v>
      </c>
      <c r="B682" s="2" t="str">
        <f t="shared" si="10"/>
        <v>seg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DATE(Configurações!$B$3,3,30)</f>
        <v>46111</v>
      </c>
      <c r="B683" s="2" t="str">
        <f t="shared" si="10"/>
        <v>seg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DATE(Configurações!$B$3,3,30)</f>
        <v>46111</v>
      </c>
      <c r="B684" s="2" t="str">
        <f t="shared" si="10"/>
        <v>seg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DATE(Configurações!$B$3,3,30)</f>
        <v>46111</v>
      </c>
      <c r="B685" s="2" t="str">
        <f t="shared" si="10"/>
        <v>seg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DATE(Configurações!$B$3,3,30)</f>
        <v>46111</v>
      </c>
      <c r="B686" s="2" t="str">
        <f t="shared" si="10"/>
        <v>seg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DATE(Configurações!$B$3,3,30)</f>
        <v>46111</v>
      </c>
      <c r="B687" s="2" t="str">
        <f t="shared" si="10"/>
        <v>seg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DATE(Configurações!$B$3,3,30)</f>
        <v>46111</v>
      </c>
      <c r="B688" s="2" t="str">
        <f t="shared" si="10"/>
        <v>seg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DATE(Configurações!$B$3,3,30)</f>
        <v>46111</v>
      </c>
      <c r="B689" s="2" t="str">
        <f t="shared" si="10"/>
        <v>seg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DATE(Configurações!$B$3,3,30)</f>
        <v>46111</v>
      </c>
      <c r="B690" s="2" t="str">
        <f t="shared" si="10"/>
        <v>seg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DATE(Configurações!$B$3,3,30)</f>
        <v>46111</v>
      </c>
      <c r="B691" s="2" t="str">
        <f t="shared" si="10"/>
        <v>seg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DATE(Configurações!$B$3,3,30)</f>
        <v>46111</v>
      </c>
      <c r="B692" s="2" t="str">
        <f t="shared" si="10"/>
        <v>seg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DATE(Configurações!$B$3,3,30)</f>
        <v>46111</v>
      </c>
      <c r="B693" s="2" t="str">
        <f t="shared" si="10"/>
        <v>seg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DATE(Configurações!$B$3,3,30)</f>
        <v>46111</v>
      </c>
      <c r="B694" s="2" t="str">
        <f t="shared" si="10"/>
        <v>seg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DATE(Configurações!$B$3,3,30)</f>
        <v>46111</v>
      </c>
      <c r="B695" s="2" t="str">
        <f t="shared" si="10"/>
        <v>seg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DATE(Configurações!$B$3,3,31)</f>
        <v>46112</v>
      </c>
      <c r="B696" s="2" t="str">
        <f t="shared" si="10"/>
        <v>ter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DATE(Configurações!$B$3,3,31)</f>
        <v>46112</v>
      </c>
      <c r="B697" s="2" t="str">
        <f t="shared" si="10"/>
        <v>ter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DATE(Configurações!$B$3,3,31)</f>
        <v>46112</v>
      </c>
      <c r="B698" s="2" t="str">
        <f t="shared" si="10"/>
        <v>ter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DATE(Configurações!$B$3,3,31)</f>
        <v>46112</v>
      </c>
      <c r="B699" s="2" t="str">
        <f t="shared" si="10"/>
        <v>ter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DATE(Configurações!$B$3,3,31)</f>
        <v>46112</v>
      </c>
      <c r="B700" s="2" t="str">
        <f t="shared" si="10"/>
        <v>ter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DATE(Configurações!$B$3,3,31)</f>
        <v>46112</v>
      </c>
      <c r="B701" s="2" t="str">
        <f t="shared" si="10"/>
        <v>ter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DATE(Configurações!$B$3,3,31)</f>
        <v>46112</v>
      </c>
      <c r="B702" s="2" t="str">
        <f t="shared" si="10"/>
        <v>ter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DATE(Configurações!$B$3,3,31)</f>
        <v>46112</v>
      </c>
      <c r="B703" s="2" t="str">
        <f t="shared" si="10"/>
        <v>ter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DATE(Configurações!$B$3,3,31)</f>
        <v>46112</v>
      </c>
      <c r="B704" s="2" t="str">
        <f t="shared" si="10"/>
        <v>ter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DATE(Configurações!$B$3,3,31)</f>
        <v>46112</v>
      </c>
      <c r="B705" s="2" t="str">
        <f t="shared" si="10"/>
        <v>ter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DATE(Configurações!$B$3,3,31)</f>
        <v>46112</v>
      </c>
      <c r="B706" s="2" t="str">
        <f t="shared" si="10"/>
        <v>ter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DATE(Configurações!$B$3,3,31)</f>
        <v>46112</v>
      </c>
      <c r="B707" s="2" t="str">
        <f t="shared" si="10"/>
        <v>ter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DATE(Configurações!$B$3,3,31)</f>
        <v>46112</v>
      </c>
      <c r="B708" s="2" t="str">
        <f t="shared" si="10"/>
        <v>ter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DATE(Configurações!$B$3,3,31)</f>
        <v>46112</v>
      </c>
      <c r="B709" s="2" t="str">
        <f t="shared" si="10"/>
        <v>ter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DATE(Configurações!$B$3,3,31)</f>
        <v>46112</v>
      </c>
      <c r="B710" s="2" t="str">
        <f t="shared" ref="B710:B773" si="11">TEXT(A710,"ddd")</f>
        <v>ter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DATE(Configurações!$B$3,3,31)</f>
        <v>46112</v>
      </c>
      <c r="B711" s="2" t="str">
        <f t="shared" si="11"/>
        <v>ter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DATE(Configurações!$B$3,3,31)</f>
        <v>46112</v>
      </c>
      <c r="B712" s="2" t="str">
        <f t="shared" si="11"/>
        <v>ter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DATE(Configurações!$B$3,3,31)</f>
        <v>46112</v>
      </c>
      <c r="B713" s="2" t="str">
        <f t="shared" si="11"/>
        <v>ter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DATE(Configurações!$B$3,3,31)</f>
        <v>46112</v>
      </c>
      <c r="B714" s="2" t="str">
        <f t="shared" si="11"/>
        <v>ter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DATE(Configurações!$B$3,3,31)</f>
        <v>46112</v>
      </c>
      <c r="B715" s="2" t="str">
        <f t="shared" si="11"/>
        <v>ter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DATE(Configurações!$B$3,3,31)</f>
        <v>46112</v>
      </c>
      <c r="B716" s="2" t="str">
        <f t="shared" si="11"/>
        <v>ter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DATE(Configurações!$B$3,3,31)</f>
        <v>46112</v>
      </c>
      <c r="B717" s="2" t="str">
        <f t="shared" si="11"/>
        <v>ter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DATE(Configurações!$B$3,3,31)</f>
        <v>46112</v>
      </c>
      <c r="B718" s="2" t="str">
        <f t="shared" si="11"/>
        <v>ter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39" priority="1">
      <formula>F6="Online"</formula>
    </cfRule>
    <cfRule type="expression" dxfId="38" priority="2">
      <formula>F6="Offline"</formula>
    </cfRule>
    <cfRule type="expression" dxfId="37" priority="3">
      <formula>F6="Manutenção"</formula>
    </cfRule>
    <cfRule type="expression" dxfId="36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110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DATE(Configurações!$B$3,4,1)</f>
        <v>46113</v>
      </c>
      <c r="B6" s="2" t="str">
        <f t="shared" ref="B6:B69" si="0">TEXT(A6,"ddd")</f>
        <v>qua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DATE(Configurações!$B$3,4,1)</f>
        <v>46113</v>
      </c>
      <c r="B7" s="2" t="str">
        <f t="shared" si="0"/>
        <v>qua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DATE(Configurações!$B$3,4,1)</f>
        <v>46113</v>
      </c>
      <c r="B8" s="2" t="str">
        <f t="shared" si="0"/>
        <v>qua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DATE(Configurações!$B$3,4,1)</f>
        <v>46113</v>
      </c>
      <c r="B9" s="2" t="str">
        <f t="shared" si="0"/>
        <v>qua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DATE(Configurações!$B$3,4,1)</f>
        <v>46113</v>
      </c>
      <c r="B10" s="2" t="str">
        <f t="shared" si="0"/>
        <v>qua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DATE(Configurações!$B$3,4,1)</f>
        <v>46113</v>
      </c>
      <c r="B11" s="2" t="str">
        <f t="shared" si="0"/>
        <v>qua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DATE(Configurações!$B$3,4,1)</f>
        <v>46113</v>
      </c>
      <c r="B12" s="2" t="str">
        <f t="shared" si="0"/>
        <v>qua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DATE(Configurações!$B$3,4,1)</f>
        <v>46113</v>
      </c>
      <c r="B13" s="2" t="str">
        <f t="shared" si="0"/>
        <v>qua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DATE(Configurações!$B$3,4,1)</f>
        <v>46113</v>
      </c>
      <c r="B14" s="2" t="str">
        <f t="shared" si="0"/>
        <v>qua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DATE(Configurações!$B$3,4,1)</f>
        <v>46113</v>
      </c>
      <c r="B15" s="2" t="str">
        <f t="shared" si="0"/>
        <v>qua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DATE(Configurações!$B$3,4,1)</f>
        <v>46113</v>
      </c>
      <c r="B16" s="2" t="str">
        <f t="shared" si="0"/>
        <v>qua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DATE(Configurações!$B$3,4,1)</f>
        <v>46113</v>
      </c>
      <c r="B17" s="2" t="str">
        <f t="shared" si="0"/>
        <v>qua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DATE(Configurações!$B$3,4,1)</f>
        <v>46113</v>
      </c>
      <c r="B18" s="2" t="str">
        <f t="shared" si="0"/>
        <v>qua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DATE(Configurações!$B$3,4,1)</f>
        <v>46113</v>
      </c>
      <c r="B19" s="2" t="str">
        <f t="shared" si="0"/>
        <v>qua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DATE(Configurações!$B$3,4,1)</f>
        <v>46113</v>
      </c>
      <c r="B20" s="2" t="str">
        <f t="shared" si="0"/>
        <v>qua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DATE(Configurações!$B$3,4,1)</f>
        <v>46113</v>
      </c>
      <c r="B21" s="2" t="str">
        <f t="shared" si="0"/>
        <v>qua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DATE(Configurações!$B$3,4,1)</f>
        <v>46113</v>
      </c>
      <c r="B22" s="2" t="str">
        <f t="shared" si="0"/>
        <v>qua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DATE(Configurações!$B$3,4,1)</f>
        <v>46113</v>
      </c>
      <c r="B23" s="2" t="str">
        <f t="shared" si="0"/>
        <v>qua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DATE(Configurações!$B$3,4,1)</f>
        <v>46113</v>
      </c>
      <c r="B24" s="2" t="str">
        <f t="shared" si="0"/>
        <v>qua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DATE(Configurações!$B$3,4,1)</f>
        <v>46113</v>
      </c>
      <c r="B25" s="2" t="str">
        <f t="shared" si="0"/>
        <v>qua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DATE(Configurações!$B$3,4,1)</f>
        <v>46113</v>
      </c>
      <c r="B26" s="2" t="str">
        <f t="shared" si="0"/>
        <v>qua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DATE(Configurações!$B$3,4,1)</f>
        <v>46113</v>
      </c>
      <c r="B27" s="2" t="str">
        <f t="shared" si="0"/>
        <v>qua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DATE(Configurações!$B$3,4,1)</f>
        <v>46113</v>
      </c>
      <c r="B28" s="2" t="str">
        <f t="shared" si="0"/>
        <v>qua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DATE(Configurações!$B$3,4,2)</f>
        <v>46114</v>
      </c>
      <c r="B29" s="2" t="str">
        <f t="shared" si="0"/>
        <v>qui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DATE(Configurações!$B$3,4,2)</f>
        <v>46114</v>
      </c>
      <c r="B30" s="2" t="str">
        <f t="shared" si="0"/>
        <v>qui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DATE(Configurações!$B$3,4,2)</f>
        <v>46114</v>
      </c>
      <c r="B31" s="2" t="str">
        <f t="shared" si="0"/>
        <v>qui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DATE(Configurações!$B$3,4,2)</f>
        <v>46114</v>
      </c>
      <c r="B32" s="2" t="str">
        <f t="shared" si="0"/>
        <v>qui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DATE(Configurações!$B$3,4,2)</f>
        <v>46114</v>
      </c>
      <c r="B33" s="2" t="str">
        <f t="shared" si="0"/>
        <v>qui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DATE(Configurações!$B$3,4,2)</f>
        <v>46114</v>
      </c>
      <c r="B34" s="2" t="str">
        <f t="shared" si="0"/>
        <v>qui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DATE(Configurações!$B$3,4,2)</f>
        <v>46114</v>
      </c>
      <c r="B35" s="2" t="str">
        <f t="shared" si="0"/>
        <v>qui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DATE(Configurações!$B$3,4,2)</f>
        <v>46114</v>
      </c>
      <c r="B36" s="2" t="str">
        <f t="shared" si="0"/>
        <v>qui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DATE(Configurações!$B$3,4,2)</f>
        <v>46114</v>
      </c>
      <c r="B37" s="2" t="str">
        <f t="shared" si="0"/>
        <v>qui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DATE(Configurações!$B$3,4,2)</f>
        <v>46114</v>
      </c>
      <c r="B38" s="2" t="str">
        <f t="shared" si="0"/>
        <v>qui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DATE(Configurações!$B$3,4,2)</f>
        <v>46114</v>
      </c>
      <c r="B39" s="2" t="str">
        <f t="shared" si="0"/>
        <v>qui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DATE(Configurações!$B$3,4,2)</f>
        <v>46114</v>
      </c>
      <c r="B40" s="2" t="str">
        <f t="shared" si="0"/>
        <v>qui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DATE(Configurações!$B$3,4,2)</f>
        <v>46114</v>
      </c>
      <c r="B41" s="2" t="str">
        <f t="shared" si="0"/>
        <v>qui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DATE(Configurações!$B$3,4,2)</f>
        <v>46114</v>
      </c>
      <c r="B42" s="2" t="str">
        <f t="shared" si="0"/>
        <v>qui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DATE(Configurações!$B$3,4,2)</f>
        <v>46114</v>
      </c>
      <c r="B43" s="2" t="str">
        <f t="shared" si="0"/>
        <v>qui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DATE(Configurações!$B$3,4,2)</f>
        <v>46114</v>
      </c>
      <c r="B44" s="2" t="str">
        <f t="shared" si="0"/>
        <v>qui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DATE(Configurações!$B$3,4,2)</f>
        <v>46114</v>
      </c>
      <c r="B45" s="2" t="str">
        <f t="shared" si="0"/>
        <v>qui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DATE(Configurações!$B$3,4,2)</f>
        <v>46114</v>
      </c>
      <c r="B46" s="2" t="str">
        <f t="shared" si="0"/>
        <v>qui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DATE(Configurações!$B$3,4,2)</f>
        <v>46114</v>
      </c>
      <c r="B47" s="2" t="str">
        <f t="shared" si="0"/>
        <v>qui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DATE(Configurações!$B$3,4,2)</f>
        <v>46114</v>
      </c>
      <c r="B48" s="2" t="str">
        <f t="shared" si="0"/>
        <v>qui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DATE(Configurações!$B$3,4,2)</f>
        <v>46114</v>
      </c>
      <c r="B49" s="2" t="str">
        <f t="shared" si="0"/>
        <v>qui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DATE(Configurações!$B$3,4,2)</f>
        <v>46114</v>
      </c>
      <c r="B50" s="2" t="str">
        <f t="shared" si="0"/>
        <v>qui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DATE(Configurações!$B$3,4,2)</f>
        <v>46114</v>
      </c>
      <c r="B51" s="2" t="str">
        <f t="shared" si="0"/>
        <v>qui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DATE(Configurações!$B$3,4,3)</f>
        <v>46115</v>
      </c>
      <c r="B52" s="2" t="str">
        <f t="shared" si="0"/>
        <v>sex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DATE(Configurações!$B$3,4,3)</f>
        <v>46115</v>
      </c>
      <c r="B53" s="2" t="str">
        <f t="shared" si="0"/>
        <v>sex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DATE(Configurações!$B$3,4,3)</f>
        <v>46115</v>
      </c>
      <c r="B54" s="2" t="str">
        <f t="shared" si="0"/>
        <v>sex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DATE(Configurações!$B$3,4,3)</f>
        <v>46115</v>
      </c>
      <c r="B55" s="2" t="str">
        <f t="shared" si="0"/>
        <v>sex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DATE(Configurações!$B$3,4,3)</f>
        <v>46115</v>
      </c>
      <c r="B56" s="2" t="str">
        <f t="shared" si="0"/>
        <v>sex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DATE(Configurações!$B$3,4,3)</f>
        <v>46115</v>
      </c>
      <c r="B57" s="2" t="str">
        <f t="shared" si="0"/>
        <v>sex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DATE(Configurações!$B$3,4,3)</f>
        <v>46115</v>
      </c>
      <c r="B58" s="2" t="str">
        <f t="shared" si="0"/>
        <v>sex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DATE(Configurações!$B$3,4,3)</f>
        <v>46115</v>
      </c>
      <c r="B59" s="2" t="str">
        <f t="shared" si="0"/>
        <v>sex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DATE(Configurações!$B$3,4,3)</f>
        <v>46115</v>
      </c>
      <c r="B60" s="2" t="str">
        <f t="shared" si="0"/>
        <v>sex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DATE(Configurações!$B$3,4,3)</f>
        <v>46115</v>
      </c>
      <c r="B61" s="2" t="str">
        <f t="shared" si="0"/>
        <v>sex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DATE(Configurações!$B$3,4,3)</f>
        <v>46115</v>
      </c>
      <c r="B62" s="2" t="str">
        <f t="shared" si="0"/>
        <v>sex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DATE(Configurações!$B$3,4,3)</f>
        <v>46115</v>
      </c>
      <c r="B63" s="2" t="str">
        <f t="shared" si="0"/>
        <v>sex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DATE(Configurações!$B$3,4,3)</f>
        <v>46115</v>
      </c>
      <c r="B64" s="2" t="str">
        <f t="shared" si="0"/>
        <v>sex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DATE(Configurações!$B$3,4,3)</f>
        <v>46115</v>
      </c>
      <c r="B65" s="2" t="str">
        <f t="shared" si="0"/>
        <v>sex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DATE(Configurações!$B$3,4,3)</f>
        <v>46115</v>
      </c>
      <c r="B66" s="2" t="str">
        <f t="shared" si="0"/>
        <v>sex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DATE(Configurações!$B$3,4,3)</f>
        <v>46115</v>
      </c>
      <c r="B67" s="2" t="str">
        <f t="shared" si="0"/>
        <v>sex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DATE(Configurações!$B$3,4,3)</f>
        <v>46115</v>
      </c>
      <c r="B68" s="2" t="str">
        <f t="shared" si="0"/>
        <v>sex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DATE(Configurações!$B$3,4,3)</f>
        <v>46115</v>
      </c>
      <c r="B69" s="2" t="str">
        <f t="shared" si="0"/>
        <v>sex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DATE(Configurações!$B$3,4,3)</f>
        <v>46115</v>
      </c>
      <c r="B70" s="2" t="str">
        <f t="shared" ref="B70:B133" si="1">TEXT(A70,"ddd")</f>
        <v>sex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DATE(Configurações!$B$3,4,3)</f>
        <v>46115</v>
      </c>
      <c r="B71" s="2" t="str">
        <f t="shared" si="1"/>
        <v>sex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DATE(Configurações!$B$3,4,3)</f>
        <v>46115</v>
      </c>
      <c r="B72" s="2" t="str">
        <f t="shared" si="1"/>
        <v>sex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DATE(Configurações!$B$3,4,3)</f>
        <v>46115</v>
      </c>
      <c r="B73" s="2" t="str">
        <f t="shared" si="1"/>
        <v>sex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DATE(Configurações!$B$3,4,3)</f>
        <v>46115</v>
      </c>
      <c r="B74" s="2" t="str">
        <f t="shared" si="1"/>
        <v>sex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DATE(Configurações!$B$3,4,4)</f>
        <v>46116</v>
      </c>
      <c r="B75" s="2" t="str">
        <f t="shared" si="1"/>
        <v>sáb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DATE(Configurações!$B$3,4,4)</f>
        <v>46116</v>
      </c>
      <c r="B76" s="2" t="str">
        <f t="shared" si="1"/>
        <v>sáb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DATE(Configurações!$B$3,4,4)</f>
        <v>46116</v>
      </c>
      <c r="B77" s="2" t="str">
        <f t="shared" si="1"/>
        <v>sáb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DATE(Configurações!$B$3,4,4)</f>
        <v>46116</v>
      </c>
      <c r="B78" s="2" t="str">
        <f t="shared" si="1"/>
        <v>sáb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DATE(Configurações!$B$3,4,4)</f>
        <v>46116</v>
      </c>
      <c r="B79" s="2" t="str">
        <f t="shared" si="1"/>
        <v>sáb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DATE(Configurações!$B$3,4,4)</f>
        <v>46116</v>
      </c>
      <c r="B80" s="2" t="str">
        <f t="shared" si="1"/>
        <v>sáb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DATE(Configurações!$B$3,4,4)</f>
        <v>46116</v>
      </c>
      <c r="B81" s="2" t="str">
        <f t="shared" si="1"/>
        <v>sáb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DATE(Configurações!$B$3,4,4)</f>
        <v>46116</v>
      </c>
      <c r="B82" s="2" t="str">
        <f t="shared" si="1"/>
        <v>sáb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DATE(Configurações!$B$3,4,4)</f>
        <v>46116</v>
      </c>
      <c r="B83" s="2" t="str">
        <f t="shared" si="1"/>
        <v>sáb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DATE(Configurações!$B$3,4,4)</f>
        <v>46116</v>
      </c>
      <c r="B84" s="2" t="str">
        <f t="shared" si="1"/>
        <v>sáb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DATE(Configurações!$B$3,4,4)</f>
        <v>46116</v>
      </c>
      <c r="B85" s="2" t="str">
        <f t="shared" si="1"/>
        <v>sáb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DATE(Configurações!$B$3,4,4)</f>
        <v>46116</v>
      </c>
      <c r="B86" s="2" t="str">
        <f t="shared" si="1"/>
        <v>sáb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DATE(Configurações!$B$3,4,4)</f>
        <v>46116</v>
      </c>
      <c r="B87" s="2" t="str">
        <f t="shared" si="1"/>
        <v>sáb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DATE(Configurações!$B$3,4,4)</f>
        <v>46116</v>
      </c>
      <c r="B88" s="2" t="str">
        <f t="shared" si="1"/>
        <v>sáb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DATE(Configurações!$B$3,4,4)</f>
        <v>46116</v>
      </c>
      <c r="B89" s="2" t="str">
        <f t="shared" si="1"/>
        <v>sáb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DATE(Configurações!$B$3,4,4)</f>
        <v>46116</v>
      </c>
      <c r="B90" s="2" t="str">
        <f t="shared" si="1"/>
        <v>sáb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DATE(Configurações!$B$3,4,4)</f>
        <v>46116</v>
      </c>
      <c r="B91" s="2" t="str">
        <f t="shared" si="1"/>
        <v>sáb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DATE(Configurações!$B$3,4,4)</f>
        <v>46116</v>
      </c>
      <c r="B92" s="2" t="str">
        <f t="shared" si="1"/>
        <v>sáb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DATE(Configurações!$B$3,4,4)</f>
        <v>46116</v>
      </c>
      <c r="B93" s="2" t="str">
        <f t="shared" si="1"/>
        <v>sáb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DATE(Configurações!$B$3,4,4)</f>
        <v>46116</v>
      </c>
      <c r="B94" s="2" t="str">
        <f t="shared" si="1"/>
        <v>sáb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DATE(Configurações!$B$3,4,4)</f>
        <v>46116</v>
      </c>
      <c r="B95" s="2" t="str">
        <f t="shared" si="1"/>
        <v>sáb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DATE(Configurações!$B$3,4,4)</f>
        <v>46116</v>
      </c>
      <c r="B96" s="2" t="str">
        <f t="shared" si="1"/>
        <v>sáb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DATE(Configurações!$B$3,4,4)</f>
        <v>46116</v>
      </c>
      <c r="B97" s="2" t="str">
        <f t="shared" si="1"/>
        <v>sáb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DATE(Configurações!$B$3,4,5)</f>
        <v>46117</v>
      </c>
      <c r="B98" s="2" t="str">
        <f t="shared" si="1"/>
        <v>dom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DATE(Configurações!$B$3,4,5)</f>
        <v>46117</v>
      </c>
      <c r="B99" s="2" t="str">
        <f t="shared" si="1"/>
        <v>dom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DATE(Configurações!$B$3,4,5)</f>
        <v>46117</v>
      </c>
      <c r="B100" s="2" t="str">
        <f t="shared" si="1"/>
        <v>dom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DATE(Configurações!$B$3,4,5)</f>
        <v>46117</v>
      </c>
      <c r="B101" s="2" t="str">
        <f t="shared" si="1"/>
        <v>dom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DATE(Configurações!$B$3,4,5)</f>
        <v>46117</v>
      </c>
      <c r="B102" s="2" t="str">
        <f t="shared" si="1"/>
        <v>dom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DATE(Configurações!$B$3,4,5)</f>
        <v>46117</v>
      </c>
      <c r="B103" s="2" t="str">
        <f t="shared" si="1"/>
        <v>dom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DATE(Configurações!$B$3,4,5)</f>
        <v>46117</v>
      </c>
      <c r="B104" s="2" t="str">
        <f t="shared" si="1"/>
        <v>dom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DATE(Configurações!$B$3,4,5)</f>
        <v>46117</v>
      </c>
      <c r="B105" s="2" t="str">
        <f t="shared" si="1"/>
        <v>dom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DATE(Configurações!$B$3,4,5)</f>
        <v>46117</v>
      </c>
      <c r="B106" s="2" t="str">
        <f t="shared" si="1"/>
        <v>dom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DATE(Configurações!$B$3,4,5)</f>
        <v>46117</v>
      </c>
      <c r="B107" s="2" t="str">
        <f t="shared" si="1"/>
        <v>dom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DATE(Configurações!$B$3,4,5)</f>
        <v>46117</v>
      </c>
      <c r="B108" s="2" t="str">
        <f t="shared" si="1"/>
        <v>dom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DATE(Configurações!$B$3,4,5)</f>
        <v>46117</v>
      </c>
      <c r="B109" s="2" t="str">
        <f t="shared" si="1"/>
        <v>dom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DATE(Configurações!$B$3,4,5)</f>
        <v>46117</v>
      </c>
      <c r="B110" s="2" t="str">
        <f t="shared" si="1"/>
        <v>dom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DATE(Configurações!$B$3,4,5)</f>
        <v>46117</v>
      </c>
      <c r="B111" s="2" t="str">
        <f t="shared" si="1"/>
        <v>dom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DATE(Configurações!$B$3,4,5)</f>
        <v>46117</v>
      </c>
      <c r="B112" s="2" t="str">
        <f t="shared" si="1"/>
        <v>dom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DATE(Configurações!$B$3,4,5)</f>
        <v>46117</v>
      </c>
      <c r="B113" s="2" t="str">
        <f t="shared" si="1"/>
        <v>dom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DATE(Configurações!$B$3,4,5)</f>
        <v>46117</v>
      </c>
      <c r="B114" s="2" t="str">
        <f t="shared" si="1"/>
        <v>dom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DATE(Configurações!$B$3,4,5)</f>
        <v>46117</v>
      </c>
      <c r="B115" s="2" t="str">
        <f t="shared" si="1"/>
        <v>dom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DATE(Configurações!$B$3,4,5)</f>
        <v>46117</v>
      </c>
      <c r="B116" s="2" t="str">
        <f t="shared" si="1"/>
        <v>dom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DATE(Configurações!$B$3,4,5)</f>
        <v>46117</v>
      </c>
      <c r="B117" s="2" t="str">
        <f t="shared" si="1"/>
        <v>dom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DATE(Configurações!$B$3,4,5)</f>
        <v>46117</v>
      </c>
      <c r="B118" s="2" t="str">
        <f t="shared" si="1"/>
        <v>dom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DATE(Configurações!$B$3,4,5)</f>
        <v>46117</v>
      </c>
      <c r="B119" s="2" t="str">
        <f t="shared" si="1"/>
        <v>dom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DATE(Configurações!$B$3,4,5)</f>
        <v>46117</v>
      </c>
      <c r="B120" s="2" t="str">
        <f t="shared" si="1"/>
        <v>dom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DATE(Configurações!$B$3,4,6)</f>
        <v>46118</v>
      </c>
      <c r="B121" s="2" t="str">
        <f t="shared" si="1"/>
        <v>seg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DATE(Configurações!$B$3,4,6)</f>
        <v>46118</v>
      </c>
      <c r="B122" s="2" t="str">
        <f t="shared" si="1"/>
        <v>seg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DATE(Configurações!$B$3,4,6)</f>
        <v>46118</v>
      </c>
      <c r="B123" s="2" t="str">
        <f t="shared" si="1"/>
        <v>seg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DATE(Configurações!$B$3,4,6)</f>
        <v>46118</v>
      </c>
      <c r="B124" s="2" t="str">
        <f t="shared" si="1"/>
        <v>seg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DATE(Configurações!$B$3,4,6)</f>
        <v>46118</v>
      </c>
      <c r="B125" s="2" t="str">
        <f t="shared" si="1"/>
        <v>seg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DATE(Configurações!$B$3,4,6)</f>
        <v>46118</v>
      </c>
      <c r="B126" s="2" t="str">
        <f t="shared" si="1"/>
        <v>seg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DATE(Configurações!$B$3,4,6)</f>
        <v>46118</v>
      </c>
      <c r="B127" s="2" t="str">
        <f t="shared" si="1"/>
        <v>seg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DATE(Configurações!$B$3,4,6)</f>
        <v>46118</v>
      </c>
      <c r="B128" s="2" t="str">
        <f t="shared" si="1"/>
        <v>seg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DATE(Configurações!$B$3,4,6)</f>
        <v>46118</v>
      </c>
      <c r="B129" s="2" t="str">
        <f t="shared" si="1"/>
        <v>seg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DATE(Configurações!$B$3,4,6)</f>
        <v>46118</v>
      </c>
      <c r="B130" s="2" t="str">
        <f t="shared" si="1"/>
        <v>seg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DATE(Configurações!$B$3,4,6)</f>
        <v>46118</v>
      </c>
      <c r="B131" s="2" t="str">
        <f t="shared" si="1"/>
        <v>seg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DATE(Configurações!$B$3,4,6)</f>
        <v>46118</v>
      </c>
      <c r="B132" s="2" t="str">
        <f t="shared" si="1"/>
        <v>seg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DATE(Configurações!$B$3,4,6)</f>
        <v>46118</v>
      </c>
      <c r="B133" s="2" t="str">
        <f t="shared" si="1"/>
        <v>seg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DATE(Configurações!$B$3,4,6)</f>
        <v>46118</v>
      </c>
      <c r="B134" s="2" t="str">
        <f t="shared" ref="B134:B197" si="2">TEXT(A134,"ddd")</f>
        <v>seg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DATE(Configurações!$B$3,4,6)</f>
        <v>46118</v>
      </c>
      <c r="B135" s="2" t="str">
        <f t="shared" si="2"/>
        <v>seg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DATE(Configurações!$B$3,4,6)</f>
        <v>46118</v>
      </c>
      <c r="B136" s="2" t="str">
        <f t="shared" si="2"/>
        <v>seg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DATE(Configurações!$B$3,4,6)</f>
        <v>46118</v>
      </c>
      <c r="B137" s="2" t="str">
        <f t="shared" si="2"/>
        <v>seg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DATE(Configurações!$B$3,4,6)</f>
        <v>46118</v>
      </c>
      <c r="B138" s="2" t="str">
        <f t="shared" si="2"/>
        <v>seg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DATE(Configurações!$B$3,4,6)</f>
        <v>46118</v>
      </c>
      <c r="B139" s="2" t="str">
        <f t="shared" si="2"/>
        <v>seg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DATE(Configurações!$B$3,4,6)</f>
        <v>46118</v>
      </c>
      <c r="B140" s="2" t="str">
        <f t="shared" si="2"/>
        <v>seg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DATE(Configurações!$B$3,4,6)</f>
        <v>46118</v>
      </c>
      <c r="B141" s="2" t="str">
        <f t="shared" si="2"/>
        <v>seg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DATE(Configurações!$B$3,4,6)</f>
        <v>46118</v>
      </c>
      <c r="B142" s="2" t="str">
        <f t="shared" si="2"/>
        <v>seg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DATE(Configurações!$B$3,4,6)</f>
        <v>46118</v>
      </c>
      <c r="B143" s="2" t="str">
        <f t="shared" si="2"/>
        <v>seg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DATE(Configurações!$B$3,4,7)</f>
        <v>46119</v>
      </c>
      <c r="B144" s="2" t="str">
        <f t="shared" si="2"/>
        <v>ter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DATE(Configurações!$B$3,4,7)</f>
        <v>46119</v>
      </c>
      <c r="B145" s="2" t="str">
        <f t="shared" si="2"/>
        <v>ter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DATE(Configurações!$B$3,4,7)</f>
        <v>46119</v>
      </c>
      <c r="B146" s="2" t="str">
        <f t="shared" si="2"/>
        <v>ter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DATE(Configurações!$B$3,4,7)</f>
        <v>46119</v>
      </c>
      <c r="B147" s="2" t="str">
        <f t="shared" si="2"/>
        <v>ter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DATE(Configurações!$B$3,4,7)</f>
        <v>46119</v>
      </c>
      <c r="B148" s="2" t="str">
        <f t="shared" si="2"/>
        <v>ter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DATE(Configurações!$B$3,4,7)</f>
        <v>46119</v>
      </c>
      <c r="B149" s="2" t="str">
        <f t="shared" si="2"/>
        <v>ter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DATE(Configurações!$B$3,4,7)</f>
        <v>46119</v>
      </c>
      <c r="B150" s="2" t="str">
        <f t="shared" si="2"/>
        <v>ter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DATE(Configurações!$B$3,4,7)</f>
        <v>46119</v>
      </c>
      <c r="B151" s="2" t="str">
        <f t="shared" si="2"/>
        <v>ter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DATE(Configurações!$B$3,4,7)</f>
        <v>46119</v>
      </c>
      <c r="B152" s="2" t="str">
        <f t="shared" si="2"/>
        <v>ter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DATE(Configurações!$B$3,4,7)</f>
        <v>46119</v>
      </c>
      <c r="B153" s="2" t="str">
        <f t="shared" si="2"/>
        <v>ter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DATE(Configurações!$B$3,4,7)</f>
        <v>46119</v>
      </c>
      <c r="B154" s="2" t="str">
        <f t="shared" si="2"/>
        <v>ter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DATE(Configurações!$B$3,4,7)</f>
        <v>46119</v>
      </c>
      <c r="B155" s="2" t="str">
        <f t="shared" si="2"/>
        <v>ter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DATE(Configurações!$B$3,4,7)</f>
        <v>46119</v>
      </c>
      <c r="B156" s="2" t="str">
        <f t="shared" si="2"/>
        <v>ter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DATE(Configurações!$B$3,4,7)</f>
        <v>46119</v>
      </c>
      <c r="B157" s="2" t="str">
        <f t="shared" si="2"/>
        <v>ter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DATE(Configurações!$B$3,4,7)</f>
        <v>46119</v>
      </c>
      <c r="B158" s="2" t="str">
        <f t="shared" si="2"/>
        <v>ter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DATE(Configurações!$B$3,4,7)</f>
        <v>46119</v>
      </c>
      <c r="B159" s="2" t="str">
        <f t="shared" si="2"/>
        <v>ter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DATE(Configurações!$B$3,4,7)</f>
        <v>46119</v>
      </c>
      <c r="B160" s="2" t="str">
        <f t="shared" si="2"/>
        <v>ter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DATE(Configurações!$B$3,4,7)</f>
        <v>46119</v>
      </c>
      <c r="B161" s="2" t="str">
        <f t="shared" si="2"/>
        <v>ter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DATE(Configurações!$B$3,4,7)</f>
        <v>46119</v>
      </c>
      <c r="B162" s="2" t="str">
        <f t="shared" si="2"/>
        <v>ter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DATE(Configurações!$B$3,4,7)</f>
        <v>46119</v>
      </c>
      <c r="B163" s="2" t="str">
        <f t="shared" si="2"/>
        <v>ter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DATE(Configurações!$B$3,4,7)</f>
        <v>46119</v>
      </c>
      <c r="B164" s="2" t="str">
        <f t="shared" si="2"/>
        <v>ter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DATE(Configurações!$B$3,4,7)</f>
        <v>46119</v>
      </c>
      <c r="B165" s="2" t="str">
        <f t="shared" si="2"/>
        <v>ter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DATE(Configurações!$B$3,4,7)</f>
        <v>46119</v>
      </c>
      <c r="B166" s="2" t="str">
        <f t="shared" si="2"/>
        <v>ter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DATE(Configurações!$B$3,4,8)</f>
        <v>46120</v>
      </c>
      <c r="B167" s="2" t="str">
        <f t="shared" si="2"/>
        <v>qua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DATE(Configurações!$B$3,4,8)</f>
        <v>46120</v>
      </c>
      <c r="B168" s="2" t="str">
        <f t="shared" si="2"/>
        <v>qua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DATE(Configurações!$B$3,4,8)</f>
        <v>46120</v>
      </c>
      <c r="B169" s="2" t="str">
        <f t="shared" si="2"/>
        <v>qua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DATE(Configurações!$B$3,4,8)</f>
        <v>46120</v>
      </c>
      <c r="B170" s="2" t="str">
        <f t="shared" si="2"/>
        <v>qua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DATE(Configurações!$B$3,4,8)</f>
        <v>46120</v>
      </c>
      <c r="B171" s="2" t="str">
        <f t="shared" si="2"/>
        <v>qua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DATE(Configurações!$B$3,4,8)</f>
        <v>46120</v>
      </c>
      <c r="B172" s="2" t="str">
        <f t="shared" si="2"/>
        <v>qua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DATE(Configurações!$B$3,4,8)</f>
        <v>46120</v>
      </c>
      <c r="B173" s="2" t="str">
        <f t="shared" si="2"/>
        <v>qua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DATE(Configurações!$B$3,4,8)</f>
        <v>46120</v>
      </c>
      <c r="B174" s="2" t="str">
        <f t="shared" si="2"/>
        <v>qua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DATE(Configurações!$B$3,4,8)</f>
        <v>46120</v>
      </c>
      <c r="B175" s="2" t="str">
        <f t="shared" si="2"/>
        <v>qua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DATE(Configurações!$B$3,4,8)</f>
        <v>46120</v>
      </c>
      <c r="B176" s="2" t="str">
        <f t="shared" si="2"/>
        <v>qua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DATE(Configurações!$B$3,4,8)</f>
        <v>46120</v>
      </c>
      <c r="B177" s="2" t="str">
        <f t="shared" si="2"/>
        <v>qua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DATE(Configurações!$B$3,4,8)</f>
        <v>46120</v>
      </c>
      <c r="B178" s="2" t="str">
        <f t="shared" si="2"/>
        <v>qua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DATE(Configurações!$B$3,4,8)</f>
        <v>46120</v>
      </c>
      <c r="B179" s="2" t="str">
        <f t="shared" si="2"/>
        <v>qua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DATE(Configurações!$B$3,4,8)</f>
        <v>46120</v>
      </c>
      <c r="B180" s="2" t="str">
        <f t="shared" si="2"/>
        <v>qua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DATE(Configurações!$B$3,4,8)</f>
        <v>46120</v>
      </c>
      <c r="B181" s="2" t="str">
        <f t="shared" si="2"/>
        <v>qua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DATE(Configurações!$B$3,4,8)</f>
        <v>46120</v>
      </c>
      <c r="B182" s="2" t="str">
        <f t="shared" si="2"/>
        <v>qua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DATE(Configurações!$B$3,4,8)</f>
        <v>46120</v>
      </c>
      <c r="B183" s="2" t="str">
        <f t="shared" si="2"/>
        <v>qua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DATE(Configurações!$B$3,4,8)</f>
        <v>46120</v>
      </c>
      <c r="B184" s="2" t="str">
        <f t="shared" si="2"/>
        <v>qua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DATE(Configurações!$B$3,4,8)</f>
        <v>46120</v>
      </c>
      <c r="B185" s="2" t="str">
        <f t="shared" si="2"/>
        <v>qua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DATE(Configurações!$B$3,4,8)</f>
        <v>46120</v>
      </c>
      <c r="B186" s="2" t="str">
        <f t="shared" si="2"/>
        <v>qua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DATE(Configurações!$B$3,4,8)</f>
        <v>46120</v>
      </c>
      <c r="B187" s="2" t="str">
        <f t="shared" si="2"/>
        <v>qua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DATE(Configurações!$B$3,4,8)</f>
        <v>46120</v>
      </c>
      <c r="B188" s="2" t="str">
        <f t="shared" si="2"/>
        <v>qua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DATE(Configurações!$B$3,4,8)</f>
        <v>46120</v>
      </c>
      <c r="B189" s="2" t="str">
        <f t="shared" si="2"/>
        <v>qua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DATE(Configurações!$B$3,4,9)</f>
        <v>46121</v>
      </c>
      <c r="B190" s="2" t="str">
        <f t="shared" si="2"/>
        <v>qui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DATE(Configurações!$B$3,4,9)</f>
        <v>46121</v>
      </c>
      <c r="B191" s="2" t="str">
        <f t="shared" si="2"/>
        <v>qui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DATE(Configurações!$B$3,4,9)</f>
        <v>46121</v>
      </c>
      <c r="B192" s="2" t="str">
        <f t="shared" si="2"/>
        <v>qui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DATE(Configurações!$B$3,4,9)</f>
        <v>46121</v>
      </c>
      <c r="B193" s="2" t="str">
        <f t="shared" si="2"/>
        <v>qui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DATE(Configurações!$B$3,4,9)</f>
        <v>46121</v>
      </c>
      <c r="B194" s="2" t="str">
        <f t="shared" si="2"/>
        <v>qui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DATE(Configurações!$B$3,4,9)</f>
        <v>46121</v>
      </c>
      <c r="B195" s="2" t="str">
        <f t="shared" si="2"/>
        <v>qui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DATE(Configurações!$B$3,4,9)</f>
        <v>46121</v>
      </c>
      <c r="B196" s="2" t="str">
        <f t="shared" si="2"/>
        <v>qui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DATE(Configurações!$B$3,4,9)</f>
        <v>46121</v>
      </c>
      <c r="B197" s="2" t="str">
        <f t="shared" si="2"/>
        <v>qui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DATE(Configurações!$B$3,4,9)</f>
        <v>46121</v>
      </c>
      <c r="B198" s="2" t="str">
        <f t="shared" ref="B198:B261" si="3">TEXT(A198,"ddd")</f>
        <v>qui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DATE(Configurações!$B$3,4,9)</f>
        <v>46121</v>
      </c>
      <c r="B199" s="2" t="str">
        <f t="shared" si="3"/>
        <v>qui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DATE(Configurações!$B$3,4,9)</f>
        <v>46121</v>
      </c>
      <c r="B200" s="2" t="str">
        <f t="shared" si="3"/>
        <v>qui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DATE(Configurações!$B$3,4,9)</f>
        <v>46121</v>
      </c>
      <c r="B201" s="2" t="str">
        <f t="shared" si="3"/>
        <v>qui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DATE(Configurações!$B$3,4,9)</f>
        <v>46121</v>
      </c>
      <c r="B202" s="2" t="str">
        <f t="shared" si="3"/>
        <v>qui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DATE(Configurações!$B$3,4,9)</f>
        <v>46121</v>
      </c>
      <c r="B203" s="2" t="str">
        <f t="shared" si="3"/>
        <v>qui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DATE(Configurações!$B$3,4,9)</f>
        <v>46121</v>
      </c>
      <c r="B204" s="2" t="str">
        <f t="shared" si="3"/>
        <v>qui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DATE(Configurações!$B$3,4,9)</f>
        <v>46121</v>
      </c>
      <c r="B205" s="2" t="str">
        <f t="shared" si="3"/>
        <v>qui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DATE(Configurações!$B$3,4,9)</f>
        <v>46121</v>
      </c>
      <c r="B206" s="2" t="str">
        <f t="shared" si="3"/>
        <v>qui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DATE(Configurações!$B$3,4,9)</f>
        <v>46121</v>
      </c>
      <c r="B207" s="2" t="str">
        <f t="shared" si="3"/>
        <v>qui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DATE(Configurações!$B$3,4,9)</f>
        <v>46121</v>
      </c>
      <c r="B208" s="2" t="str">
        <f t="shared" si="3"/>
        <v>qui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DATE(Configurações!$B$3,4,9)</f>
        <v>46121</v>
      </c>
      <c r="B209" s="2" t="str">
        <f t="shared" si="3"/>
        <v>qui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DATE(Configurações!$B$3,4,9)</f>
        <v>46121</v>
      </c>
      <c r="B210" s="2" t="str">
        <f t="shared" si="3"/>
        <v>qui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DATE(Configurações!$B$3,4,9)</f>
        <v>46121</v>
      </c>
      <c r="B211" s="2" t="str">
        <f t="shared" si="3"/>
        <v>qui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DATE(Configurações!$B$3,4,9)</f>
        <v>46121</v>
      </c>
      <c r="B212" s="2" t="str">
        <f t="shared" si="3"/>
        <v>qui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DATE(Configurações!$B$3,4,10)</f>
        <v>46122</v>
      </c>
      <c r="B213" s="2" t="str">
        <f t="shared" si="3"/>
        <v>sex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DATE(Configurações!$B$3,4,10)</f>
        <v>46122</v>
      </c>
      <c r="B214" s="2" t="str">
        <f t="shared" si="3"/>
        <v>sex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DATE(Configurações!$B$3,4,10)</f>
        <v>46122</v>
      </c>
      <c r="B215" s="2" t="str">
        <f t="shared" si="3"/>
        <v>sex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DATE(Configurações!$B$3,4,10)</f>
        <v>46122</v>
      </c>
      <c r="B216" s="2" t="str">
        <f t="shared" si="3"/>
        <v>sex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DATE(Configurações!$B$3,4,10)</f>
        <v>46122</v>
      </c>
      <c r="B217" s="2" t="str">
        <f t="shared" si="3"/>
        <v>sex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DATE(Configurações!$B$3,4,10)</f>
        <v>46122</v>
      </c>
      <c r="B218" s="2" t="str">
        <f t="shared" si="3"/>
        <v>sex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DATE(Configurações!$B$3,4,10)</f>
        <v>46122</v>
      </c>
      <c r="B219" s="2" t="str">
        <f t="shared" si="3"/>
        <v>sex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DATE(Configurações!$B$3,4,10)</f>
        <v>46122</v>
      </c>
      <c r="B220" s="2" t="str">
        <f t="shared" si="3"/>
        <v>sex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DATE(Configurações!$B$3,4,10)</f>
        <v>46122</v>
      </c>
      <c r="B221" s="2" t="str">
        <f t="shared" si="3"/>
        <v>sex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DATE(Configurações!$B$3,4,10)</f>
        <v>46122</v>
      </c>
      <c r="B222" s="2" t="str">
        <f t="shared" si="3"/>
        <v>sex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DATE(Configurações!$B$3,4,10)</f>
        <v>46122</v>
      </c>
      <c r="B223" s="2" t="str">
        <f t="shared" si="3"/>
        <v>sex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DATE(Configurações!$B$3,4,10)</f>
        <v>46122</v>
      </c>
      <c r="B224" s="2" t="str">
        <f t="shared" si="3"/>
        <v>sex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DATE(Configurações!$B$3,4,10)</f>
        <v>46122</v>
      </c>
      <c r="B225" s="2" t="str">
        <f t="shared" si="3"/>
        <v>sex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DATE(Configurações!$B$3,4,10)</f>
        <v>46122</v>
      </c>
      <c r="B226" s="2" t="str">
        <f t="shared" si="3"/>
        <v>sex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DATE(Configurações!$B$3,4,10)</f>
        <v>46122</v>
      </c>
      <c r="B227" s="2" t="str">
        <f t="shared" si="3"/>
        <v>sex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DATE(Configurações!$B$3,4,10)</f>
        <v>46122</v>
      </c>
      <c r="B228" s="2" t="str">
        <f t="shared" si="3"/>
        <v>sex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DATE(Configurações!$B$3,4,10)</f>
        <v>46122</v>
      </c>
      <c r="B229" s="2" t="str">
        <f t="shared" si="3"/>
        <v>sex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DATE(Configurações!$B$3,4,10)</f>
        <v>46122</v>
      </c>
      <c r="B230" s="2" t="str">
        <f t="shared" si="3"/>
        <v>sex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DATE(Configurações!$B$3,4,10)</f>
        <v>46122</v>
      </c>
      <c r="B231" s="2" t="str">
        <f t="shared" si="3"/>
        <v>sex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DATE(Configurações!$B$3,4,10)</f>
        <v>46122</v>
      </c>
      <c r="B232" s="2" t="str">
        <f t="shared" si="3"/>
        <v>sex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DATE(Configurações!$B$3,4,10)</f>
        <v>46122</v>
      </c>
      <c r="B233" s="2" t="str">
        <f t="shared" si="3"/>
        <v>sex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DATE(Configurações!$B$3,4,10)</f>
        <v>46122</v>
      </c>
      <c r="B234" s="2" t="str">
        <f t="shared" si="3"/>
        <v>sex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DATE(Configurações!$B$3,4,10)</f>
        <v>46122</v>
      </c>
      <c r="B235" s="2" t="str">
        <f t="shared" si="3"/>
        <v>sex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DATE(Configurações!$B$3,4,11)</f>
        <v>46123</v>
      </c>
      <c r="B236" s="2" t="str">
        <f t="shared" si="3"/>
        <v>sáb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DATE(Configurações!$B$3,4,11)</f>
        <v>46123</v>
      </c>
      <c r="B237" s="2" t="str">
        <f t="shared" si="3"/>
        <v>sáb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DATE(Configurações!$B$3,4,11)</f>
        <v>46123</v>
      </c>
      <c r="B238" s="2" t="str">
        <f t="shared" si="3"/>
        <v>sáb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DATE(Configurações!$B$3,4,11)</f>
        <v>46123</v>
      </c>
      <c r="B239" s="2" t="str">
        <f t="shared" si="3"/>
        <v>sáb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DATE(Configurações!$B$3,4,11)</f>
        <v>46123</v>
      </c>
      <c r="B240" s="2" t="str">
        <f t="shared" si="3"/>
        <v>sáb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DATE(Configurações!$B$3,4,11)</f>
        <v>46123</v>
      </c>
      <c r="B241" s="2" t="str">
        <f t="shared" si="3"/>
        <v>sáb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DATE(Configurações!$B$3,4,11)</f>
        <v>46123</v>
      </c>
      <c r="B242" s="2" t="str">
        <f t="shared" si="3"/>
        <v>sáb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DATE(Configurações!$B$3,4,11)</f>
        <v>46123</v>
      </c>
      <c r="B243" s="2" t="str">
        <f t="shared" si="3"/>
        <v>sáb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DATE(Configurações!$B$3,4,11)</f>
        <v>46123</v>
      </c>
      <c r="B244" s="2" t="str">
        <f t="shared" si="3"/>
        <v>sáb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DATE(Configurações!$B$3,4,11)</f>
        <v>46123</v>
      </c>
      <c r="B245" s="2" t="str">
        <f t="shared" si="3"/>
        <v>sáb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DATE(Configurações!$B$3,4,11)</f>
        <v>46123</v>
      </c>
      <c r="B246" s="2" t="str">
        <f t="shared" si="3"/>
        <v>sáb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DATE(Configurações!$B$3,4,11)</f>
        <v>46123</v>
      </c>
      <c r="B247" s="2" t="str">
        <f t="shared" si="3"/>
        <v>sáb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DATE(Configurações!$B$3,4,11)</f>
        <v>46123</v>
      </c>
      <c r="B248" s="2" t="str">
        <f t="shared" si="3"/>
        <v>sáb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DATE(Configurações!$B$3,4,11)</f>
        <v>46123</v>
      </c>
      <c r="B249" s="2" t="str">
        <f t="shared" si="3"/>
        <v>sáb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DATE(Configurações!$B$3,4,11)</f>
        <v>46123</v>
      </c>
      <c r="B250" s="2" t="str">
        <f t="shared" si="3"/>
        <v>sáb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DATE(Configurações!$B$3,4,11)</f>
        <v>46123</v>
      </c>
      <c r="B251" s="2" t="str">
        <f t="shared" si="3"/>
        <v>sáb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DATE(Configurações!$B$3,4,11)</f>
        <v>46123</v>
      </c>
      <c r="B252" s="2" t="str">
        <f t="shared" si="3"/>
        <v>sáb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DATE(Configurações!$B$3,4,11)</f>
        <v>46123</v>
      </c>
      <c r="B253" s="2" t="str">
        <f t="shared" si="3"/>
        <v>sáb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DATE(Configurações!$B$3,4,11)</f>
        <v>46123</v>
      </c>
      <c r="B254" s="2" t="str">
        <f t="shared" si="3"/>
        <v>sáb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DATE(Configurações!$B$3,4,11)</f>
        <v>46123</v>
      </c>
      <c r="B255" s="2" t="str">
        <f t="shared" si="3"/>
        <v>sáb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DATE(Configurações!$B$3,4,11)</f>
        <v>46123</v>
      </c>
      <c r="B256" s="2" t="str">
        <f t="shared" si="3"/>
        <v>sáb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DATE(Configurações!$B$3,4,11)</f>
        <v>46123</v>
      </c>
      <c r="B257" s="2" t="str">
        <f t="shared" si="3"/>
        <v>sáb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DATE(Configurações!$B$3,4,11)</f>
        <v>46123</v>
      </c>
      <c r="B258" s="2" t="str">
        <f t="shared" si="3"/>
        <v>sáb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DATE(Configurações!$B$3,4,12)</f>
        <v>46124</v>
      </c>
      <c r="B259" s="2" t="str">
        <f t="shared" si="3"/>
        <v>dom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DATE(Configurações!$B$3,4,12)</f>
        <v>46124</v>
      </c>
      <c r="B260" s="2" t="str">
        <f t="shared" si="3"/>
        <v>dom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DATE(Configurações!$B$3,4,12)</f>
        <v>46124</v>
      </c>
      <c r="B261" s="2" t="str">
        <f t="shared" si="3"/>
        <v>dom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DATE(Configurações!$B$3,4,12)</f>
        <v>46124</v>
      </c>
      <c r="B262" s="2" t="str">
        <f t="shared" ref="B262:B325" si="4">TEXT(A262,"ddd")</f>
        <v>dom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DATE(Configurações!$B$3,4,12)</f>
        <v>46124</v>
      </c>
      <c r="B263" s="2" t="str">
        <f t="shared" si="4"/>
        <v>dom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DATE(Configurações!$B$3,4,12)</f>
        <v>46124</v>
      </c>
      <c r="B264" s="2" t="str">
        <f t="shared" si="4"/>
        <v>dom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DATE(Configurações!$B$3,4,12)</f>
        <v>46124</v>
      </c>
      <c r="B265" s="2" t="str">
        <f t="shared" si="4"/>
        <v>dom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DATE(Configurações!$B$3,4,12)</f>
        <v>46124</v>
      </c>
      <c r="B266" s="2" t="str">
        <f t="shared" si="4"/>
        <v>dom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DATE(Configurações!$B$3,4,12)</f>
        <v>46124</v>
      </c>
      <c r="B267" s="2" t="str">
        <f t="shared" si="4"/>
        <v>dom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DATE(Configurações!$B$3,4,12)</f>
        <v>46124</v>
      </c>
      <c r="B268" s="2" t="str">
        <f t="shared" si="4"/>
        <v>dom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DATE(Configurações!$B$3,4,12)</f>
        <v>46124</v>
      </c>
      <c r="B269" s="2" t="str">
        <f t="shared" si="4"/>
        <v>dom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DATE(Configurações!$B$3,4,12)</f>
        <v>46124</v>
      </c>
      <c r="B270" s="2" t="str">
        <f t="shared" si="4"/>
        <v>dom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DATE(Configurações!$B$3,4,12)</f>
        <v>46124</v>
      </c>
      <c r="B271" s="2" t="str">
        <f t="shared" si="4"/>
        <v>dom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DATE(Configurações!$B$3,4,12)</f>
        <v>46124</v>
      </c>
      <c r="B272" s="2" t="str">
        <f t="shared" si="4"/>
        <v>dom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DATE(Configurações!$B$3,4,12)</f>
        <v>46124</v>
      </c>
      <c r="B273" s="2" t="str">
        <f t="shared" si="4"/>
        <v>dom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DATE(Configurações!$B$3,4,12)</f>
        <v>46124</v>
      </c>
      <c r="B274" s="2" t="str">
        <f t="shared" si="4"/>
        <v>dom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DATE(Configurações!$B$3,4,12)</f>
        <v>46124</v>
      </c>
      <c r="B275" s="2" t="str">
        <f t="shared" si="4"/>
        <v>dom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DATE(Configurações!$B$3,4,12)</f>
        <v>46124</v>
      </c>
      <c r="B276" s="2" t="str">
        <f t="shared" si="4"/>
        <v>dom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DATE(Configurações!$B$3,4,12)</f>
        <v>46124</v>
      </c>
      <c r="B277" s="2" t="str">
        <f t="shared" si="4"/>
        <v>dom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DATE(Configurações!$B$3,4,12)</f>
        <v>46124</v>
      </c>
      <c r="B278" s="2" t="str">
        <f t="shared" si="4"/>
        <v>dom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DATE(Configurações!$B$3,4,12)</f>
        <v>46124</v>
      </c>
      <c r="B279" s="2" t="str">
        <f t="shared" si="4"/>
        <v>dom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DATE(Configurações!$B$3,4,12)</f>
        <v>46124</v>
      </c>
      <c r="B280" s="2" t="str">
        <f t="shared" si="4"/>
        <v>dom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DATE(Configurações!$B$3,4,12)</f>
        <v>46124</v>
      </c>
      <c r="B281" s="2" t="str">
        <f t="shared" si="4"/>
        <v>dom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DATE(Configurações!$B$3,4,13)</f>
        <v>46125</v>
      </c>
      <c r="B282" s="2" t="str">
        <f t="shared" si="4"/>
        <v>seg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DATE(Configurações!$B$3,4,13)</f>
        <v>46125</v>
      </c>
      <c r="B283" s="2" t="str">
        <f t="shared" si="4"/>
        <v>seg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DATE(Configurações!$B$3,4,13)</f>
        <v>46125</v>
      </c>
      <c r="B284" s="2" t="str">
        <f t="shared" si="4"/>
        <v>seg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DATE(Configurações!$B$3,4,13)</f>
        <v>46125</v>
      </c>
      <c r="B285" s="2" t="str">
        <f t="shared" si="4"/>
        <v>seg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DATE(Configurações!$B$3,4,13)</f>
        <v>46125</v>
      </c>
      <c r="B286" s="2" t="str">
        <f t="shared" si="4"/>
        <v>seg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DATE(Configurações!$B$3,4,13)</f>
        <v>46125</v>
      </c>
      <c r="B287" s="2" t="str">
        <f t="shared" si="4"/>
        <v>seg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DATE(Configurações!$B$3,4,13)</f>
        <v>46125</v>
      </c>
      <c r="B288" s="2" t="str">
        <f t="shared" si="4"/>
        <v>seg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DATE(Configurações!$B$3,4,13)</f>
        <v>46125</v>
      </c>
      <c r="B289" s="2" t="str">
        <f t="shared" si="4"/>
        <v>seg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DATE(Configurações!$B$3,4,13)</f>
        <v>46125</v>
      </c>
      <c r="B290" s="2" t="str">
        <f t="shared" si="4"/>
        <v>seg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DATE(Configurações!$B$3,4,13)</f>
        <v>46125</v>
      </c>
      <c r="B291" s="2" t="str">
        <f t="shared" si="4"/>
        <v>seg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DATE(Configurações!$B$3,4,13)</f>
        <v>46125</v>
      </c>
      <c r="B292" s="2" t="str">
        <f t="shared" si="4"/>
        <v>seg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DATE(Configurações!$B$3,4,13)</f>
        <v>46125</v>
      </c>
      <c r="B293" s="2" t="str">
        <f t="shared" si="4"/>
        <v>seg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DATE(Configurações!$B$3,4,13)</f>
        <v>46125</v>
      </c>
      <c r="B294" s="2" t="str">
        <f t="shared" si="4"/>
        <v>seg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DATE(Configurações!$B$3,4,13)</f>
        <v>46125</v>
      </c>
      <c r="B295" s="2" t="str">
        <f t="shared" si="4"/>
        <v>seg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DATE(Configurações!$B$3,4,13)</f>
        <v>46125</v>
      </c>
      <c r="B296" s="2" t="str">
        <f t="shared" si="4"/>
        <v>seg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DATE(Configurações!$B$3,4,13)</f>
        <v>46125</v>
      </c>
      <c r="B297" s="2" t="str">
        <f t="shared" si="4"/>
        <v>seg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DATE(Configurações!$B$3,4,13)</f>
        <v>46125</v>
      </c>
      <c r="B298" s="2" t="str">
        <f t="shared" si="4"/>
        <v>seg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DATE(Configurações!$B$3,4,13)</f>
        <v>46125</v>
      </c>
      <c r="B299" s="2" t="str">
        <f t="shared" si="4"/>
        <v>seg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DATE(Configurações!$B$3,4,13)</f>
        <v>46125</v>
      </c>
      <c r="B300" s="2" t="str">
        <f t="shared" si="4"/>
        <v>seg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DATE(Configurações!$B$3,4,13)</f>
        <v>46125</v>
      </c>
      <c r="B301" s="2" t="str">
        <f t="shared" si="4"/>
        <v>seg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DATE(Configurações!$B$3,4,13)</f>
        <v>46125</v>
      </c>
      <c r="B302" s="2" t="str">
        <f t="shared" si="4"/>
        <v>seg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DATE(Configurações!$B$3,4,13)</f>
        <v>46125</v>
      </c>
      <c r="B303" s="2" t="str">
        <f t="shared" si="4"/>
        <v>seg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DATE(Configurações!$B$3,4,13)</f>
        <v>46125</v>
      </c>
      <c r="B304" s="2" t="str">
        <f t="shared" si="4"/>
        <v>seg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DATE(Configurações!$B$3,4,14)</f>
        <v>46126</v>
      </c>
      <c r="B305" s="2" t="str">
        <f t="shared" si="4"/>
        <v>ter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DATE(Configurações!$B$3,4,14)</f>
        <v>46126</v>
      </c>
      <c r="B306" s="2" t="str">
        <f t="shared" si="4"/>
        <v>ter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DATE(Configurações!$B$3,4,14)</f>
        <v>46126</v>
      </c>
      <c r="B307" s="2" t="str">
        <f t="shared" si="4"/>
        <v>ter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DATE(Configurações!$B$3,4,14)</f>
        <v>46126</v>
      </c>
      <c r="B308" s="2" t="str">
        <f t="shared" si="4"/>
        <v>ter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DATE(Configurações!$B$3,4,14)</f>
        <v>46126</v>
      </c>
      <c r="B309" s="2" t="str">
        <f t="shared" si="4"/>
        <v>ter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DATE(Configurações!$B$3,4,14)</f>
        <v>46126</v>
      </c>
      <c r="B310" s="2" t="str">
        <f t="shared" si="4"/>
        <v>ter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DATE(Configurações!$B$3,4,14)</f>
        <v>46126</v>
      </c>
      <c r="B311" s="2" t="str">
        <f t="shared" si="4"/>
        <v>ter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DATE(Configurações!$B$3,4,14)</f>
        <v>46126</v>
      </c>
      <c r="B312" s="2" t="str">
        <f t="shared" si="4"/>
        <v>ter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DATE(Configurações!$B$3,4,14)</f>
        <v>46126</v>
      </c>
      <c r="B313" s="2" t="str">
        <f t="shared" si="4"/>
        <v>ter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DATE(Configurações!$B$3,4,14)</f>
        <v>46126</v>
      </c>
      <c r="B314" s="2" t="str">
        <f t="shared" si="4"/>
        <v>ter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DATE(Configurações!$B$3,4,14)</f>
        <v>46126</v>
      </c>
      <c r="B315" s="2" t="str">
        <f t="shared" si="4"/>
        <v>ter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DATE(Configurações!$B$3,4,14)</f>
        <v>46126</v>
      </c>
      <c r="B316" s="2" t="str">
        <f t="shared" si="4"/>
        <v>ter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DATE(Configurações!$B$3,4,14)</f>
        <v>46126</v>
      </c>
      <c r="B317" s="2" t="str">
        <f t="shared" si="4"/>
        <v>ter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DATE(Configurações!$B$3,4,14)</f>
        <v>46126</v>
      </c>
      <c r="B318" s="2" t="str">
        <f t="shared" si="4"/>
        <v>ter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DATE(Configurações!$B$3,4,14)</f>
        <v>46126</v>
      </c>
      <c r="B319" s="2" t="str">
        <f t="shared" si="4"/>
        <v>ter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DATE(Configurações!$B$3,4,14)</f>
        <v>46126</v>
      </c>
      <c r="B320" s="2" t="str">
        <f t="shared" si="4"/>
        <v>ter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DATE(Configurações!$B$3,4,14)</f>
        <v>46126</v>
      </c>
      <c r="B321" s="2" t="str">
        <f t="shared" si="4"/>
        <v>ter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DATE(Configurações!$B$3,4,14)</f>
        <v>46126</v>
      </c>
      <c r="B322" s="2" t="str">
        <f t="shared" si="4"/>
        <v>ter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DATE(Configurações!$B$3,4,14)</f>
        <v>46126</v>
      </c>
      <c r="B323" s="2" t="str">
        <f t="shared" si="4"/>
        <v>ter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DATE(Configurações!$B$3,4,14)</f>
        <v>46126</v>
      </c>
      <c r="B324" s="2" t="str">
        <f t="shared" si="4"/>
        <v>ter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DATE(Configurações!$B$3,4,14)</f>
        <v>46126</v>
      </c>
      <c r="B325" s="2" t="str">
        <f t="shared" si="4"/>
        <v>ter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DATE(Configurações!$B$3,4,14)</f>
        <v>46126</v>
      </c>
      <c r="B326" s="2" t="str">
        <f t="shared" ref="B326:B389" si="5">TEXT(A326,"ddd")</f>
        <v>ter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DATE(Configurações!$B$3,4,14)</f>
        <v>46126</v>
      </c>
      <c r="B327" s="2" t="str">
        <f t="shared" si="5"/>
        <v>ter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DATE(Configurações!$B$3,4,15)</f>
        <v>46127</v>
      </c>
      <c r="B328" s="2" t="str">
        <f t="shared" si="5"/>
        <v>qua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DATE(Configurações!$B$3,4,15)</f>
        <v>46127</v>
      </c>
      <c r="B329" s="2" t="str">
        <f t="shared" si="5"/>
        <v>qua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DATE(Configurações!$B$3,4,15)</f>
        <v>46127</v>
      </c>
      <c r="B330" s="2" t="str">
        <f t="shared" si="5"/>
        <v>qua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DATE(Configurações!$B$3,4,15)</f>
        <v>46127</v>
      </c>
      <c r="B331" s="2" t="str">
        <f t="shared" si="5"/>
        <v>qua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DATE(Configurações!$B$3,4,15)</f>
        <v>46127</v>
      </c>
      <c r="B332" s="2" t="str">
        <f t="shared" si="5"/>
        <v>qua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DATE(Configurações!$B$3,4,15)</f>
        <v>46127</v>
      </c>
      <c r="B333" s="2" t="str">
        <f t="shared" si="5"/>
        <v>qua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DATE(Configurações!$B$3,4,15)</f>
        <v>46127</v>
      </c>
      <c r="B334" s="2" t="str">
        <f t="shared" si="5"/>
        <v>qua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DATE(Configurações!$B$3,4,15)</f>
        <v>46127</v>
      </c>
      <c r="B335" s="2" t="str">
        <f t="shared" si="5"/>
        <v>qua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DATE(Configurações!$B$3,4,15)</f>
        <v>46127</v>
      </c>
      <c r="B336" s="2" t="str">
        <f t="shared" si="5"/>
        <v>qua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DATE(Configurações!$B$3,4,15)</f>
        <v>46127</v>
      </c>
      <c r="B337" s="2" t="str">
        <f t="shared" si="5"/>
        <v>qua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DATE(Configurações!$B$3,4,15)</f>
        <v>46127</v>
      </c>
      <c r="B338" s="2" t="str">
        <f t="shared" si="5"/>
        <v>qua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DATE(Configurações!$B$3,4,15)</f>
        <v>46127</v>
      </c>
      <c r="B339" s="2" t="str">
        <f t="shared" si="5"/>
        <v>qua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DATE(Configurações!$B$3,4,15)</f>
        <v>46127</v>
      </c>
      <c r="B340" s="2" t="str">
        <f t="shared" si="5"/>
        <v>qua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DATE(Configurações!$B$3,4,15)</f>
        <v>46127</v>
      </c>
      <c r="B341" s="2" t="str">
        <f t="shared" si="5"/>
        <v>qua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DATE(Configurações!$B$3,4,15)</f>
        <v>46127</v>
      </c>
      <c r="B342" s="2" t="str">
        <f t="shared" si="5"/>
        <v>qua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DATE(Configurações!$B$3,4,15)</f>
        <v>46127</v>
      </c>
      <c r="B343" s="2" t="str">
        <f t="shared" si="5"/>
        <v>qua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DATE(Configurações!$B$3,4,15)</f>
        <v>46127</v>
      </c>
      <c r="B344" s="2" t="str">
        <f t="shared" si="5"/>
        <v>qua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DATE(Configurações!$B$3,4,15)</f>
        <v>46127</v>
      </c>
      <c r="B345" s="2" t="str">
        <f t="shared" si="5"/>
        <v>qua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DATE(Configurações!$B$3,4,15)</f>
        <v>46127</v>
      </c>
      <c r="B346" s="2" t="str">
        <f t="shared" si="5"/>
        <v>qua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DATE(Configurações!$B$3,4,15)</f>
        <v>46127</v>
      </c>
      <c r="B347" s="2" t="str">
        <f t="shared" si="5"/>
        <v>qua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DATE(Configurações!$B$3,4,15)</f>
        <v>46127</v>
      </c>
      <c r="B348" s="2" t="str">
        <f t="shared" si="5"/>
        <v>qua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DATE(Configurações!$B$3,4,15)</f>
        <v>46127</v>
      </c>
      <c r="B349" s="2" t="str">
        <f t="shared" si="5"/>
        <v>qua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DATE(Configurações!$B$3,4,15)</f>
        <v>46127</v>
      </c>
      <c r="B350" s="2" t="str">
        <f t="shared" si="5"/>
        <v>qua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DATE(Configurações!$B$3,4,16)</f>
        <v>46128</v>
      </c>
      <c r="B351" s="2" t="str">
        <f t="shared" si="5"/>
        <v>qui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DATE(Configurações!$B$3,4,16)</f>
        <v>46128</v>
      </c>
      <c r="B352" s="2" t="str">
        <f t="shared" si="5"/>
        <v>qui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DATE(Configurações!$B$3,4,16)</f>
        <v>46128</v>
      </c>
      <c r="B353" s="2" t="str">
        <f t="shared" si="5"/>
        <v>qui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DATE(Configurações!$B$3,4,16)</f>
        <v>46128</v>
      </c>
      <c r="B354" s="2" t="str">
        <f t="shared" si="5"/>
        <v>qui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DATE(Configurações!$B$3,4,16)</f>
        <v>46128</v>
      </c>
      <c r="B355" s="2" t="str">
        <f t="shared" si="5"/>
        <v>qui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DATE(Configurações!$B$3,4,16)</f>
        <v>46128</v>
      </c>
      <c r="B356" s="2" t="str">
        <f t="shared" si="5"/>
        <v>qui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DATE(Configurações!$B$3,4,16)</f>
        <v>46128</v>
      </c>
      <c r="B357" s="2" t="str">
        <f t="shared" si="5"/>
        <v>qui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DATE(Configurações!$B$3,4,16)</f>
        <v>46128</v>
      </c>
      <c r="B358" s="2" t="str">
        <f t="shared" si="5"/>
        <v>qui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DATE(Configurações!$B$3,4,16)</f>
        <v>46128</v>
      </c>
      <c r="B359" s="2" t="str">
        <f t="shared" si="5"/>
        <v>qui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DATE(Configurações!$B$3,4,16)</f>
        <v>46128</v>
      </c>
      <c r="B360" s="2" t="str">
        <f t="shared" si="5"/>
        <v>qui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DATE(Configurações!$B$3,4,16)</f>
        <v>46128</v>
      </c>
      <c r="B361" s="2" t="str">
        <f t="shared" si="5"/>
        <v>qui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DATE(Configurações!$B$3,4,16)</f>
        <v>46128</v>
      </c>
      <c r="B362" s="2" t="str">
        <f t="shared" si="5"/>
        <v>qui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DATE(Configurações!$B$3,4,16)</f>
        <v>46128</v>
      </c>
      <c r="B363" s="2" t="str">
        <f t="shared" si="5"/>
        <v>qui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DATE(Configurações!$B$3,4,16)</f>
        <v>46128</v>
      </c>
      <c r="B364" s="2" t="str">
        <f t="shared" si="5"/>
        <v>qui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DATE(Configurações!$B$3,4,16)</f>
        <v>46128</v>
      </c>
      <c r="B365" s="2" t="str">
        <f t="shared" si="5"/>
        <v>qui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DATE(Configurações!$B$3,4,16)</f>
        <v>46128</v>
      </c>
      <c r="B366" s="2" t="str">
        <f t="shared" si="5"/>
        <v>qui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DATE(Configurações!$B$3,4,16)</f>
        <v>46128</v>
      </c>
      <c r="B367" s="2" t="str">
        <f t="shared" si="5"/>
        <v>qui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DATE(Configurações!$B$3,4,16)</f>
        <v>46128</v>
      </c>
      <c r="B368" s="2" t="str">
        <f t="shared" si="5"/>
        <v>qui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DATE(Configurações!$B$3,4,16)</f>
        <v>46128</v>
      </c>
      <c r="B369" s="2" t="str">
        <f t="shared" si="5"/>
        <v>qui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DATE(Configurações!$B$3,4,16)</f>
        <v>46128</v>
      </c>
      <c r="B370" s="2" t="str">
        <f t="shared" si="5"/>
        <v>qui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DATE(Configurações!$B$3,4,16)</f>
        <v>46128</v>
      </c>
      <c r="B371" s="2" t="str">
        <f t="shared" si="5"/>
        <v>qui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DATE(Configurações!$B$3,4,16)</f>
        <v>46128</v>
      </c>
      <c r="B372" s="2" t="str">
        <f t="shared" si="5"/>
        <v>qui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DATE(Configurações!$B$3,4,16)</f>
        <v>46128</v>
      </c>
      <c r="B373" s="2" t="str">
        <f t="shared" si="5"/>
        <v>qui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DATE(Configurações!$B$3,4,17)</f>
        <v>46129</v>
      </c>
      <c r="B374" s="2" t="str">
        <f t="shared" si="5"/>
        <v>sex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DATE(Configurações!$B$3,4,17)</f>
        <v>46129</v>
      </c>
      <c r="B375" s="2" t="str">
        <f t="shared" si="5"/>
        <v>sex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DATE(Configurações!$B$3,4,17)</f>
        <v>46129</v>
      </c>
      <c r="B376" s="2" t="str">
        <f t="shared" si="5"/>
        <v>sex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DATE(Configurações!$B$3,4,17)</f>
        <v>46129</v>
      </c>
      <c r="B377" s="2" t="str">
        <f t="shared" si="5"/>
        <v>sex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DATE(Configurações!$B$3,4,17)</f>
        <v>46129</v>
      </c>
      <c r="B378" s="2" t="str">
        <f t="shared" si="5"/>
        <v>sex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DATE(Configurações!$B$3,4,17)</f>
        <v>46129</v>
      </c>
      <c r="B379" s="2" t="str">
        <f t="shared" si="5"/>
        <v>sex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DATE(Configurações!$B$3,4,17)</f>
        <v>46129</v>
      </c>
      <c r="B380" s="2" t="str">
        <f t="shared" si="5"/>
        <v>sex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DATE(Configurações!$B$3,4,17)</f>
        <v>46129</v>
      </c>
      <c r="B381" s="2" t="str">
        <f t="shared" si="5"/>
        <v>sex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DATE(Configurações!$B$3,4,17)</f>
        <v>46129</v>
      </c>
      <c r="B382" s="2" t="str">
        <f t="shared" si="5"/>
        <v>sex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DATE(Configurações!$B$3,4,17)</f>
        <v>46129</v>
      </c>
      <c r="B383" s="2" t="str">
        <f t="shared" si="5"/>
        <v>sex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DATE(Configurações!$B$3,4,17)</f>
        <v>46129</v>
      </c>
      <c r="B384" s="2" t="str">
        <f t="shared" si="5"/>
        <v>sex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DATE(Configurações!$B$3,4,17)</f>
        <v>46129</v>
      </c>
      <c r="B385" s="2" t="str">
        <f t="shared" si="5"/>
        <v>sex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DATE(Configurações!$B$3,4,17)</f>
        <v>46129</v>
      </c>
      <c r="B386" s="2" t="str">
        <f t="shared" si="5"/>
        <v>sex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DATE(Configurações!$B$3,4,17)</f>
        <v>46129</v>
      </c>
      <c r="B387" s="2" t="str">
        <f t="shared" si="5"/>
        <v>sex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DATE(Configurações!$B$3,4,17)</f>
        <v>46129</v>
      </c>
      <c r="B388" s="2" t="str">
        <f t="shared" si="5"/>
        <v>sex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DATE(Configurações!$B$3,4,17)</f>
        <v>46129</v>
      </c>
      <c r="B389" s="2" t="str">
        <f t="shared" si="5"/>
        <v>sex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DATE(Configurações!$B$3,4,17)</f>
        <v>46129</v>
      </c>
      <c r="B390" s="2" t="str">
        <f t="shared" ref="B390:B453" si="6">TEXT(A390,"ddd")</f>
        <v>sex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DATE(Configurações!$B$3,4,17)</f>
        <v>46129</v>
      </c>
      <c r="B391" s="2" t="str">
        <f t="shared" si="6"/>
        <v>sex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DATE(Configurações!$B$3,4,17)</f>
        <v>46129</v>
      </c>
      <c r="B392" s="2" t="str">
        <f t="shared" si="6"/>
        <v>sex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DATE(Configurações!$B$3,4,17)</f>
        <v>46129</v>
      </c>
      <c r="B393" s="2" t="str">
        <f t="shared" si="6"/>
        <v>sex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DATE(Configurações!$B$3,4,17)</f>
        <v>46129</v>
      </c>
      <c r="B394" s="2" t="str">
        <f t="shared" si="6"/>
        <v>sex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DATE(Configurações!$B$3,4,17)</f>
        <v>46129</v>
      </c>
      <c r="B395" s="2" t="str">
        <f t="shared" si="6"/>
        <v>sex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DATE(Configurações!$B$3,4,17)</f>
        <v>46129</v>
      </c>
      <c r="B396" s="2" t="str">
        <f t="shared" si="6"/>
        <v>sex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DATE(Configurações!$B$3,4,18)</f>
        <v>46130</v>
      </c>
      <c r="B397" s="2" t="str">
        <f t="shared" si="6"/>
        <v>sáb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DATE(Configurações!$B$3,4,18)</f>
        <v>46130</v>
      </c>
      <c r="B398" s="2" t="str">
        <f t="shared" si="6"/>
        <v>sáb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DATE(Configurações!$B$3,4,18)</f>
        <v>46130</v>
      </c>
      <c r="B399" s="2" t="str">
        <f t="shared" si="6"/>
        <v>sáb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DATE(Configurações!$B$3,4,18)</f>
        <v>46130</v>
      </c>
      <c r="B400" s="2" t="str">
        <f t="shared" si="6"/>
        <v>sáb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DATE(Configurações!$B$3,4,18)</f>
        <v>46130</v>
      </c>
      <c r="B401" s="2" t="str">
        <f t="shared" si="6"/>
        <v>sáb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DATE(Configurações!$B$3,4,18)</f>
        <v>46130</v>
      </c>
      <c r="B402" s="2" t="str">
        <f t="shared" si="6"/>
        <v>sáb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DATE(Configurações!$B$3,4,18)</f>
        <v>46130</v>
      </c>
      <c r="B403" s="2" t="str">
        <f t="shared" si="6"/>
        <v>sáb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DATE(Configurações!$B$3,4,18)</f>
        <v>46130</v>
      </c>
      <c r="B404" s="2" t="str">
        <f t="shared" si="6"/>
        <v>sáb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DATE(Configurações!$B$3,4,18)</f>
        <v>46130</v>
      </c>
      <c r="B405" s="2" t="str">
        <f t="shared" si="6"/>
        <v>sáb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DATE(Configurações!$B$3,4,18)</f>
        <v>46130</v>
      </c>
      <c r="B406" s="2" t="str">
        <f t="shared" si="6"/>
        <v>sáb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DATE(Configurações!$B$3,4,18)</f>
        <v>46130</v>
      </c>
      <c r="B407" s="2" t="str">
        <f t="shared" si="6"/>
        <v>sáb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DATE(Configurações!$B$3,4,18)</f>
        <v>46130</v>
      </c>
      <c r="B408" s="2" t="str">
        <f t="shared" si="6"/>
        <v>sáb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DATE(Configurações!$B$3,4,18)</f>
        <v>46130</v>
      </c>
      <c r="B409" s="2" t="str">
        <f t="shared" si="6"/>
        <v>sáb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DATE(Configurações!$B$3,4,18)</f>
        <v>46130</v>
      </c>
      <c r="B410" s="2" t="str">
        <f t="shared" si="6"/>
        <v>sáb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DATE(Configurações!$B$3,4,18)</f>
        <v>46130</v>
      </c>
      <c r="B411" s="2" t="str">
        <f t="shared" si="6"/>
        <v>sáb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DATE(Configurações!$B$3,4,18)</f>
        <v>46130</v>
      </c>
      <c r="B412" s="2" t="str">
        <f t="shared" si="6"/>
        <v>sáb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DATE(Configurações!$B$3,4,18)</f>
        <v>46130</v>
      </c>
      <c r="B413" s="2" t="str">
        <f t="shared" si="6"/>
        <v>sáb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DATE(Configurações!$B$3,4,18)</f>
        <v>46130</v>
      </c>
      <c r="B414" s="2" t="str">
        <f t="shared" si="6"/>
        <v>sáb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DATE(Configurações!$B$3,4,18)</f>
        <v>46130</v>
      </c>
      <c r="B415" s="2" t="str">
        <f t="shared" si="6"/>
        <v>sáb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DATE(Configurações!$B$3,4,18)</f>
        <v>46130</v>
      </c>
      <c r="B416" s="2" t="str">
        <f t="shared" si="6"/>
        <v>sáb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DATE(Configurações!$B$3,4,18)</f>
        <v>46130</v>
      </c>
      <c r="B417" s="2" t="str">
        <f t="shared" si="6"/>
        <v>sáb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DATE(Configurações!$B$3,4,18)</f>
        <v>46130</v>
      </c>
      <c r="B418" s="2" t="str">
        <f t="shared" si="6"/>
        <v>sáb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DATE(Configurações!$B$3,4,18)</f>
        <v>46130</v>
      </c>
      <c r="B419" s="2" t="str">
        <f t="shared" si="6"/>
        <v>sáb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DATE(Configurações!$B$3,4,19)</f>
        <v>46131</v>
      </c>
      <c r="B420" s="2" t="str">
        <f t="shared" si="6"/>
        <v>dom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DATE(Configurações!$B$3,4,19)</f>
        <v>46131</v>
      </c>
      <c r="B421" s="2" t="str">
        <f t="shared" si="6"/>
        <v>dom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DATE(Configurações!$B$3,4,19)</f>
        <v>46131</v>
      </c>
      <c r="B422" s="2" t="str">
        <f t="shared" si="6"/>
        <v>dom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DATE(Configurações!$B$3,4,19)</f>
        <v>46131</v>
      </c>
      <c r="B423" s="2" t="str">
        <f t="shared" si="6"/>
        <v>dom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DATE(Configurações!$B$3,4,19)</f>
        <v>46131</v>
      </c>
      <c r="B424" s="2" t="str">
        <f t="shared" si="6"/>
        <v>dom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DATE(Configurações!$B$3,4,19)</f>
        <v>46131</v>
      </c>
      <c r="B425" s="2" t="str">
        <f t="shared" si="6"/>
        <v>dom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DATE(Configurações!$B$3,4,19)</f>
        <v>46131</v>
      </c>
      <c r="B426" s="2" t="str">
        <f t="shared" si="6"/>
        <v>dom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DATE(Configurações!$B$3,4,19)</f>
        <v>46131</v>
      </c>
      <c r="B427" s="2" t="str">
        <f t="shared" si="6"/>
        <v>dom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DATE(Configurações!$B$3,4,19)</f>
        <v>46131</v>
      </c>
      <c r="B428" s="2" t="str">
        <f t="shared" si="6"/>
        <v>dom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DATE(Configurações!$B$3,4,19)</f>
        <v>46131</v>
      </c>
      <c r="B429" s="2" t="str">
        <f t="shared" si="6"/>
        <v>dom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DATE(Configurações!$B$3,4,19)</f>
        <v>46131</v>
      </c>
      <c r="B430" s="2" t="str">
        <f t="shared" si="6"/>
        <v>dom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DATE(Configurações!$B$3,4,19)</f>
        <v>46131</v>
      </c>
      <c r="B431" s="2" t="str">
        <f t="shared" si="6"/>
        <v>dom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DATE(Configurações!$B$3,4,19)</f>
        <v>46131</v>
      </c>
      <c r="B432" s="2" t="str">
        <f t="shared" si="6"/>
        <v>dom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DATE(Configurações!$B$3,4,19)</f>
        <v>46131</v>
      </c>
      <c r="B433" s="2" t="str">
        <f t="shared" si="6"/>
        <v>dom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DATE(Configurações!$B$3,4,19)</f>
        <v>46131</v>
      </c>
      <c r="B434" s="2" t="str">
        <f t="shared" si="6"/>
        <v>dom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DATE(Configurações!$B$3,4,19)</f>
        <v>46131</v>
      </c>
      <c r="B435" s="2" t="str">
        <f t="shared" si="6"/>
        <v>dom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DATE(Configurações!$B$3,4,19)</f>
        <v>46131</v>
      </c>
      <c r="B436" s="2" t="str">
        <f t="shared" si="6"/>
        <v>dom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DATE(Configurações!$B$3,4,19)</f>
        <v>46131</v>
      </c>
      <c r="B437" s="2" t="str">
        <f t="shared" si="6"/>
        <v>dom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DATE(Configurações!$B$3,4,19)</f>
        <v>46131</v>
      </c>
      <c r="B438" s="2" t="str">
        <f t="shared" si="6"/>
        <v>dom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DATE(Configurações!$B$3,4,19)</f>
        <v>46131</v>
      </c>
      <c r="B439" s="2" t="str">
        <f t="shared" si="6"/>
        <v>dom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DATE(Configurações!$B$3,4,19)</f>
        <v>46131</v>
      </c>
      <c r="B440" s="2" t="str">
        <f t="shared" si="6"/>
        <v>dom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DATE(Configurações!$B$3,4,19)</f>
        <v>46131</v>
      </c>
      <c r="B441" s="2" t="str">
        <f t="shared" si="6"/>
        <v>dom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DATE(Configurações!$B$3,4,19)</f>
        <v>46131</v>
      </c>
      <c r="B442" s="2" t="str">
        <f t="shared" si="6"/>
        <v>dom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DATE(Configurações!$B$3,4,20)</f>
        <v>46132</v>
      </c>
      <c r="B443" s="2" t="str">
        <f t="shared" si="6"/>
        <v>seg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DATE(Configurações!$B$3,4,20)</f>
        <v>46132</v>
      </c>
      <c r="B444" s="2" t="str">
        <f t="shared" si="6"/>
        <v>seg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DATE(Configurações!$B$3,4,20)</f>
        <v>46132</v>
      </c>
      <c r="B445" s="2" t="str">
        <f t="shared" si="6"/>
        <v>seg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DATE(Configurações!$B$3,4,20)</f>
        <v>46132</v>
      </c>
      <c r="B446" s="2" t="str">
        <f t="shared" si="6"/>
        <v>seg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DATE(Configurações!$B$3,4,20)</f>
        <v>46132</v>
      </c>
      <c r="B447" s="2" t="str">
        <f t="shared" si="6"/>
        <v>seg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DATE(Configurações!$B$3,4,20)</f>
        <v>46132</v>
      </c>
      <c r="B448" s="2" t="str">
        <f t="shared" si="6"/>
        <v>seg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DATE(Configurações!$B$3,4,20)</f>
        <v>46132</v>
      </c>
      <c r="B449" s="2" t="str">
        <f t="shared" si="6"/>
        <v>seg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DATE(Configurações!$B$3,4,20)</f>
        <v>46132</v>
      </c>
      <c r="B450" s="2" t="str">
        <f t="shared" si="6"/>
        <v>seg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DATE(Configurações!$B$3,4,20)</f>
        <v>46132</v>
      </c>
      <c r="B451" s="2" t="str">
        <f t="shared" si="6"/>
        <v>seg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DATE(Configurações!$B$3,4,20)</f>
        <v>46132</v>
      </c>
      <c r="B452" s="2" t="str">
        <f t="shared" si="6"/>
        <v>seg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DATE(Configurações!$B$3,4,20)</f>
        <v>46132</v>
      </c>
      <c r="B453" s="2" t="str">
        <f t="shared" si="6"/>
        <v>seg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DATE(Configurações!$B$3,4,20)</f>
        <v>46132</v>
      </c>
      <c r="B454" s="2" t="str">
        <f t="shared" ref="B454:B517" si="7">TEXT(A454,"ddd")</f>
        <v>seg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DATE(Configurações!$B$3,4,20)</f>
        <v>46132</v>
      </c>
      <c r="B455" s="2" t="str">
        <f t="shared" si="7"/>
        <v>seg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DATE(Configurações!$B$3,4,20)</f>
        <v>46132</v>
      </c>
      <c r="B456" s="2" t="str">
        <f t="shared" si="7"/>
        <v>seg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DATE(Configurações!$B$3,4,20)</f>
        <v>46132</v>
      </c>
      <c r="B457" s="2" t="str">
        <f t="shared" si="7"/>
        <v>seg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DATE(Configurações!$B$3,4,20)</f>
        <v>46132</v>
      </c>
      <c r="B458" s="2" t="str">
        <f t="shared" si="7"/>
        <v>seg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DATE(Configurações!$B$3,4,20)</f>
        <v>46132</v>
      </c>
      <c r="B459" s="2" t="str">
        <f t="shared" si="7"/>
        <v>seg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DATE(Configurações!$B$3,4,20)</f>
        <v>46132</v>
      </c>
      <c r="B460" s="2" t="str">
        <f t="shared" si="7"/>
        <v>seg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DATE(Configurações!$B$3,4,20)</f>
        <v>46132</v>
      </c>
      <c r="B461" s="2" t="str">
        <f t="shared" si="7"/>
        <v>seg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DATE(Configurações!$B$3,4,20)</f>
        <v>46132</v>
      </c>
      <c r="B462" s="2" t="str">
        <f t="shared" si="7"/>
        <v>seg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DATE(Configurações!$B$3,4,20)</f>
        <v>46132</v>
      </c>
      <c r="B463" s="2" t="str">
        <f t="shared" si="7"/>
        <v>seg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DATE(Configurações!$B$3,4,20)</f>
        <v>46132</v>
      </c>
      <c r="B464" s="2" t="str">
        <f t="shared" si="7"/>
        <v>seg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DATE(Configurações!$B$3,4,20)</f>
        <v>46132</v>
      </c>
      <c r="B465" s="2" t="str">
        <f t="shared" si="7"/>
        <v>seg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DATE(Configurações!$B$3,4,21)</f>
        <v>46133</v>
      </c>
      <c r="B466" s="2" t="str">
        <f t="shared" si="7"/>
        <v>ter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DATE(Configurações!$B$3,4,21)</f>
        <v>46133</v>
      </c>
      <c r="B467" s="2" t="str">
        <f t="shared" si="7"/>
        <v>ter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DATE(Configurações!$B$3,4,21)</f>
        <v>46133</v>
      </c>
      <c r="B468" s="2" t="str">
        <f t="shared" si="7"/>
        <v>ter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DATE(Configurações!$B$3,4,21)</f>
        <v>46133</v>
      </c>
      <c r="B469" s="2" t="str">
        <f t="shared" si="7"/>
        <v>ter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DATE(Configurações!$B$3,4,21)</f>
        <v>46133</v>
      </c>
      <c r="B470" s="2" t="str">
        <f t="shared" si="7"/>
        <v>ter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DATE(Configurações!$B$3,4,21)</f>
        <v>46133</v>
      </c>
      <c r="B471" s="2" t="str">
        <f t="shared" si="7"/>
        <v>ter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DATE(Configurações!$B$3,4,21)</f>
        <v>46133</v>
      </c>
      <c r="B472" s="2" t="str">
        <f t="shared" si="7"/>
        <v>ter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DATE(Configurações!$B$3,4,21)</f>
        <v>46133</v>
      </c>
      <c r="B473" s="2" t="str">
        <f t="shared" si="7"/>
        <v>ter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DATE(Configurações!$B$3,4,21)</f>
        <v>46133</v>
      </c>
      <c r="B474" s="2" t="str">
        <f t="shared" si="7"/>
        <v>ter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DATE(Configurações!$B$3,4,21)</f>
        <v>46133</v>
      </c>
      <c r="B475" s="2" t="str">
        <f t="shared" si="7"/>
        <v>ter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DATE(Configurações!$B$3,4,21)</f>
        <v>46133</v>
      </c>
      <c r="B476" s="2" t="str">
        <f t="shared" si="7"/>
        <v>ter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DATE(Configurações!$B$3,4,21)</f>
        <v>46133</v>
      </c>
      <c r="B477" s="2" t="str">
        <f t="shared" si="7"/>
        <v>ter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DATE(Configurações!$B$3,4,21)</f>
        <v>46133</v>
      </c>
      <c r="B478" s="2" t="str">
        <f t="shared" si="7"/>
        <v>ter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DATE(Configurações!$B$3,4,21)</f>
        <v>46133</v>
      </c>
      <c r="B479" s="2" t="str">
        <f t="shared" si="7"/>
        <v>ter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DATE(Configurações!$B$3,4,21)</f>
        <v>46133</v>
      </c>
      <c r="B480" s="2" t="str">
        <f t="shared" si="7"/>
        <v>ter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DATE(Configurações!$B$3,4,21)</f>
        <v>46133</v>
      </c>
      <c r="B481" s="2" t="str">
        <f t="shared" si="7"/>
        <v>ter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DATE(Configurações!$B$3,4,21)</f>
        <v>46133</v>
      </c>
      <c r="B482" s="2" t="str">
        <f t="shared" si="7"/>
        <v>ter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DATE(Configurações!$B$3,4,21)</f>
        <v>46133</v>
      </c>
      <c r="B483" s="2" t="str">
        <f t="shared" si="7"/>
        <v>ter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DATE(Configurações!$B$3,4,21)</f>
        <v>46133</v>
      </c>
      <c r="B484" s="2" t="str">
        <f t="shared" si="7"/>
        <v>ter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DATE(Configurações!$B$3,4,21)</f>
        <v>46133</v>
      </c>
      <c r="B485" s="2" t="str">
        <f t="shared" si="7"/>
        <v>ter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DATE(Configurações!$B$3,4,21)</f>
        <v>46133</v>
      </c>
      <c r="B486" s="2" t="str">
        <f t="shared" si="7"/>
        <v>ter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DATE(Configurações!$B$3,4,21)</f>
        <v>46133</v>
      </c>
      <c r="B487" s="2" t="str">
        <f t="shared" si="7"/>
        <v>ter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DATE(Configurações!$B$3,4,21)</f>
        <v>46133</v>
      </c>
      <c r="B488" s="2" t="str">
        <f t="shared" si="7"/>
        <v>ter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DATE(Configurações!$B$3,4,22)</f>
        <v>46134</v>
      </c>
      <c r="B489" s="2" t="str">
        <f t="shared" si="7"/>
        <v>qua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DATE(Configurações!$B$3,4,22)</f>
        <v>46134</v>
      </c>
      <c r="B490" s="2" t="str">
        <f t="shared" si="7"/>
        <v>qua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DATE(Configurações!$B$3,4,22)</f>
        <v>46134</v>
      </c>
      <c r="B491" s="2" t="str">
        <f t="shared" si="7"/>
        <v>qua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DATE(Configurações!$B$3,4,22)</f>
        <v>46134</v>
      </c>
      <c r="B492" s="2" t="str">
        <f t="shared" si="7"/>
        <v>qua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DATE(Configurações!$B$3,4,22)</f>
        <v>46134</v>
      </c>
      <c r="B493" s="2" t="str">
        <f t="shared" si="7"/>
        <v>qua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DATE(Configurações!$B$3,4,22)</f>
        <v>46134</v>
      </c>
      <c r="B494" s="2" t="str">
        <f t="shared" si="7"/>
        <v>qua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DATE(Configurações!$B$3,4,22)</f>
        <v>46134</v>
      </c>
      <c r="B495" s="2" t="str">
        <f t="shared" si="7"/>
        <v>qua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DATE(Configurações!$B$3,4,22)</f>
        <v>46134</v>
      </c>
      <c r="B496" s="2" t="str">
        <f t="shared" si="7"/>
        <v>qua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DATE(Configurações!$B$3,4,22)</f>
        <v>46134</v>
      </c>
      <c r="B497" s="2" t="str">
        <f t="shared" si="7"/>
        <v>qua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DATE(Configurações!$B$3,4,22)</f>
        <v>46134</v>
      </c>
      <c r="B498" s="2" t="str">
        <f t="shared" si="7"/>
        <v>qua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DATE(Configurações!$B$3,4,22)</f>
        <v>46134</v>
      </c>
      <c r="B499" s="2" t="str">
        <f t="shared" si="7"/>
        <v>qua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DATE(Configurações!$B$3,4,22)</f>
        <v>46134</v>
      </c>
      <c r="B500" s="2" t="str">
        <f t="shared" si="7"/>
        <v>qua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DATE(Configurações!$B$3,4,22)</f>
        <v>46134</v>
      </c>
      <c r="B501" s="2" t="str">
        <f t="shared" si="7"/>
        <v>qua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DATE(Configurações!$B$3,4,22)</f>
        <v>46134</v>
      </c>
      <c r="B502" s="2" t="str">
        <f t="shared" si="7"/>
        <v>qua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DATE(Configurações!$B$3,4,22)</f>
        <v>46134</v>
      </c>
      <c r="B503" s="2" t="str">
        <f t="shared" si="7"/>
        <v>qua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DATE(Configurações!$B$3,4,22)</f>
        <v>46134</v>
      </c>
      <c r="B504" s="2" t="str">
        <f t="shared" si="7"/>
        <v>qua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DATE(Configurações!$B$3,4,22)</f>
        <v>46134</v>
      </c>
      <c r="B505" s="2" t="str">
        <f t="shared" si="7"/>
        <v>qua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DATE(Configurações!$B$3,4,22)</f>
        <v>46134</v>
      </c>
      <c r="B506" s="2" t="str">
        <f t="shared" si="7"/>
        <v>qua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DATE(Configurações!$B$3,4,22)</f>
        <v>46134</v>
      </c>
      <c r="B507" s="2" t="str">
        <f t="shared" si="7"/>
        <v>qua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DATE(Configurações!$B$3,4,22)</f>
        <v>46134</v>
      </c>
      <c r="B508" s="2" t="str">
        <f t="shared" si="7"/>
        <v>qua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DATE(Configurações!$B$3,4,22)</f>
        <v>46134</v>
      </c>
      <c r="B509" s="2" t="str">
        <f t="shared" si="7"/>
        <v>qua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DATE(Configurações!$B$3,4,22)</f>
        <v>46134</v>
      </c>
      <c r="B510" s="2" t="str">
        <f t="shared" si="7"/>
        <v>qua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DATE(Configurações!$B$3,4,22)</f>
        <v>46134</v>
      </c>
      <c r="B511" s="2" t="str">
        <f t="shared" si="7"/>
        <v>qua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DATE(Configurações!$B$3,4,23)</f>
        <v>46135</v>
      </c>
      <c r="B512" s="2" t="str">
        <f t="shared" si="7"/>
        <v>qui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DATE(Configurações!$B$3,4,23)</f>
        <v>46135</v>
      </c>
      <c r="B513" s="2" t="str">
        <f t="shared" si="7"/>
        <v>qui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DATE(Configurações!$B$3,4,23)</f>
        <v>46135</v>
      </c>
      <c r="B514" s="2" t="str">
        <f t="shared" si="7"/>
        <v>qui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DATE(Configurações!$B$3,4,23)</f>
        <v>46135</v>
      </c>
      <c r="B515" s="2" t="str">
        <f t="shared" si="7"/>
        <v>qui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DATE(Configurações!$B$3,4,23)</f>
        <v>46135</v>
      </c>
      <c r="B516" s="2" t="str">
        <f t="shared" si="7"/>
        <v>qui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DATE(Configurações!$B$3,4,23)</f>
        <v>46135</v>
      </c>
      <c r="B517" s="2" t="str">
        <f t="shared" si="7"/>
        <v>qui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DATE(Configurações!$B$3,4,23)</f>
        <v>46135</v>
      </c>
      <c r="B518" s="2" t="str">
        <f t="shared" ref="B518:B581" si="8">TEXT(A518,"ddd")</f>
        <v>qui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DATE(Configurações!$B$3,4,23)</f>
        <v>46135</v>
      </c>
      <c r="B519" s="2" t="str">
        <f t="shared" si="8"/>
        <v>qui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DATE(Configurações!$B$3,4,23)</f>
        <v>46135</v>
      </c>
      <c r="B520" s="2" t="str">
        <f t="shared" si="8"/>
        <v>qui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DATE(Configurações!$B$3,4,23)</f>
        <v>46135</v>
      </c>
      <c r="B521" s="2" t="str">
        <f t="shared" si="8"/>
        <v>qui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DATE(Configurações!$B$3,4,23)</f>
        <v>46135</v>
      </c>
      <c r="B522" s="2" t="str">
        <f t="shared" si="8"/>
        <v>qui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DATE(Configurações!$B$3,4,23)</f>
        <v>46135</v>
      </c>
      <c r="B523" s="2" t="str">
        <f t="shared" si="8"/>
        <v>qui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DATE(Configurações!$B$3,4,23)</f>
        <v>46135</v>
      </c>
      <c r="B524" s="2" t="str">
        <f t="shared" si="8"/>
        <v>qui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DATE(Configurações!$B$3,4,23)</f>
        <v>46135</v>
      </c>
      <c r="B525" s="2" t="str">
        <f t="shared" si="8"/>
        <v>qui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DATE(Configurações!$B$3,4,23)</f>
        <v>46135</v>
      </c>
      <c r="B526" s="2" t="str">
        <f t="shared" si="8"/>
        <v>qui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DATE(Configurações!$B$3,4,23)</f>
        <v>46135</v>
      </c>
      <c r="B527" s="2" t="str">
        <f t="shared" si="8"/>
        <v>qui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DATE(Configurações!$B$3,4,23)</f>
        <v>46135</v>
      </c>
      <c r="B528" s="2" t="str">
        <f t="shared" si="8"/>
        <v>qui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DATE(Configurações!$B$3,4,23)</f>
        <v>46135</v>
      </c>
      <c r="B529" s="2" t="str">
        <f t="shared" si="8"/>
        <v>qui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DATE(Configurações!$B$3,4,23)</f>
        <v>46135</v>
      </c>
      <c r="B530" s="2" t="str">
        <f t="shared" si="8"/>
        <v>qui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DATE(Configurações!$B$3,4,23)</f>
        <v>46135</v>
      </c>
      <c r="B531" s="2" t="str">
        <f t="shared" si="8"/>
        <v>qui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DATE(Configurações!$B$3,4,23)</f>
        <v>46135</v>
      </c>
      <c r="B532" s="2" t="str">
        <f t="shared" si="8"/>
        <v>qui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DATE(Configurações!$B$3,4,23)</f>
        <v>46135</v>
      </c>
      <c r="B533" s="2" t="str">
        <f t="shared" si="8"/>
        <v>qui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DATE(Configurações!$B$3,4,23)</f>
        <v>46135</v>
      </c>
      <c r="B534" s="2" t="str">
        <f t="shared" si="8"/>
        <v>qui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DATE(Configurações!$B$3,4,24)</f>
        <v>46136</v>
      </c>
      <c r="B535" s="2" t="str">
        <f t="shared" si="8"/>
        <v>sex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DATE(Configurações!$B$3,4,24)</f>
        <v>46136</v>
      </c>
      <c r="B536" s="2" t="str">
        <f t="shared" si="8"/>
        <v>sex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DATE(Configurações!$B$3,4,24)</f>
        <v>46136</v>
      </c>
      <c r="B537" s="2" t="str">
        <f t="shared" si="8"/>
        <v>sex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DATE(Configurações!$B$3,4,24)</f>
        <v>46136</v>
      </c>
      <c r="B538" s="2" t="str">
        <f t="shared" si="8"/>
        <v>sex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DATE(Configurações!$B$3,4,24)</f>
        <v>46136</v>
      </c>
      <c r="B539" s="2" t="str">
        <f t="shared" si="8"/>
        <v>sex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DATE(Configurações!$B$3,4,24)</f>
        <v>46136</v>
      </c>
      <c r="B540" s="2" t="str">
        <f t="shared" si="8"/>
        <v>sex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DATE(Configurações!$B$3,4,24)</f>
        <v>46136</v>
      </c>
      <c r="B541" s="2" t="str">
        <f t="shared" si="8"/>
        <v>sex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DATE(Configurações!$B$3,4,24)</f>
        <v>46136</v>
      </c>
      <c r="B542" s="2" t="str">
        <f t="shared" si="8"/>
        <v>sex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DATE(Configurações!$B$3,4,24)</f>
        <v>46136</v>
      </c>
      <c r="B543" s="2" t="str">
        <f t="shared" si="8"/>
        <v>sex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DATE(Configurações!$B$3,4,24)</f>
        <v>46136</v>
      </c>
      <c r="B544" s="2" t="str">
        <f t="shared" si="8"/>
        <v>sex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DATE(Configurações!$B$3,4,24)</f>
        <v>46136</v>
      </c>
      <c r="B545" s="2" t="str">
        <f t="shared" si="8"/>
        <v>sex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DATE(Configurações!$B$3,4,24)</f>
        <v>46136</v>
      </c>
      <c r="B546" s="2" t="str">
        <f t="shared" si="8"/>
        <v>sex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DATE(Configurações!$B$3,4,24)</f>
        <v>46136</v>
      </c>
      <c r="B547" s="2" t="str">
        <f t="shared" si="8"/>
        <v>sex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DATE(Configurações!$B$3,4,24)</f>
        <v>46136</v>
      </c>
      <c r="B548" s="2" t="str">
        <f t="shared" si="8"/>
        <v>sex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DATE(Configurações!$B$3,4,24)</f>
        <v>46136</v>
      </c>
      <c r="B549" s="2" t="str">
        <f t="shared" si="8"/>
        <v>sex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DATE(Configurações!$B$3,4,24)</f>
        <v>46136</v>
      </c>
      <c r="B550" s="2" t="str">
        <f t="shared" si="8"/>
        <v>sex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DATE(Configurações!$B$3,4,24)</f>
        <v>46136</v>
      </c>
      <c r="B551" s="2" t="str">
        <f t="shared" si="8"/>
        <v>sex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DATE(Configurações!$B$3,4,24)</f>
        <v>46136</v>
      </c>
      <c r="B552" s="2" t="str">
        <f t="shared" si="8"/>
        <v>sex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DATE(Configurações!$B$3,4,24)</f>
        <v>46136</v>
      </c>
      <c r="B553" s="2" t="str">
        <f t="shared" si="8"/>
        <v>sex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DATE(Configurações!$B$3,4,24)</f>
        <v>46136</v>
      </c>
      <c r="B554" s="2" t="str">
        <f t="shared" si="8"/>
        <v>sex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DATE(Configurações!$B$3,4,24)</f>
        <v>46136</v>
      </c>
      <c r="B555" s="2" t="str">
        <f t="shared" si="8"/>
        <v>sex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DATE(Configurações!$B$3,4,24)</f>
        <v>46136</v>
      </c>
      <c r="B556" s="2" t="str">
        <f t="shared" si="8"/>
        <v>sex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DATE(Configurações!$B$3,4,24)</f>
        <v>46136</v>
      </c>
      <c r="B557" s="2" t="str">
        <f t="shared" si="8"/>
        <v>sex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DATE(Configurações!$B$3,4,25)</f>
        <v>46137</v>
      </c>
      <c r="B558" s="2" t="str">
        <f t="shared" si="8"/>
        <v>sáb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DATE(Configurações!$B$3,4,25)</f>
        <v>46137</v>
      </c>
      <c r="B559" s="2" t="str">
        <f t="shared" si="8"/>
        <v>sáb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DATE(Configurações!$B$3,4,25)</f>
        <v>46137</v>
      </c>
      <c r="B560" s="2" t="str">
        <f t="shared" si="8"/>
        <v>sáb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DATE(Configurações!$B$3,4,25)</f>
        <v>46137</v>
      </c>
      <c r="B561" s="2" t="str">
        <f t="shared" si="8"/>
        <v>sáb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DATE(Configurações!$B$3,4,25)</f>
        <v>46137</v>
      </c>
      <c r="B562" s="2" t="str">
        <f t="shared" si="8"/>
        <v>sáb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DATE(Configurações!$B$3,4,25)</f>
        <v>46137</v>
      </c>
      <c r="B563" s="2" t="str">
        <f t="shared" si="8"/>
        <v>sáb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DATE(Configurações!$B$3,4,25)</f>
        <v>46137</v>
      </c>
      <c r="B564" s="2" t="str">
        <f t="shared" si="8"/>
        <v>sáb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DATE(Configurações!$B$3,4,25)</f>
        <v>46137</v>
      </c>
      <c r="B565" s="2" t="str">
        <f t="shared" si="8"/>
        <v>sáb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DATE(Configurações!$B$3,4,25)</f>
        <v>46137</v>
      </c>
      <c r="B566" s="2" t="str">
        <f t="shared" si="8"/>
        <v>sáb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DATE(Configurações!$B$3,4,25)</f>
        <v>46137</v>
      </c>
      <c r="B567" s="2" t="str">
        <f t="shared" si="8"/>
        <v>sáb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DATE(Configurações!$B$3,4,25)</f>
        <v>46137</v>
      </c>
      <c r="B568" s="2" t="str">
        <f t="shared" si="8"/>
        <v>sáb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DATE(Configurações!$B$3,4,25)</f>
        <v>46137</v>
      </c>
      <c r="B569" s="2" t="str">
        <f t="shared" si="8"/>
        <v>sáb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DATE(Configurações!$B$3,4,25)</f>
        <v>46137</v>
      </c>
      <c r="B570" s="2" t="str">
        <f t="shared" si="8"/>
        <v>sáb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DATE(Configurações!$B$3,4,25)</f>
        <v>46137</v>
      </c>
      <c r="B571" s="2" t="str">
        <f t="shared" si="8"/>
        <v>sáb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DATE(Configurações!$B$3,4,25)</f>
        <v>46137</v>
      </c>
      <c r="B572" s="2" t="str">
        <f t="shared" si="8"/>
        <v>sáb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DATE(Configurações!$B$3,4,25)</f>
        <v>46137</v>
      </c>
      <c r="B573" s="2" t="str">
        <f t="shared" si="8"/>
        <v>sáb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DATE(Configurações!$B$3,4,25)</f>
        <v>46137</v>
      </c>
      <c r="B574" s="2" t="str">
        <f t="shared" si="8"/>
        <v>sáb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DATE(Configurações!$B$3,4,25)</f>
        <v>46137</v>
      </c>
      <c r="B575" s="2" t="str">
        <f t="shared" si="8"/>
        <v>sáb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DATE(Configurações!$B$3,4,25)</f>
        <v>46137</v>
      </c>
      <c r="B576" s="2" t="str">
        <f t="shared" si="8"/>
        <v>sáb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DATE(Configurações!$B$3,4,25)</f>
        <v>46137</v>
      </c>
      <c r="B577" s="2" t="str">
        <f t="shared" si="8"/>
        <v>sáb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DATE(Configurações!$B$3,4,25)</f>
        <v>46137</v>
      </c>
      <c r="B578" s="2" t="str">
        <f t="shared" si="8"/>
        <v>sáb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DATE(Configurações!$B$3,4,25)</f>
        <v>46137</v>
      </c>
      <c r="B579" s="2" t="str">
        <f t="shared" si="8"/>
        <v>sáb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DATE(Configurações!$B$3,4,25)</f>
        <v>46137</v>
      </c>
      <c r="B580" s="2" t="str">
        <f t="shared" si="8"/>
        <v>sáb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DATE(Configurações!$B$3,4,26)</f>
        <v>46138</v>
      </c>
      <c r="B581" s="2" t="str">
        <f t="shared" si="8"/>
        <v>dom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DATE(Configurações!$B$3,4,26)</f>
        <v>46138</v>
      </c>
      <c r="B582" s="2" t="str">
        <f t="shared" ref="B582:B645" si="9">TEXT(A582,"ddd")</f>
        <v>dom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DATE(Configurações!$B$3,4,26)</f>
        <v>46138</v>
      </c>
      <c r="B583" s="2" t="str">
        <f t="shared" si="9"/>
        <v>dom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DATE(Configurações!$B$3,4,26)</f>
        <v>46138</v>
      </c>
      <c r="B584" s="2" t="str">
        <f t="shared" si="9"/>
        <v>dom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DATE(Configurações!$B$3,4,26)</f>
        <v>46138</v>
      </c>
      <c r="B585" s="2" t="str">
        <f t="shared" si="9"/>
        <v>dom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DATE(Configurações!$B$3,4,26)</f>
        <v>46138</v>
      </c>
      <c r="B586" s="2" t="str">
        <f t="shared" si="9"/>
        <v>dom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DATE(Configurações!$B$3,4,26)</f>
        <v>46138</v>
      </c>
      <c r="B587" s="2" t="str">
        <f t="shared" si="9"/>
        <v>dom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DATE(Configurações!$B$3,4,26)</f>
        <v>46138</v>
      </c>
      <c r="B588" s="2" t="str">
        <f t="shared" si="9"/>
        <v>dom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DATE(Configurações!$B$3,4,26)</f>
        <v>46138</v>
      </c>
      <c r="B589" s="2" t="str">
        <f t="shared" si="9"/>
        <v>dom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DATE(Configurações!$B$3,4,26)</f>
        <v>46138</v>
      </c>
      <c r="B590" s="2" t="str">
        <f t="shared" si="9"/>
        <v>dom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DATE(Configurações!$B$3,4,26)</f>
        <v>46138</v>
      </c>
      <c r="B591" s="2" t="str">
        <f t="shared" si="9"/>
        <v>dom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DATE(Configurações!$B$3,4,26)</f>
        <v>46138</v>
      </c>
      <c r="B592" s="2" t="str">
        <f t="shared" si="9"/>
        <v>dom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DATE(Configurações!$B$3,4,26)</f>
        <v>46138</v>
      </c>
      <c r="B593" s="2" t="str">
        <f t="shared" si="9"/>
        <v>dom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DATE(Configurações!$B$3,4,26)</f>
        <v>46138</v>
      </c>
      <c r="B594" s="2" t="str">
        <f t="shared" si="9"/>
        <v>dom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DATE(Configurações!$B$3,4,26)</f>
        <v>46138</v>
      </c>
      <c r="B595" s="2" t="str">
        <f t="shared" si="9"/>
        <v>dom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DATE(Configurações!$B$3,4,26)</f>
        <v>46138</v>
      </c>
      <c r="B596" s="2" t="str">
        <f t="shared" si="9"/>
        <v>dom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DATE(Configurações!$B$3,4,26)</f>
        <v>46138</v>
      </c>
      <c r="B597" s="2" t="str">
        <f t="shared" si="9"/>
        <v>dom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DATE(Configurações!$B$3,4,26)</f>
        <v>46138</v>
      </c>
      <c r="B598" s="2" t="str">
        <f t="shared" si="9"/>
        <v>dom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DATE(Configurações!$B$3,4,26)</f>
        <v>46138</v>
      </c>
      <c r="B599" s="2" t="str">
        <f t="shared" si="9"/>
        <v>dom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DATE(Configurações!$B$3,4,26)</f>
        <v>46138</v>
      </c>
      <c r="B600" s="2" t="str">
        <f t="shared" si="9"/>
        <v>dom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DATE(Configurações!$B$3,4,26)</f>
        <v>46138</v>
      </c>
      <c r="B601" s="2" t="str">
        <f t="shared" si="9"/>
        <v>dom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DATE(Configurações!$B$3,4,26)</f>
        <v>46138</v>
      </c>
      <c r="B602" s="2" t="str">
        <f t="shared" si="9"/>
        <v>dom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DATE(Configurações!$B$3,4,26)</f>
        <v>46138</v>
      </c>
      <c r="B603" s="2" t="str">
        <f t="shared" si="9"/>
        <v>dom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DATE(Configurações!$B$3,4,27)</f>
        <v>46139</v>
      </c>
      <c r="B604" s="2" t="str">
        <f t="shared" si="9"/>
        <v>seg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DATE(Configurações!$B$3,4,27)</f>
        <v>46139</v>
      </c>
      <c r="B605" s="2" t="str">
        <f t="shared" si="9"/>
        <v>seg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DATE(Configurações!$B$3,4,27)</f>
        <v>46139</v>
      </c>
      <c r="B606" s="2" t="str">
        <f t="shared" si="9"/>
        <v>seg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DATE(Configurações!$B$3,4,27)</f>
        <v>46139</v>
      </c>
      <c r="B607" s="2" t="str">
        <f t="shared" si="9"/>
        <v>seg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DATE(Configurações!$B$3,4,27)</f>
        <v>46139</v>
      </c>
      <c r="B608" s="2" t="str">
        <f t="shared" si="9"/>
        <v>seg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DATE(Configurações!$B$3,4,27)</f>
        <v>46139</v>
      </c>
      <c r="B609" s="2" t="str">
        <f t="shared" si="9"/>
        <v>seg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DATE(Configurações!$B$3,4,27)</f>
        <v>46139</v>
      </c>
      <c r="B610" s="2" t="str">
        <f t="shared" si="9"/>
        <v>seg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DATE(Configurações!$B$3,4,27)</f>
        <v>46139</v>
      </c>
      <c r="B611" s="2" t="str">
        <f t="shared" si="9"/>
        <v>seg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DATE(Configurações!$B$3,4,27)</f>
        <v>46139</v>
      </c>
      <c r="B612" s="2" t="str">
        <f t="shared" si="9"/>
        <v>seg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DATE(Configurações!$B$3,4,27)</f>
        <v>46139</v>
      </c>
      <c r="B613" s="2" t="str">
        <f t="shared" si="9"/>
        <v>seg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DATE(Configurações!$B$3,4,27)</f>
        <v>46139</v>
      </c>
      <c r="B614" s="2" t="str">
        <f t="shared" si="9"/>
        <v>seg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DATE(Configurações!$B$3,4,27)</f>
        <v>46139</v>
      </c>
      <c r="B615" s="2" t="str">
        <f t="shared" si="9"/>
        <v>seg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DATE(Configurações!$B$3,4,27)</f>
        <v>46139</v>
      </c>
      <c r="B616" s="2" t="str">
        <f t="shared" si="9"/>
        <v>seg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DATE(Configurações!$B$3,4,27)</f>
        <v>46139</v>
      </c>
      <c r="B617" s="2" t="str">
        <f t="shared" si="9"/>
        <v>seg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DATE(Configurações!$B$3,4,27)</f>
        <v>46139</v>
      </c>
      <c r="B618" s="2" t="str">
        <f t="shared" si="9"/>
        <v>seg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DATE(Configurações!$B$3,4,27)</f>
        <v>46139</v>
      </c>
      <c r="B619" s="2" t="str">
        <f t="shared" si="9"/>
        <v>seg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DATE(Configurações!$B$3,4,27)</f>
        <v>46139</v>
      </c>
      <c r="B620" s="2" t="str">
        <f t="shared" si="9"/>
        <v>seg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DATE(Configurações!$B$3,4,27)</f>
        <v>46139</v>
      </c>
      <c r="B621" s="2" t="str">
        <f t="shared" si="9"/>
        <v>seg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DATE(Configurações!$B$3,4,27)</f>
        <v>46139</v>
      </c>
      <c r="B622" s="2" t="str">
        <f t="shared" si="9"/>
        <v>seg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DATE(Configurações!$B$3,4,27)</f>
        <v>46139</v>
      </c>
      <c r="B623" s="2" t="str">
        <f t="shared" si="9"/>
        <v>seg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DATE(Configurações!$B$3,4,27)</f>
        <v>46139</v>
      </c>
      <c r="B624" s="2" t="str">
        <f t="shared" si="9"/>
        <v>seg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DATE(Configurações!$B$3,4,27)</f>
        <v>46139</v>
      </c>
      <c r="B625" s="2" t="str">
        <f t="shared" si="9"/>
        <v>seg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DATE(Configurações!$B$3,4,27)</f>
        <v>46139</v>
      </c>
      <c r="B626" s="2" t="str">
        <f t="shared" si="9"/>
        <v>seg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DATE(Configurações!$B$3,4,28)</f>
        <v>46140</v>
      </c>
      <c r="B627" s="2" t="str">
        <f t="shared" si="9"/>
        <v>ter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DATE(Configurações!$B$3,4,28)</f>
        <v>46140</v>
      </c>
      <c r="B628" s="2" t="str">
        <f t="shared" si="9"/>
        <v>ter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DATE(Configurações!$B$3,4,28)</f>
        <v>46140</v>
      </c>
      <c r="B629" s="2" t="str">
        <f t="shared" si="9"/>
        <v>ter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DATE(Configurações!$B$3,4,28)</f>
        <v>46140</v>
      </c>
      <c r="B630" s="2" t="str">
        <f t="shared" si="9"/>
        <v>ter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DATE(Configurações!$B$3,4,28)</f>
        <v>46140</v>
      </c>
      <c r="B631" s="2" t="str">
        <f t="shared" si="9"/>
        <v>ter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DATE(Configurações!$B$3,4,28)</f>
        <v>46140</v>
      </c>
      <c r="B632" s="2" t="str">
        <f t="shared" si="9"/>
        <v>ter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DATE(Configurações!$B$3,4,28)</f>
        <v>46140</v>
      </c>
      <c r="B633" s="2" t="str">
        <f t="shared" si="9"/>
        <v>ter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DATE(Configurações!$B$3,4,28)</f>
        <v>46140</v>
      </c>
      <c r="B634" s="2" t="str">
        <f t="shared" si="9"/>
        <v>ter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DATE(Configurações!$B$3,4,28)</f>
        <v>46140</v>
      </c>
      <c r="B635" s="2" t="str">
        <f t="shared" si="9"/>
        <v>ter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DATE(Configurações!$B$3,4,28)</f>
        <v>46140</v>
      </c>
      <c r="B636" s="2" t="str">
        <f t="shared" si="9"/>
        <v>ter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DATE(Configurações!$B$3,4,28)</f>
        <v>46140</v>
      </c>
      <c r="B637" s="2" t="str">
        <f t="shared" si="9"/>
        <v>ter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DATE(Configurações!$B$3,4,28)</f>
        <v>46140</v>
      </c>
      <c r="B638" s="2" t="str">
        <f t="shared" si="9"/>
        <v>ter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DATE(Configurações!$B$3,4,28)</f>
        <v>46140</v>
      </c>
      <c r="B639" s="2" t="str">
        <f t="shared" si="9"/>
        <v>ter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DATE(Configurações!$B$3,4,28)</f>
        <v>46140</v>
      </c>
      <c r="B640" s="2" t="str">
        <f t="shared" si="9"/>
        <v>ter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DATE(Configurações!$B$3,4,28)</f>
        <v>46140</v>
      </c>
      <c r="B641" s="2" t="str">
        <f t="shared" si="9"/>
        <v>ter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DATE(Configurações!$B$3,4,28)</f>
        <v>46140</v>
      </c>
      <c r="B642" s="2" t="str">
        <f t="shared" si="9"/>
        <v>ter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DATE(Configurações!$B$3,4,28)</f>
        <v>46140</v>
      </c>
      <c r="B643" s="2" t="str">
        <f t="shared" si="9"/>
        <v>ter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DATE(Configurações!$B$3,4,28)</f>
        <v>46140</v>
      </c>
      <c r="B644" s="2" t="str">
        <f t="shared" si="9"/>
        <v>ter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DATE(Configurações!$B$3,4,28)</f>
        <v>46140</v>
      </c>
      <c r="B645" s="2" t="str">
        <f t="shared" si="9"/>
        <v>ter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DATE(Configurações!$B$3,4,28)</f>
        <v>46140</v>
      </c>
      <c r="B646" s="2" t="str">
        <f t="shared" ref="B646:B709" si="10">TEXT(A646,"ddd")</f>
        <v>ter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DATE(Configurações!$B$3,4,28)</f>
        <v>46140</v>
      </c>
      <c r="B647" s="2" t="str">
        <f t="shared" si="10"/>
        <v>ter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DATE(Configurações!$B$3,4,28)</f>
        <v>46140</v>
      </c>
      <c r="B648" s="2" t="str">
        <f t="shared" si="10"/>
        <v>ter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DATE(Configurações!$B$3,4,28)</f>
        <v>46140</v>
      </c>
      <c r="B649" s="2" t="str">
        <f t="shared" si="10"/>
        <v>ter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DATE(Configurações!$B$3,4,29)</f>
        <v>46141</v>
      </c>
      <c r="B650" s="2" t="str">
        <f t="shared" si="10"/>
        <v>qua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DATE(Configurações!$B$3,4,29)</f>
        <v>46141</v>
      </c>
      <c r="B651" s="2" t="str">
        <f t="shared" si="10"/>
        <v>qua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DATE(Configurações!$B$3,4,29)</f>
        <v>46141</v>
      </c>
      <c r="B652" s="2" t="str">
        <f t="shared" si="10"/>
        <v>qua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DATE(Configurações!$B$3,4,29)</f>
        <v>46141</v>
      </c>
      <c r="B653" s="2" t="str">
        <f t="shared" si="10"/>
        <v>qua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DATE(Configurações!$B$3,4,29)</f>
        <v>46141</v>
      </c>
      <c r="B654" s="2" t="str">
        <f t="shared" si="10"/>
        <v>qua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DATE(Configurações!$B$3,4,29)</f>
        <v>46141</v>
      </c>
      <c r="B655" s="2" t="str">
        <f t="shared" si="10"/>
        <v>qua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DATE(Configurações!$B$3,4,29)</f>
        <v>46141</v>
      </c>
      <c r="B656" s="2" t="str">
        <f t="shared" si="10"/>
        <v>qua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DATE(Configurações!$B$3,4,29)</f>
        <v>46141</v>
      </c>
      <c r="B657" s="2" t="str">
        <f t="shared" si="10"/>
        <v>qua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DATE(Configurações!$B$3,4,29)</f>
        <v>46141</v>
      </c>
      <c r="B658" s="2" t="str">
        <f t="shared" si="10"/>
        <v>qua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DATE(Configurações!$B$3,4,29)</f>
        <v>46141</v>
      </c>
      <c r="B659" s="2" t="str">
        <f t="shared" si="10"/>
        <v>qua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DATE(Configurações!$B$3,4,29)</f>
        <v>46141</v>
      </c>
      <c r="B660" s="2" t="str">
        <f t="shared" si="10"/>
        <v>qua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DATE(Configurações!$B$3,4,29)</f>
        <v>46141</v>
      </c>
      <c r="B661" s="2" t="str">
        <f t="shared" si="10"/>
        <v>qua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DATE(Configurações!$B$3,4,29)</f>
        <v>46141</v>
      </c>
      <c r="B662" s="2" t="str">
        <f t="shared" si="10"/>
        <v>qua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DATE(Configurações!$B$3,4,29)</f>
        <v>46141</v>
      </c>
      <c r="B663" s="2" t="str">
        <f t="shared" si="10"/>
        <v>qua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DATE(Configurações!$B$3,4,29)</f>
        <v>46141</v>
      </c>
      <c r="B664" s="2" t="str">
        <f t="shared" si="10"/>
        <v>qua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DATE(Configurações!$B$3,4,29)</f>
        <v>46141</v>
      </c>
      <c r="B665" s="2" t="str">
        <f t="shared" si="10"/>
        <v>qua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DATE(Configurações!$B$3,4,29)</f>
        <v>46141</v>
      </c>
      <c r="B666" s="2" t="str">
        <f t="shared" si="10"/>
        <v>qua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DATE(Configurações!$B$3,4,29)</f>
        <v>46141</v>
      </c>
      <c r="B667" s="2" t="str">
        <f t="shared" si="10"/>
        <v>qua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DATE(Configurações!$B$3,4,29)</f>
        <v>46141</v>
      </c>
      <c r="B668" s="2" t="str">
        <f t="shared" si="10"/>
        <v>qua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DATE(Configurações!$B$3,4,29)</f>
        <v>46141</v>
      </c>
      <c r="B669" s="2" t="str">
        <f t="shared" si="10"/>
        <v>qua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DATE(Configurações!$B$3,4,29)</f>
        <v>46141</v>
      </c>
      <c r="B670" s="2" t="str">
        <f t="shared" si="10"/>
        <v>qua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DATE(Configurações!$B$3,4,29)</f>
        <v>46141</v>
      </c>
      <c r="B671" s="2" t="str">
        <f t="shared" si="10"/>
        <v>qua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DATE(Configurações!$B$3,4,29)</f>
        <v>46141</v>
      </c>
      <c r="B672" s="2" t="str">
        <f t="shared" si="10"/>
        <v>qua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DATE(Configurações!$B$3,4,30)</f>
        <v>46142</v>
      </c>
      <c r="B673" s="2" t="str">
        <f t="shared" si="10"/>
        <v>qui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DATE(Configurações!$B$3,4,30)</f>
        <v>46142</v>
      </c>
      <c r="B674" s="2" t="str">
        <f t="shared" si="10"/>
        <v>qui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DATE(Configurações!$B$3,4,30)</f>
        <v>46142</v>
      </c>
      <c r="B675" s="2" t="str">
        <f t="shared" si="10"/>
        <v>qui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DATE(Configurações!$B$3,4,30)</f>
        <v>46142</v>
      </c>
      <c r="B676" s="2" t="str">
        <f t="shared" si="10"/>
        <v>qui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DATE(Configurações!$B$3,4,30)</f>
        <v>46142</v>
      </c>
      <c r="B677" s="2" t="str">
        <f t="shared" si="10"/>
        <v>qui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DATE(Configurações!$B$3,4,30)</f>
        <v>46142</v>
      </c>
      <c r="B678" s="2" t="str">
        <f t="shared" si="10"/>
        <v>qui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DATE(Configurações!$B$3,4,30)</f>
        <v>46142</v>
      </c>
      <c r="B679" s="2" t="str">
        <f t="shared" si="10"/>
        <v>qui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DATE(Configurações!$B$3,4,30)</f>
        <v>46142</v>
      </c>
      <c r="B680" s="2" t="str">
        <f t="shared" si="10"/>
        <v>qui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DATE(Configurações!$B$3,4,30)</f>
        <v>46142</v>
      </c>
      <c r="B681" s="2" t="str">
        <f t="shared" si="10"/>
        <v>qui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DATE(Configurações!$B$3,4,30)</f>
        <v>46142</v>
      </c>
      <c r="B682" s="2" t="str">
        <f t="shared" si="10"/>
        <v>qui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DATE(Configurações!$B$3,4,30)</f>
        <v>46142</v>
      </c>
      <c r="B683" s="2" t="str">
        <f t="shared" si="10"/>
        <v>qui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DATE(Configurações!$B$3,4,30)</f>
        <v>46142</v>
      </c>
      <c r="B684" s="2" t="str">
        <f t="shared" si="10"/>
        <v>qui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DATE(Configurações!$B$3,4,30)</f>
        <v>46142</v>
      </c>
      <c r="B685" s="2" t="str">
        <f t="shared" si="10"/>
        <v>qui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DATE(Configurações!$B$3,4,30)</f>
        <v>46142</v>
      </c>
      <c r="B686" s="2" t="str">
        <f t="shared" si="10"/>
        <v>qui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DATE(Configurações!$B$3,4,30)</f>
        <v>46142</v>
      </c>
      <c r="B687" s="2" t="str">
        <f t="shared" si="10"/>
        <v>qui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DATE(Configurações!$B$3,4,30)</f>
        <v>46142</v>
      </c>
      <c r="B688" s="2" t="str">
        <f t="shared" si="10"/>
        <v>qui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DATE(Configurações!$B$3,4,30)</f>
        <v>46142</v>
      </c>
      <c r="B689" s="2" t="str">
        <f t="shared" si="10"/>
        <v>qui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DATE(Configurações!$B$3,4,30)</f>
        <v>46142</v>
      </c>
      <c r="B690" s="2" t="str">
        <f t="shared" si="10"/>
        <v>qui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DATE(Configurações!$B$3,4,30)</f>
        <v>46142</v>
      </c>
      <c r="B691" s="2" t="str">
        <f t="shared" si="10"/>
        <v>qui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DATE(Configurações!$B$3,4,30)</f>
        <v>46142</v>
      </c>
      <c r="B692" s="2" t="str">
        <f t="shared" si="10"/>
        <v>qui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DATE(Configurações!$B$3,4,30)</f>
        <v>46142</v>
      </c>
      <c r="B693" s="2" t="str">
        <f t="shared" si="10"/>
        <v>qui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DATE(Configurações!$B$3,4,30)</f>
        <v>46142</v>
      </c>
      <c r="B694" s="2" t="str">
        <f t="shared" si="10"/>
        <v>qui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DATE(Configurações!$B$3,4,30)</f>
        <v>46142</v>
      </c>
      <c r="B695" s="2" t="str">
        <f t="shared" si="10"/>
        <v>qui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DATE(Configurações!$B$3,4,31)</f>
        <v>46143</v>
      </c>
      <c r="B696" s="2" t="str">
        <f t="shared" si="10"/>
        <v>sex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DATE(Configurações!$B$3,4,31)</f>
        <v>46143</v>
      </c>
      <c r="B697" s="2" t="str">
        <f t="shared" si="10"/>
        <v>sex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DATE(Configurações!$B$3,4,31)</f>
        <v>46143</v>
      </c>
      <c r="B698" s="2" t="str">
        <f t="shared" si="10"/>
        <v>sex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DATE(Configurações!$B$3,4,31)</f>
        <v>46143</v>
      </c>
      <c r="B699" s="2" t="str">
        <f t="shared" si="10"/>
        <v>sex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DATE(Configurações!$B$3,4,31)</f>
        <v>46143</v>
      </c>
      <c r="B700" s="2" t="str">
        <f t="shared" si="10"/>
        <v>sex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DATE(Configurações!$B$3,4,31)</f>
        <v>46143</v>
      </c>
      <c r="B701" s="2" t="str">
        <f t="shared" si="10"/>
        <v>sex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DATE(Configurações!$B$3,4,31)</f>
        <v>46143</v>
      </c>
      <c r="B702" s="2" t="str">
        <f t="shared" si="10"/>
        <v>sex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DATE(Configurações!$B$3,4,31)</f>
        <v>46143</v>
      </c>
      <c r="B703" s="2" t="str">
        <f t="shared" si="10"/>
        <v>sex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DATE(Configurações!$B$3,4,31)</f>
        <v>46143</v>
      </c>
      <c r="B704" s="2" t="str">
        <f t="shared" si="10"/>
        <v>sex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DATE(Configurações!$B$3,4,31)</f>
        <v>46143</v>
      </c>
      <c r="B705" s="2" t="str">
        <f t="shared" si="10"/>
        <v>sex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DATE(Configurações!$B$3,4,31)</f>
        <v>46143</v>
      </c>
      <c r="B706" s="2" t="str">
        <f t="shared" si="10"/>
        <v>sex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DATE(Configurações!$B$3,4,31)</f>
        <v>46143</v>
      </c>
      <c r="B707" s="2" t="str">
        <f t="shared" si="10"/>
        <v>sex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DATE(Configurações!$B$3,4,31)</f>
        <v>46143</v>
      </c>
      <c r="B708" s="2" t="str">
        <f t="shared" si="10"/>
        <v>sex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DATE(Configurações!$B$3,4,31)</f>
        <v>46143</v>
      </c>
      <c r="B709" s="2" t="str">
        <f t="shared" si="10"/>
        <v>sex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DATE(Configurações!$B$3,4,31)</f>
        <v>46143</v>
      </c>
      <c r="B710" s="2" t="str">
        <f t="shared" ref="B710:B773" si="11">TEXT(A710,"ddd")</f>
        <v>sex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DATE(Configurações!$B$3,4,31)</f>
        <v>46143</v>
      </c>
      <c r="B711" s="2" t="str">
        <f t="shared" si="11"/>
        <v>sex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DATE(Configurações!$B$3,4,31)</f>
        <v>46143</v>
      </c>
      <c r="B712" s="2" t="str">
        <f t="shared" si="11"/>
        <v>sex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DATE(Configurações!$B$3,4,31)</f>
        <v>46143</v>
      </c>
      <c r="B713" s="2" t="str">
        <f t="shared" si="11"/>
        <v>sex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DATE(Configurações!$B$3,4,31)</f>
        <v>46143</v>
      </c>
      <c r="B714" s="2" t="str">
        <f t="shared" si="11"/>
        <v>sex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DATE(Configurações!$B$3,4,31)</f>
        <v>46143</v>
      </c>
      <c r="B715" s="2" t="str">
        <f t="shared" si="11"/>
        <v>sex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DATE(Configurações!$B$3,4,31)</f>
        <v>46143</v>
      </c>
      <c r="B716" s="2" t="str">
        <f t="shared" si="11"/>
        <v>sex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DATE(Configurações!$B$3,4,31)</f>
        <v>46143</v>
      </c>
      <c r="B717" s="2" t="str">
        <f t="shared" si="11"/>
        <v>sex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DATE(Configurações!$B$3,4,31)</f>
        <v>46143</v>
      </c>
      <c r="B718" s="2" t="str">
        <f t="shared" si="11"/>
        <v>sex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35" priority="1">
      <formula>F6="Online"</formula>
    </cfRule>
    <cfRule type="expression" dxfId="34" priority="2">
      <formula>F6="Offline"</formula>
    </cfRule>
    <cfRule type="expression" dxfId="33" priority="3">
      <formula>F6="Manutenção"</formula>
    </cfRule>
    <cfRule type="expression" dxfId="32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DATE(Configurações!$B$3,5,1)</f>
        <v>46143</v>
      </c>
      <c r="B6" s="2" t="str">
        <f t="shared" ref="B6:B69" si="0">TEXT(A6,"ddd")</f>
        <v>sex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DATE(Configurações!$B$3,5,1)</f>
        <v>46143</v>
      </c>
      <c r="B7" s="2" t="str">
        <f t="shared" si="0"/>
        <v>sex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DATE(Configurações!$B$3,5,1)</f>
        <v>46143</v>
      </c>
      <c r="B8" s="2" t="str">
        <f t="shared" si="0"/>
        <v>sex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DATE(Configurações!$B$3,5,1)</f>
        <v>46143</v>
      </c>
      <c r="B9" s="2" t="str">
        <f t="shared" si="0"/>
        <v>sex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DATE(Configurações!$B$3,5,1)</f>
        <v>46143</v>
      </c>
      <c r="B10" s="2" t="str">
        <f t="shared" si="0"/>
        <v>sex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DATE(Configurações!$B$3,5,1)</f>
        <v>46143</v>
      </c>
      <c r="B11" s="2" t="str">
        <f t="shared" si="0"/>
        <v>sex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DATE(Configurações!$B$3,5,1)</f>
        <v>46143</v>
      </c>
      <c r="B12" s="2" t="str">
        <f t="shared" si="0"/>
        <v>sex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DATE(Configurações!$B$3,5,1)</f>
        <v>46143</v>
      </c>
      <c r="B13" s="2" t="str">
        <f t="shared" si="0"/>
        <v>sex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DATE(Configurações!$B$3,5,1)</f>
        <v>46143</v>
      </c>
      <c r="B14" s="2" t="str">
        <f t="shared" si="0"/>
        <v>sex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DATE(Configurações!$B$3,5,1)</f>
        <v>46143</v>
      </c>
      <c r="B15" s="2" t="str">
        <f t="shared" si="0"/>
        <v>sex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DATE(Configurações!$B$3,5,1)</f>
        <v>46143</v>
      </c>
      <c r="B16" s="2" t="str">
        <f t="shared" si="0"/>
        <v>sex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DATE(Configurações!$B$3,5,1)</f>
        <v>46143</v>
      </c>
      <c r="B17" s="2" t="str">
        <f t="shared" si="0"/>
        <v>sex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DATE(Configurações!$B$3,5,1)</f>
        <v>46143</v>
      </c>
      <c r="B18" s="2" t="str">
        <f t="shared" si="0"/>
        <v>sex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DATE(Configurações!$B$3,5,1)</f>
        <v>46143</v>
      </c>
      <c r="B19" s="2" t="str">
        <f t="shared" si="0"/>
        <v>sex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DATE(Configurações!$B$3,5,1)</f>
        <v>46143</v>
      </c>
      <c r="B20" s="2" t="str">
        <f t="shared" si="0"/>
        <v>sex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DATE(Configurações!$B$3,5,1)</f>
        <v>46143</v>
      </c>
      <c r="B21" s="2" t="str">
        <f t="shared" si="0"/>
        <v>sex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DATE(Configurações!$B$3,5,1)</f>
        <v>46143</v>
      </c>
      <c r="B22" s="2" t="str">
        <f t="shared" si="0"/>
        <v>sex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DATE(Configurações!$B$3,5,1)</f>
        <v>46143</v>
      </c>
      <c r="B23" s="2" t="str">
        <f t="shared" si="0"/>
        <v>sex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DATE(Configurações!$B$3,5,1)</f>
        <v>46143</v>
      </c>
      <c r="B24" s="2" t="str">
        <f t="shared" si="0"/>
        <v>sex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DATE(Configurações!$B$3,5,1)</f>
        <v>46143</v>
      </c>
      <c r="B25" s="2" t="str">
        <f t="shared" si="0"/>
        <v>sex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DATE(Configurações!$B$3,5,1)</f>
        <v>46143</v>
      </c>
      <c r="B26" s="2" t="str">
        <f t="shared" si="0"/>
        <v>sex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DATE(Configurações!$B$3,5,1)</f>
        <v>46143</v>
      </c>
      <c r="B27" s="2" t="str">
        <f t="shared" si="0"/>
        <v>sex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DATE(Configurações!$B$3,5,1)</f>
        <v>46143</v>
      </c>
      <c r="B28" s="2" t="str">
        <f t="shared" si="0"/>
        <v>sex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DATE(Configurações!$B$3,5,2)</f>
        <v>46144</v>
      </c>
      <c r="B29" s="2" t="str">
        <f t="shared" si="0"/>
        <v>sáb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DATE(Configurações!$B$3,5,2)</f>
        <v>46144</v>
      </c>
      <c r="B30" s="2" t="str">
        <f t="shared" si="0"/>
        <v>sáb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DATE(Configurações!$B$3,5,2)</f>
        <v>46144</v>
      </c>
      <c r="B31" s="2" t="str">
        <f t="shared" si="0"/>
        <v>sáb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DATE(Configurações!$B$3,5,2)</f>
        <v>46144</v>
      </c>
      <c r="B32" s="2" t="str">
        <f t="shared" si="0"/>
        <v>sáb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DATE(Configurações!$B$3,5,2)</f>
        <v>46144</v>
      </c>
      <c r="B33" s="2" t="str">
        <f t="shared" si="0"/>
        <v>sáb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DATE(Configurações!$B$3,5,2)</f>
        <v>46144</v>
      </c>
      <c r="B34" s="2" t="str">
        <f t="shared" si="0"/>
        <v>sáb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DATE(Configurações!$B$3,5,2)</f>
        <v>46144</v>
      </c>
      <c r="B35" s="2" t="str">
        <f t="shared" si="0"/>
        <v>sáb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DATE(Configurações!$B$3,5,2)</f>
        <v>46144</v>
      </c>
      <c r="B36" s="2" t="str">
        <f t="shared" si="0"/>
        <v>sáb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DATE(Configurações!$B$3,5,2)</f>
        <v>46144</v>
      </c>
      <c r="B37" s="2" t="str">
        <f t="shared" si="0"/>
        <v>sáb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DATE(Configurações!$B$3,5,2)</f>
        <v>46144</v>
      </c>
      <c r="B38" s="2" t="str">
        <f t="shared" si="0"/>
        <v>sáb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DATE(Configurações!$B$3,5,2)</f>
        <v>46144</v>
      </c>
      <c r="B39" s="2" t="str">
        <f t="shared" si="0"/>
        <v>sáb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DATE(Configurações!$B$3,5,2)</f>
        <v>46144</v>
      </c>
      <c r="B40" s="2" t="str">
        <f t="shared" si="0"/>
        <v>sáb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DATE(Configurações!$B$3,5,2)</f>
        <v>46144</v>
      </c>
      <c r="B41" s="2" t="str">
        <f t="shared" si="0"/>
        <v>sáb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DATE(Configurações!$B$3,5,2)</f>
        <v>46144</v>
      </c>
      <c r="B42" s="2" t="str">
        <f t="shared" si="0"/>
        <v>sáb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DATE(Configurações!$B$3,5,2)</f>
        <v>46144</v>
      </c>
      <c r="B43" s="2" t="str">
        <f t="shared" si="0"/>
        <v>sáb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DATE(Configurações!$B$3,5,2)</f>
        <v>46144</v>
      </c>
      <c r="B44" s="2" t="str">
        <f t="shared" si="0"/>
        <v>sáb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DATE(Configurações!$B$3,5,2)</f>
        <v>46144</v>
      </c>
      <c r="B45" s="2" t="str">
        <f t="shared" si="0"/>
        <v>sáb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DATE(Configurações!$B$3,5,2)</f>
        <v>46144</v>
      </c>
      <c r="B46" s="2" t="str">
        <f t="shared" si="0"/>
        <v>sáb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DATE(Configurações!$B$3,5,2)</f>
        <v>46144</v>
      </c>
      <c r="B47" s="2" t="str">
        <f t="shared" si="0"/>
        <v>sáb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DATE(Configurações!$B$3,5,2)</f>
        <v>46144</v>
      </c>
      <c r="B48" s="2" t="str">
        <f t="shared" si="0"/>
        <v>sáb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DATE(Configurações!$B$3,5,2)</f>
        <v>46144</v>
      </c>
      <c r="B49" s="2" t="str">
        <f t="shared" si="0"/>
        <v>sáb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DATE(Configurações!$B$3,5,2)</f>
        <v>46144</v>
      </c>
      <c r="B50" s="2" t="str">
        <f t="shared" si="0"/>
        <v>sáb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DATE(Configurações!$B$3,5,2)</f>
        <v>46144</v>
      </c>
      <c r="B51" s="2" t="str">
        <f t="shared" si="0"/>
        <v>sáb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DATE(Configurações!$B$3,5,3)</f>
        <v>46145</v>
      </c>
      <c r="B52" s="2" t="str">
        <f t="shared" si="0"/>
        <v>dom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DATE(Configurações!$B$3,5,3)</f>
        <v>46145</v>
      </c>
      <c r="B53" s="2" t="str">
        <f t="shared" si="0"/>
        <v>dom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DATE(Configurações!$B$3,5,3)</f>
        <v>46145</v>
      </c>
      <c r="B54" s="2" t="str">
        <f t="shared" si="0"/>
        <v>dom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DATE(Configurações!$B$3,5,3)</f>
        <v>46145</v>
      </c>
      <c r="B55" s="2" t="str">
        <f t="shared" si="0"/>
        <v>dom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DATE(Configurações!$B$3,5,3)</f>
        <v>46145</v>
      </c>
      <c r="B56" s="2" t="str">
        <f t="shared" si="0"/>
        <v>dom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DATE(Configurações!$B$3,5,3)</f>
        <v>46145</v>
      </c>
      <c r="B57" s="2" t="str">
        <f t="shared" si="0"/>
        <v>dom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DATE(Configurações!$B$3,5,3)</f>
        <v>46145</v>
      </c>
      <c r="B58" s="2" t="str">
        <f t="shared" si="0"/>
        <v>dom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DATE(Configurações!$B$3,5,3)</f>
        <v>46145</v>
      </c>
      <c r="B59" s="2" t="str">
        <f t="shared" si="0"/>
        <v>dom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DATE(Configurações!$B$3,5,3)</f>
        <v>46145</v>
      </c>
      <c r="B60" s="2" t="str">
        <f t="shared" si="0"/>
        <v>dom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DATE(Configurações!$B$3,5,3)</f>
        <v>46145</v>
      </c>
      <c r="B61" s="2" t="str">
        <f t="shared" si="0"/>
        <v>dom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DATE(Configurações!$B$3,5,3)</f>
        <v>46145</v>
      </c>
      <c r="B62" s="2" t="str">
        <f t="shared" si="0"/>
        <v>dom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DATE(Configurações!$B$3,5,3)</f>
        <v>46145</v>
      </c>
      <c r="B63" s="2" t="str">
        <f t="shared" si="0"/>
        <v>dom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DATE(Configurações!$B$3,5,3)</f>
        <v>46145</v>
      </c>
      <c r="B64" s="2" t="str">
        <f t="shared" si="0"/>
        <v>dom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DATE(Configurações!$B$3,5,3)</f>
        <v>46145</v>
      </c>
      <c r="B65" s="2" t="str">
        <f t="shared" si="0"/>
        <v>dom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DATE(Configurações!$B$3,5,3)</f>
        <v>46145</v>
      </c>
      <c r="B66" s="2" t="str">
        <f t="shared" si="0"/>
        <v>dom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DATE(Configurações!$B$3,5,3)</f>
        <v>46145</v>
      </c>
      <c r="B67" s="2" t="str">
        <f t="shared" si="0"/>
        <v>dom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DATE(Configurações!$B$3,5,3)</f>
        <v>46145</v>
      </c>
      <c r="B68" s="2" t="str">
        <f t="shared" si="0"/>
        <v>dom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DATE(Configurações!$B$3,5,3)</f>
        <v>46145</v>
      </c>
      <c r="B69" s="2" t="str">
        <f t="shared" si="0"/>
        <v>dom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DATE(Configurações!$B$3,5,3)</f>
        <v>46145</v>
      </c>
      <c r="B70" s="2" t="str">
        <f t="shared" ref="B70:B133" si="1">TEXT(A70,"ddd")</f>
        <v>dom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DATE(Configurações!$B$3,5,3)</f>
        <v>46145</v>
      </c>
      <c r="B71" s="2" t="str">
        <f t="shared" si="1"/>
        <v>dom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DATE(Configurações!$B$3,5,3)</f>
        <v>46145</v>
      </c>
      <c r="B72" s="2" t="str">
        <f t="shared" si="1"/>
        <v>dom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DATE(Configurações!$B$3,5,3)</f>
        <v>46145</v>
      </c>
      <c r="B73" s="2" t="str">
        <f t="shared" si="1"/>
        <v>dom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DATE(Configurações!$B$3,5,3)</f>
        <v>46145</v>
      </c>
      <c r="B74" s="2" t="str">
        <f t="shared" si="1"/>
        <v>dom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DATE(Configurações!$B$3,5,4)</f>
        <v>46146</v>
      </c>
      <c r="B75" s="2" t="str">
        <f t="shared" si="1"/>
        <v>seg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DATE(Configurações!$B$3,5,4)</f>
        <v>46146</v>
      </c>
      <c r="B76" s="2" t="str">
        <f t="shared" si="1"/>
        <v>seg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DATE(Configurações!$B$3,5,4)</f>
        <v>46146</v>
      </c>
      <c r="B77" s="2" t="str">
        <f t="shared" si="1"/>
        <v>seg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DATE(Configurações!$B$3,5,4)</f>
        <v>46146</v>
      </c>
      <c r="B78" s="2" t="str">
        <f t="shared" si="1"/>
        <v>seg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DATE(Configurações!$B$3,5,4)</f>
        <v>46146</v>
      </c>
      <c r="B79" s="2" t="str">
        <f t="shared" si="1"/>
        <v>seg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DATE(Configurações!$B$3,5,4)</f>
        <v>46146</v>
      </c>
      <c r="B80" s="2" t="str">
        <f t="shared" si="1"/>
        <v>seg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DATE(Configurações!$B$3,5,4)</f>
        <v>46146</v>
      </c>
      <c r="B81" s="2" t="str">
        <f t="shared" si="1"/>
        <v>seg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DATE(Configurações!$B$3,5,4)</f>
        <v>46146</v>
      </c>
      <c r="B82" s="2" t="str">
        <f t="shared" si="1"/>
        <v>seg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DATE(Configurações!$B$3,5,4)</f>
        <v>46146</v>
      </c>
      <c r="B83" s="2" t="str">
        <f t="shared" si="1"/>
        <v>seg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DATE(Configurações!$B$3,5,4)</f>
        <v>46146</v>
      </c>
      <c r="B84" s="2" t="str">
        <f t="shared" si="1"/>
        <v>seg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DATE(Configurações!$B$3,5,4)</f>
        <v>46146</v>
      </c>
      <c r="B85" s="2" t="str">
        <f t="shared" si="1"/>
        <v>seg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DATE(Configurações!$B$3,5,4)</f>
        <v>46146</v>
      </c>
      <c r="B86" s="2" t="str">
        <f t="shared" si="1"/>
        <v>seg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DATE(Configurações!$B$3,5,4)</f>
        <v>46146</v>
      </c>
      <c r="B87" s="2" t="str">
        <f t="shared" si="1"/>
        <v>seg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DATE(Configurações!$B$3,5,4)</f>
        <v>46146</v>
      </c>
      <c r="B88" s="2" t="str">
        <f t="shared" si="1"/>
        <v>seg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DATE(Configurações!$B$3,5,4)</f>
        <v>46146</v>
      </c>
      <c r="B89" s="2" t="str">
        <f t="shared" si="1"/>
        <v>seg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DATE(Configurações!$B$3,5,4)</f>
        <v>46146</v>
      </c>
      <c r="B90" s="2" t="str">
        <f t="shared" si="1"/>
        <v>seg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DATE(Configurações!$B$3,5,4)</f>
        <v>46146</v>
      </c>
      <c r="B91" s="2" t="str">
        <f t="shared" si="1"/>
        <v>seg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DATE(Configurações!$B$3,5,4)</f>
        <v>46146</v>
      </c>
      <c r="B92" s="2" t="str">
        <f t="shared" si="1"/>
        <v>seg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DATE(Configurações!$B$3,5,4)</f>
        <v>46146</v>
      </c>
      <c r="B93" s="2" t="str">
        <f t="shared" si="1"/>
        <v>seg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DATE(Configurações!$B$3,5,4)</f>
        <v>46146</v>
      </c>
      <c r="B94" s="2" t="str">
        <f t="shared" si="1"/>
        <v>seg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DATE(Configurações!$B$3,5,4)</f>
        <v>46146</v>
      </c>
      <c r="B95" s="2" t="str">
        <f t="shared" si="1"/>
        <v>seg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DATE(Configurações!$B$3,5,4)</f>
        <v>46146</v>
      </c>
      <c r="B96" s="2" t="str">
        <f t="shared" si="1"/>
        <v>seg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DATE(Configurações!$B$3,5,4)</f>
        <v>46146</v>
      </c>
      <c r="B97" s="2" t="str">
        <f t="shared" si="1"/>
        <v>seg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DATE(Configurações!$B$3,5,5)</f>
        <v>46147</v>
      </c>
      <c r="B98" s="2" t="str">
        <f t="shared" si="1"/>
        <v>ter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DATE(Configurações!$B$3,5,5)</f>
        <v>46147</v>
      </c>
      <c r="B99" s="2" t="str">
        <f t="shared" si="1"/>
        <v>ter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DATE(Configurações!$B$3,5,5)</f>
        <v>46147</v>
      </c>
      <c r="B100" s="2" t="str">
        <f t="shared" si="1"/>
        <v>ter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DATE(Configurações!$B$3,5,5)</f>
        <v>46147</v>
      </c>
      <c r="B101" s="2" t="str">
        <f t="shared" si="1"/>
        <v>ter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DATE(Configurações!$B$3,5,5)</f>
        <v>46147</v>
      </c>
      <c r="B102" s="2" t="str">
        <f t="shared" si="1"/>
        <v>ter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DATE(Configurações!$B$3,5,5)</f>
        <v>46147</v>
      </c>
      <c r="B103" s="2" t="str">
        <f t="shared" si="1"/>
        <v>ter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DATE(Configurações!$B$3,5,5)</f>
        <v>46147</v>
      </c>
      <c r="B104" s="2" t="str">
        <f t="shared" si="1"/>
        <v>ter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DATE(Configurações!$B$3,5,5)</f>
        <v>46147</v>
      </c>
      <c r="B105" s="2" t="str">
        <f t="shared" si="1"/>
        <v>ter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DATE(Configurações!$B$3,5,5)</f>
        <v>46147</v>
      </c>
      <c r="B106" s="2" t="str">
        <f t="shared" si="1"/>
        <v>ter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DATE(Configurações!$B$3,5,5)</f>
        <v>46147</v>
      </c>
      <c r="B107" s="2" t="str">
        <f t="shared" si="1"/>
        <v>ter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DATE(Configurações!$B$3,5,5)</f>
        <v>46147</v>
      </c>
      <c r="B108" s="2" t="str">
        <f t="shared" si="1"/>
        <v>ter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DATE(Configurações!$B$3,5,5)</f>
        <v>46147</v>
      </c>
      <c r="B109" s="2" t="str">
        <f t="shared" si="1"/>
        <v>ter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DATE(Configurações!$B$3,5,5)</f>
        <v>46147</v>
      </c>
      <c r="B110" s="2" t="str">
        <f t="shared" si="1"/>
        <v>ter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DATE(Configurações!$B$3,5,5)</f>
        <v>46147</v>
      </c>
      <c r="B111" s="2" t="str">
        <f t="shared" si="1"/>
        <v>ter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DATE(Configurações!$B$3,5,5)</f>
        <v>46147</v>
      </c>
      <c r="B112" s="2" t="str">
        <f t="shared" si="1"/>
        <v>ter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DATE(Configurações!$B$3,5,5)</f>
        <v>46147</v>
      </c>
      <c r="B113" s="2" t="str">
        <f t="shared" si="1"/>
        <v>ter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DATE(Configurações!$B$3,5,5)</f>
        <v>46147</v>
      </c>
      <c r="B114" s="2" t="str">
        <f t="shared" si="1"/>
        <v>ter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DATE(Configurações!$B$3,5,5)</f>
        <v>46147</v>
      </c>
      <c r="B115" s="2" t="str">
        <f t="shared" si="1"/>
        <v>ter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DATE(Configurações!$B$3,5,5)</f>
        <v>46147</v>
      </c>
      <c r="B116" s="2" t="str">
        <f t="shared" si="1"/>
        <v>ter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DATE(Configurações!$B$3,5,5)</f>
        <v>46147</v>
      </c>
      <c r="B117" s="2" t="str">
        <f t="shared" si="1"/>
        <v>ter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DATE(Configurações!$B$3,5,5)</f>
        <v>46147</v>
      </c>
      <c r="B118" s="2" t="str">
        <f t="shared" si="1"/>
        <v>ter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DATE(Configurações!$B$3,5,5)</f>
        <v>46147</v>
      </c>
      <c r="B119" s="2" t="str">
        <f t="shared" si="1"/>
        <v>ter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DATE(Configurações!$B$3,5,5)</f>
        <v>46147</v>
      </c>
      <c r="B120" s="2" t="str">
        <f t="shared" si="1"/>
        <v>ter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DATE(Configurações!$B$3,5,6)</f>
        <v>46148</v>
      </c>
      <c r="B121" s="2" t="str">
        <f t="shared" si="1"/>
        <v>qua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DATE(Configurações!$B$3,5,6)</f>
        <v>46148</v>
      </c>
      <c r="B122" s="2" t="str">
        <f t="shared" si="1"/>
        <v>qua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DATE(Configurações!$B$3,5,6)</f>
        <v>46148</v>
      </c>
      <c r="B123" s="2" t="str">
        <f t="shared" si="1"/>
        <v>qua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DATE(Configurações!$B$3,5,6)</f>
        <v>46148</v>
      </c>
      <c r="B124" s="2" t="str">
        <f t="shared" si="1"/>
        <v>qua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DATE(Configurações!$B$3,5,6)</f>
        <v>46148</v>
      </c>
      <c r="B125" s="2" t="str">
        <f t="shared" si="1"/>
        <v>qua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DATE(Configurações!$B$3,5,6)</f>
        <v>46148</v>
      </c>
      <c r="B126" s="2" t="str">
        <f t="shared" si="1"/>
        <v>qua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DATE(Configurações!$B$3,5,6)</f>
        <v>46148</v>
      </c>
      <c r="B127" s="2" t="str">
        <f t="shared" si="1"/>
        <v>qua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DATE(Configurações!$B$3,5,6)</f>
        <v>46148</v>
      </c>
      <c r="B128" s="2" t="str">
        <f t="shared" si="1"/>
        <v>qua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DATE(Configurações!$B$3,5,6)</f>
        <v>46148</v>
      </c>
      <c r="B129" s="2" t="str">
        <f t="shared" si="1"/>
        <v>qua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DATE(Configurações!$B$3,5,6)</f>
        <v>46148</v>
      </c>
      <c r="B130" s="2" t="str">
        <f t="shared" si="1"/>
        <v>qua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DATE(Configurações!$B$3,5,6)</f>
        <v>46148</v>
      </c>
      <c r="B131" s="2" t="str">
        <f t="shared" si="1"/>
        <v>qua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DATE(Configurações!$B$3,5,6)</f>
        <v>46148</v>
      </c>
      <c r="B132" s="2" t="str">
        <f t="shared" si="1"/>
        <v>qua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DATE(Configurações!$B$3,5,6)</f>
        <v>46148</v>
      </c>
      <c r="B133" s="2" t="str">
        <f t="shared" si="1"/>
        <v>qua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DATE(Configurações!$B$3,5,6)</f>
        <v>46148</v>
      </c>
      <c r="B134" s="2" t="str">
        <f t="shared" ref="B134:B197" si="2">TEXT(A134,"ddd")</f>
        <v>qua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DATE(Configurações!$B$3,5,6)</f>
        <v>46148</v>
      </c>
      <c r="B135" s="2" t="str">
        <f t="shared" si="2"/>
        <v>qua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DATE(Configurações!$B$3,5,6)</f>
        <v>46148</v>
      </c>
      <c r="B136" s="2" t="str">
        <f t="shared" si="2"/>
        <v>qua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DATE(Configurações!$B$3,5,6)</f>
        <v>46148</v>
      </c>
      <c r="B137" s="2" t="str">
        <f t="shared" si="2"/>
        <v>qua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DATE(Configurações!$B$3,5,6)</f>
        <v>46148</v>
      </c>
      <c r="B138" s="2" t="str">
        <f t="shared" si="2"/>
        <v>qua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DATE(Configurações!$B$3,5,6)</f>
        <v>46148</v>
      </c>
      <c r="B139" s="2" t="str">
        <f t="shared" si="2"/>
        <v>qua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DATE(Configurações!$B$3,5,6)</f>
        <v>46148</v>
      </c>
      <c r="B140" s="2" t="str">
        <f t="shared" si="2"/>
        <v>qua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DATE(Configurações!$B$3,5,6)</f>
        <v>46148</v>
      </c>
      <c r="B141" s="2" t="str">
        <f t="shared" si="2"/>
        <v>qua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DATE(Configurações!$B$3,5,6)</f>
        <v>46148</v>
      </c>
      <c r="B142" s="2" t="str">
        <f t="shared" si="2"/>
        <v>qua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DATE(Configurações!$B$3,5,6)</f>
        <v>46148</v>
      </c>
      <c r="B143" s="2" t="str">
        <f t="shared" si="2"/>
        <v>qua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DATE(Configurações!$B$3,5,7)</f>
        <v>46149</v>
      </c>
      <c r="B144" s="2" t="str">
        <f t="shared" si="2"/>
        <v>qui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DATE(Configurações!$B$3,5,7)</f>
        <v>46149</v>
      </c>
      <c r="B145" s="2" t="str">
        <f t="shared" si="2"/>
        <v>qui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DATE(Configurações!$B$3,5,7)</f>
        <v>46149</v>
      </c>
      <c r="B146" s="2" t="str">
        <f t="shared" si="2"/>
        <v>qui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DATE(Configurações!$B$3,5,7)</f>
        <v>46149</v>
      </c>
      <c r="B147" s="2" t="str">
        <f t="shared" si="2"/>
        <v>qui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DATE(Configurações!$B$3,5,7)</f>
        <v>46149</v>
      </c>
      <c r="B148" s="2" t="str">
        <f t="shared" si="2"/>
        <v>qui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DATE(Configurações!$B$3,5,7)</f>
        <v>46149</v>
      </c>
      <c r="B149" s="2" t="str">
        <f t="shared" si="2"/>
        <v>qui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DATE(Configurações!$B$3,5,7)</f>
        <v>46149</v>
      </c>
      <c r="B150" s="2" t="str">
        <f t="shared" si="2"/>
        <v>qui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DATE(Configurações!$B$3,5,7)</f>
        <v>46149</v>
      </c>
      <c r="B151" s="2" t="str">
        <f t="shared" si="2"/>
        <v>qui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DATE(Configurações!$B$3,5,7)</f>
        <v>46149</v>
      </c>
      <c r="B152" s="2" t="str">
        <f t="shared" si="2"/>
        <v>qui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DATE(Configurações!$B$3,5,7)</f>
        <v>46149</v>
      </c>
      <c r="B153" s="2" t="str">
        <f t="shared" si="2"/>
        <v>qui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DATE(Configurações!$B$3,5,7)</f>
        <v>46149</v>
      </c>
      <c r="B154" s="2" t="str">
        <f t="shared" si="2"/>
        <v>qui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DATE(Configurações!$B$3,5,7)</f>
        <v>46149</v>
      </c>
      <c r="B155" s="2" t="str">
        <f t="shared" si="2"/>
        <v>qui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DATE(Configurações!$B$3,5,7)</f>
        <v>46149</v>
      </c>
      <c r="B156" s="2" t="str">
        <f t="shared" si="2"/>
        <v>qui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DATE(Configurações!$B$3,5,7)</f>
        <v>46149</v>
      </c>
      <c r="B157" s="2" t="str">
        <f t="shared" si="2"/>
        <v>qui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DATE(Configurações!$B$3,5,7)</f>
        <v>46149</v>
      </c>
      <c r="B158" s="2" t="str">
        <f t="shared" si="2"/>
        <v>qui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DATE(Configurações!$B$3,5,7)</f>
        <v>46149</v>
      </c>
      <c r="B159" s="2" t="str">
        <f t="shared" si="2"/>
        <v>qui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DATE(Configurações!$B$3,5,7)</f>
        <v>46149</v>
      </c>
      <c r="B160" s="2" t="str">
        <f t="shared" si="2"/>
        <v>qui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DATE(Configurações!$B$3,5,7)</f>
        <v>46149</v>
      </c>
      <c r="B161" s="2" t="str">
        <f t="shared" si="2"/>
        <v>qui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DATE(Configurações!$B$3,5,7)</f>
        <v>46149</v>
      </c>
      <c r="B162" s="2" t="str">
        <f t="shared" si="2"/>
        <v>qui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DATE(Configurações!$B$3,5,7)</f>
        <v>46149</v>
      </c>
      <c r="B163" s="2" t="str">
        <f t="shared" si="2"/>
        <v>qui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DATE(Configurações!$B$3,5,7)</f>
        <v>46149</v>
      </c>
      <c r="B164" s="2" t="str">
        <f t="shared" si="2"/>
        <v>qui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DATE(Configurações!$B$3,5,7)</f>
        <v>46149</v>
      </c>
      <c r="B165" s="2" t="str">
        <f t="shared" si="2"/>
        <v>qui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DATE(Configurações!$B$3,5,7)</f>
        <v>46149</v>
      </c>
      <c r="B166" s="2" t="str">
        <f t="shared" si="2"/>
        <v>qui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DATE(Configurações!$B$3,5,8)</f>
        <v>46150</v>
      </c>
      <c r="B167" s="2" t="str">
        <f t="shared" si="2"/>
        <v>sex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DATE(Configurações!$B$3,5,8)</f>
        <v>46150</v>
      </c>
      <c r="B168" s="2" t="str">
        <f t="shared" si="2"/>
        <v>sex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DATE(Configurações!$B$3,5,8)</f>
        <v>46150</v>
      </c>
      <c r="B169" s="2" t="str">
        <f t="shared" si="2"/>
        <v>sex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DATE(Configurações!$B$3,5,8)</f>
        <v>46150</v>
      </c>
      <c r="B170" s="2" t="str">
        <f t="shared" si="2"/>
        <v>sex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DATE(Configurações!$B$3,5,8)</f>
        <v>46150</v>
      </c>
      <c r="B171" s="2" t="str">
        <f t="shared" si="2"/>
        <v>sex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DATE(Configurações!$B$3,5,8)</f>
        <v>46150</v>
      </c>
      <c r="B172" s="2" t="str">
        <f t="shared" si="2"/>
        <v>sex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DATE(Configurações!$B$3,5,8)</f>
        <v>46150</v>
      </c>
      <c r="B173" s="2" t="str">
        <f t="shared" si="2"/>
        <v>sex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DATE(Configurações!$B$3,5,8)</f>
        <v>46150</v>
      </c>
      <c r="B174" s="2" t="str">
        <f t="shared" si="2"/>
        <v>sex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DATE(Configurações!$B$3,5,8)</f>
        <v>46150</v>
      </c>
      <c r="B175" s="2" t="str">
        <f t="shared" si="2"/>
        <v>sex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DATE(Configurações!$B$3,5,8)</f>
        <v>46150</v>
      </c>
      <c r="B176" s="2" t="str">
        <f t="shared" si="2"/>
        <v>sex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DATE(Configurações!$B$3,5,8)</f>
        <v>46150</v>
      </c>
      <c r="B177" s="2" t="str">
        <f t="shared" si="2"/>
        <v>sex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DATE(Configurações!$B$3,5,8)</f>
        <v>46150</v>
      </c>
      <c r="B178" s="2" t="str">
        <f t="shared" si="2"/>
        <v>sex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DATE(Configurações!$B$3,5,8)</f>
        <v>46150</v>
      </c>
      <c r="B179" s="2" t="str">
        <f t="shared" si="2"/>
        <v>sex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DATE(Configurações!$B$3,5,8)</f>
        <v>46150</v>
      </c>
      <c r="B180" s="2" t="str">
        <f t="shared" si="2"/>
        <v>sex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DATE(Configurações!$B$3,5,8)</f>
        <v>46150</v>
      </c>
      <c r="B181" s="2" t="str">
        <f t="shared" si="2"/>
        <v>sex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DATE(Configurações!$B$3,5,8)</f>
        <v>46150</v>
      </c>
      <c r="B182" s="2" t="str">
        <f t="shared" si="2"/>
        <v>sex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DATE(Configurações!$B$3,5,8)</f>
        <v>46150</v>
      </c>
      <c r="B183" s="2" t="str">
        <f t="shared" si="2"/>
        <v>sex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DATE(Configurações!$B$3,5,8)</f>
        <v>46150</v>
      </c>
      <c r="B184" s="2" t="str">
        <f t="shared" si="2"/>
        <v>sex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DATE(Configurações!$B$3,5,8)</f>
        <v>46150</v>
      </c>
      <c r="B185" s="2" t="str">
        <f t="shared" si="2"/>
        <v>sex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DATE(Configurações!$B$3,5,8)</f>
        <v>46150</v>
      </c>
      <c r="B186" s="2" t="str">
        <f t="shared" si="2"/>
        <v>sex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DATE(Configurações!$B$3,5,8)</f>
        <v>46150</v>
      </c>
      <c r="B187" s="2" t="str">
        <f t="shared" si="2"/>
        <v>sex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DATE(Configurações!$B$3,5,8)</f>
        <v>46150</v>
      </c>
      <c r="B188" s="2" t="str">
        <f t="shared" si="2"/>
        <v>sex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DATE(Configurações!$B$3,5,8)</f>
        <v>46150</v>
      </c>
      <c r="B189" s="2" t="str">
        <f t="shared" si="2"/>
        <v>sex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DATE(Configurações!$B$3,5,9)</f>
        <v>46151</v>
      </c>
      <c r="B190" s="2" t="str">
        <f t="shared" si="2"/>
        <v>sáb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DATE(Configurações!$B$3,5,9)</f>
        <v>46151</v>
      </c>
      <c r="B191" s="2" t="str">
        <f t="shared" si="2"/>
        <v>sáb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DATE(Configurações!$B$3,5,9)</f>
        <v>46151</v>
      </c>
      <c r="B192" s="2" t="str">
        <f t="shared" si="2"/>
        <v>sáb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DATE(Configurações!$B$3,5,9)</f>
        <v>46151</v>
      </c>
      <c r="B193" s="2" t="str">
        <f t="shared" si="2"/>
        <v>sáb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DATE(Configurações!$B$3,5,9)</f>
        <v>46151</v>
      </c>
      <c r="B194" s="2" t="str">
        <f t="shared" si="2"/>
        <v>sáb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DATE(Configurações!$B$3,5,9)</f>
        <v>46151</v>
      </c>
      <c r="B195" s="2" t="str">
        <f t="shared" si="2"/>
        <v>sáb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DATE(Configurações!$B$3,5,9)</f>
        <v>46151</v>
      </c>
      <c r="B196" s="2" t="str">
        <f t="shared" si="2"/>
        <v>sáb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DATE(Configurações!$B$3,5,9)</f>
        <v>46151</v>
      </c>
      <c r="B197" s="2" t="str">
        <f t="shared" si="2"/>
        <v>sáb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DATE(Configurações!$B$3,5,9)</f>
        <v>46151</v>
      </c>
      <c r="B198" s="2" t="str">
        <f t="shared" ref="B198:B261" si="3">TEXT(A198,"ddd")</f>
        <v>sáb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DATE(Configurações!$B$3,5,9)</f>
        <v>46151</v>
      </c>
      <c r="B199" s="2" t="str">
        <f t="shared" si="3"/>
        <v>sáb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DATE(Configurações!$B$3,5,9)</f>
        <v>46151</v>
      </c>
      <c r="B200" s="2" t="str">
        <f t="shared" si="3"/>
        <v>sáb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DATE(Configurações!$B$3,5,9)</f>
        <v>46151</v>
      </c>
      <c r="B201" s="2" t="str">
        <f t="shared" si="3"/>
        <v>sáb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DATE(Configurações!$B$3,5,9)</f>
        <v>46151</v>
      </c>
      <c r="B202" s="2" t="str">
        <f t="shared" si="3"/>
        <v>sáb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DATE(Configurações!$B$3,5,9)</f>
        <v>46151</v>
      </c>
      <c r="B203" s="2" t="str">
        <f t="shared" si="3"/>
        <v>sáb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DATE(Configurações!$B$3,5,9)</f>
        <v>46151</v>
      </c>
      <c r="B204" s="2" t="str">
        <f t="shared" si="3"/>
        <v>sáb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DATE(Configurações!$B$3,5,9)</f>
        <v>46151</v>
      </c>
      <c r="B205" s="2" t="str">
        <f t="shared" si="3"/>
        <v>sáb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DATE(Configurações!$B$3,5,9)</f>
        <v>46151</v>
      </c>
      <c r="B206" s="2" t="str">
        <f t="shared" si="3"/>
        <v>sáb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DATE(Configurações!$B$3,5,9)</f>
        <v>46151</v>
      </c>
      <c r="B207" s="2" t="str">
        <f t="shared" si="3"/>
        <v>sáb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DATE(Configurações!$B$3,5,9)</f>
        <v>46151</v>
      </c>
      <c r="B208" s="2" t="str">
        <f t="shared" si="3"/>
        <v>sáb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DATE(Configurações!$B$3,5,9)</f>
        <v>46151</v>
      </c>
      <c r="B209" s="2" t="str">
        <f t="shared" si="3"/>
        <v>sáb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DATE(Configurações!$B$3,5,9)</f>
        <v>46151</v>
      </c>
      <c r="B210" s="2" t="str">
        <f t="shared" si="3"/>
        <v>sáb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DATE(Configurações!$B$3,5,9)</f>
        <v>46151</v>
      </c>
      <c r="B211" s="2" t="str">
        <f t="shared" si="3"/>
        <v>sáb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DATE(Configurações!$B$3,5,9)</f>
        <v>46151</v>
      </c>
      <c r="B212" s="2" t="str">
        <f t="shared" si="3"/>
        <v>sáb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DATE(Configurações!$B$3,5,10)</f>
        <v>46152</v>
      </c>
      <c r="B213" s="2" t="str">
        <f t="shared" si="3"/>
        <v>dom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DATE(Configurações!$B$3,5,10)</f>
        <v>46152</v>
      </c>
      <c r="B214" s="2" t="str">
        <f t="shared" si="3"/>
        <v>dom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DATE(Configurações!$B$3,5,10)</f>
        <v>46152</v>
      </c>
      <c r="B215" s="2" t="str">
        <f t="shared" si="3"/>
        <v>dom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DATE(Configurações!$B$3,5,10)</f>
        <v>46152</v>
      </c>
      <c r="B216" s="2" t="str">
        <f t="shared" si="3"/>
        <v>dom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DATE(Configurações!$B$3,5,10)</f>
        <v>46152</v>
      </c>
      <c r="B217" s="2" t="str">
        <f t="shared" si="3"/>
        <v>dom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DATE(Configurações!$B$3,5,10)</f>
        <v>46152</v>
      </c>
      <c r="B218" s="2" t="str">
        <f t="shared" si="3"/>
        <v>dom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DATE(Configurações!$B$3,5,10)</f>
        <v>46152</v>
      </c>
      <c r="B219" s="2" t="str">
        <f t="shared" si="3"/>
        <v>dom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DATE(Configurações!$B$3,5,10)</f>
        <v>46152</v>
      </c>
      <c r="B220" s="2" t="str">
        <f t="shared" si="3"/>
        <v>dom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DATE(Configurações!$B$3,5,10)</f>
        <v>46152</v>
      </c>
      <c r="B221" s="2" t="str">
        <f t="shared" si="3"/>
        <v>dom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DATE(Configurações!$B$3,5,10)</f>
        <v>46152</v>
      </c>
      <c r="B222" s="2" t="str">
        <f t="shared" si="3"/>
        <v>dom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DATE(Configurações!$B$3,5,10)</f>
        <v>46152</v>
      </c>
      <c r="B223" s="2" t="str">
        <f t="shared" si="3"/>
        <v>dom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DATE(Configurações!$B$3,5,10)</f>
        <v>46152</v>
      </c>
      <c r="B224" s="2" t="str">
        <f t="shared" si="3"/>
        <v>dom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DATE(Configurações!$B$3,5,10)</f>
        <v>46152</v>
      </c>
      <c r="B225" s="2" t="str">
        <f t="shared" si="3"/>
        <v>dom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DATE(Configurações!$B$3,5,10)</f>
        <v>46152</v>
      </c>
      <c r="B226" s="2" t="str">
        <f t="shared" si="3"/>
        <v>dom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DATE(Configurações!$B$3,5,10)</f>
        <v>46152</v>
      </c>
      <c r="B227" s="2" t="str">
        <f t="shared" si="3"/>
        <v>dom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DATE(Configurações!$B$3,5,10)</f>
        <v>46152</v>
      </c>
      <c r="B228" s="2" t="str">
        <f t="shared" si="3"/>
        <v>dom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DATE(Configurações!$B$3,5,10)</f>
        <v>46152</v>
      </c>
      <c r="B229" s="2" t="str">
        <f t="shared" si="3"/>
        <v>dom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DATE(Configurações!$B$3,5,10)</f>
        <v>46152</v>
      </c>
      <c r="B230" s="2" t="str">
        <f t="shared" si="3"/>
        <v>dom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DATE(Configurações!$B$3,5,10)</f>
        <v>46152</v>
      </c>
      <c r="B231" s="2" t="str">
        <f t="shared" si="3"/>
        <v>dom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DATE(Configurações!$B$3,5,10)</f>
        <v>46152</v>
      </c>
      <c r="B232" s="2" t="str">
        <f t="shared" si="3"/>
        <v>dom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DATE(Configurações!$B$3,5,10)</f>
        <v>46152</v>
      </c>
      <c r="B233" s="2" t="str">
        <f t="shared" si="3"/>
        <v>dom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DATE(Configurações!$B$3,5,10)</f>
        <v>46152</v>
      </c>
      <c r="B234" s="2" t="str">
        <f t="shared" si="3"/>
        <v>dom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DATE(Configurações!$B$3,5,10)</f>
        <v>46152</v>
      </c>
      <c r="B235" s="2" t="str">
        <f t="shared" si="3"/>
        <v>dom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DATE(Configurações!$B$3,5,11)</f>
        <v>46153</v>
      </c>
      <c r="B236" s="2" t="str">
        <f t="shared" si="3"/>
        <v>seg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DATE(Configurações!$B$3,5,11)</f>
        <v>46153</v>
      </c>
      <c r="B237" s="2" t="str">
        <f t="shared" si="3"/>
        <v>seg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DATE(Configurações!$B$3,5,11)</f>
        <v>46153</v>
      </c>
      <c r="B238" s="2" t="str">
        <f t="shared" si="3"/>
        <v>seg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DATE(Configurações!$B$3,5,11)</f>
        <v>46153</v>
      </c>
      <c r="B239" s="2" t="str">
        <f t="shared" si="3"/>
        <v>seg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DATE(Configurações!$B$3,5,11)</f>
        <v>46153</v>
      </c>
      <c r="B240" s="2" t="str">
        <f t="shared" si="3"/>
        <v>seg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DATE(Configurações!$B$3,5,11)</f>
        <v>46153</v>
      </c>
      <c r="B241" s="2" t="str">
        <f t="shared" si="3"/>
        <v>seg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DATE(Configurações!$B$3,5,11)</f>
        <v>46153</v>
      </c>
      <c r="B242" s="2" t="str">
        <f t="shared" si="3"/>
        <v>seg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DATE(Configurações!$B$3,5,11)</f>
        <v>46153</v>
      </c>
      <c r="B243" s="2" t="str">
        <f t="shared" si="3"/>
        <v>seg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DATE(Configurações!$B$3,5,11)</f>
        <v>46153</v>
      </c>
      <c r="B244" s="2" t="str">
        <f t="shared" si="3"/>
        <v>seg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DATE(Configurações!$B$3,5,11)</f>
        <v>46153</v>
      </c>
      <c r="B245" s="2" t="str">
        <f t="shared" si="3"/>
        <v>seg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DATE(Configurações!$B$3,5,11)</f>
        <v>46153</v>
      </c>
      <c r="B246" s="2" t="str">
        <f t="shared" si="3"/>
        <v>seg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DATE(Configurações!$B$3,5,11)</f>
        <v>46153</v>
      </c>
      <c r="B247" s="2" t="str">
        <f t="shared" si="3"/>
        <v>seg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DATE(Configurações!$B$3,5,11)</f>
        <v>46153</v>
      </c>
      <c r="B248" s="2" t="str">
        <f t="shared" si="3"/>
        <v>seg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DATE(Configurações!$B$3,5,11)</f>
        <v>46153</v>
      </c>
      <c r="B249" s="2" t="str">
        <f t="shared" si="3"/>
        <v>seg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DATE(Configurações!$B$3,5,11)</f>
        <v>46153</v>
      </c>
      <c r="B250" s="2" t="str">
        <f t="shared" si="3"/>
        <v>seg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DATE(Configurações!$B$3,5,11)</f>
        <v>46153</v>
      </c>
      <c r="B251" s="2" t="str">
        <f t="shared" si="3"/>
        <v>seg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DATE(Configurações!$B$3,5,11)</f>
        <v>46153</v>
      </c>
      <c r="B252" s="2" t="str">
        <f t="shared" si="3"/>
        <v>seg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DATE(Configurações!$B$3,5,11)</f>
        <v>46153</v>
      </c>
      <c r="B253" s="2" t="str">
        <f t="shared" si="3"/>
        <v>seg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DATE(Configurações!$B$3,5,11)</f>
        <v>46153</v>
      </c>
      <c r="B254" s="2" t="str">
        <f t="shared" si="3"/>
        <v>seg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DATE(Configurações!$B$3,5,11)</f>
        <v>46153</v>
      </c>
      <c r="B255" s="2" t="str">
        <f t="shared" si="3"/>
        <v>seg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DATE(Configurações!$B$3,5,11)</f>
        <v>46153</v>
      </c>
      <c r="B256" s="2" t="str">
        <f t="shared" si="3"/>
        <v>seg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DATE(Configurações!$B$3,5,11)</f>
        <v>46153</v>
      </c>
      <c r="B257" s="2" t="str">
        <f t="shared" si="3"/>
        <v>seg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DATE(Configurações!$B$3,5,11)</f>
        <v>46153</v>
      </c>
      <c r="B258" s="2" t="str">
        <f t="shared" si="3"/>
        <v>seg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DATE(Configurações!$B$3,5,12)</f>
        <v>46154</v>
      </c>
      <c r="B259" s="2" t="str">
        <f t="shared" si="3"/>
        <v>ter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DATE(Configurações!$B$3,5,12)</f>
        <v>46154</v>
      </c>
      <c r="B260" s="2" t="str">
        <f t="shared" si="3"/>
        <v>ter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DATE(Configurações!$B$3,5,12)</f>
        <v>46154</v>
      </c>
      <c r="B261" s="2" t="str">
        <f t="shared" si="3"/>
        <v>ter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DATE(Configurações!$B$3,5,12)</f>
        <v>46154</v>
      </c>
      <c r="B262" s="2" t="str">
        <f t="shared" ref="B262:B325" si="4">TEXT(A262,"ddd")</f>
        <v>ter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DATE(Configurações!$B$3,5,12)</f>
        <v>46154</v>
      </c>
      <c r="B263" s="2" t="str">
        <f t="shared" si="4"/>
        <v>ter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DATE(Configurações!$B$3,5,12)</f>
        <v>46154</v>
      </c>
      <c r="B264" s="2" t="str">
        <f t="shared" si="4"/>
        <v>ter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DATE(Configurações!$B$3,5,12)</f>
        <v>46154</v>
      </c>
      <c r="B265" s="2" t="str">
        <f t="shared" si="4"/>
        <v>ter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DATE(Configurações!$B$3,5,12)</f>
        <v>46154</v>
      </c>
      <c r="B266" s="2" t="str">
        <f t="shared" si="4"/>
        <v>ter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DATE(Configurações!$B$3,5,12)</f>
        <v>46154</v>
      </c>
      <c r="B267" s="2" t="str">
        <f t="shared" si="4"/>
        <v>ter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DATE(Configurações!$B$3,5,12)</f>
        <v>46154</v>
      </c>
      <c r="B268" s="2" t="str">
        <f t="shared" si="4"/>
        <v>ter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DATE(Configurações!$B$3,5,12)</f>
        <v>46154</v>
      </c>
      <c r="B269" s="2" t="str">
        <f t="shared" si="4"/>
        <v>ter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DATE(Configurações!$B$3,5,12)</f>
        <v>46154</v>
      </c>
      <c r="B270" s="2" t="str">
        <f t="shared" si="4"/>
        <v>ter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DATE(Configurações!$B$3,5,12)</f>
        <v>46154</v>
      </c>
      <c r="B271" s="2" t="str">
        <f t="shared" si="4"/>
        <v>ter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DATE(Configurações!$B$3,5,12)</f>
        <v>46154</v>
      </c>
      <c r="B272" s="2" t="str">
        <f t="shared" si="4"/>
        <v>ter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DATE(Configurações!$B$3,5,12)</f>
        <v>46154</v>
      </c>
      <c r="B273" s="2" t="str">
        <f t="shared" si="4"/>
        <v>ter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DATE(Configurações!$B$3,5,12)</f>
        <v>46154</v>
      </c>
      <c r="B274" s="2" t="str">
        <f t="shared" si="4"/>
        <v>ter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DATE(Configurações!$B$3,5,12)</f>
        <v>46154</v>
      </c>
      <c r="B275" s="2" t="str">
        <f t="shared" si="4"/>
        <v>ter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DATE(Configurações!$B$3,5,12)</f>
        <v>46154</v>
      </c>
      <c r="B276" s="2" t="str">
        <f t="shared" si="4"/>
        <v>ter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DATE(Configurações!$B$3,5,12)</f>
        <v>46154</v>
      </c>
      <c r="B277" s="2" t="str">
        <f t="shared" si="4"/>
        <v>ter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DATE(Configurações!$B$3,5,12)</f>
        <v>46154</v>
      </c>
      <c r="B278" s="2" t="str">
        <f t="shared" si="4"/>
        <v>ter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DATE(Configurações!$B$3,5,12)</f>
        <v>46154</v>
      </c>
      <c r="B279" s="2" t="str">
        <f t="shared" si="4"/>
        <v>ter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DATE(Configurações!$B$3,5,12)</f>
        <v>46154</v>
      </c>
      <c r="B280" s="2" t="str">
        <f t="shared" si="4"/>
        <v>ter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DATE(Configurações!$B$3,5,12)</f>
        <v>46154</v>
      </c>
      <c r="B281" s="2" t="str">
        <f t="shared" si="4"/>
        <v>ter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DATE(Configurações!$B$3,5,13)</f>
        <v>46155</v>
      </c>
      <c r="B282" s="2" t="str">
        <f t="shared" si="4"/>
        <v>qua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DATE(Configurações!$B$3,5,13)</f>
        <v>46155</v>
      </c>
      <c r="B283" s="2" t="str">
        <f t="shared" si="4"/>
        <v>qua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DATE(Configurações!$B$3,5,13)</f>
        <v>46155</v>
      </c>
      <c r="B284" s="2" t="str">
        <f t="shared" si="4"/>
        <v>qua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DATE(Configurações!$B$3,5,13)</f>
        <v>46155</v>
      </c>
      <c r="B285" s="2" t="str">
        <f t="shared" si="4"/>
        <v>qua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DATE(Configurações!$B$3,5,13)</f>
        <v>46155</v>
      </c>
      <c r="B286" s="2" t="str">
        <f t="shared" si="4"/>
        <v>qua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DATE(Configurações!$B$3,5,13)</f>
        <v>46155</v>
      </c>
      <c r="B287" s="2" t="str">
        <f t="shared" si="4"/>
        <v>qua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DATE(Configurações!$B$3,5,13)</f>
        <v>46155</v>
      </c>
      <c r="B288" s="2" t="str">
        <f t="shared" si="4"/>
        <v>qua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DATE(Configurações!$B$3,5,13)</f>
        <v>46155</v>
      </c>
      <c r="B289" s="2" t="str">
        <f t="shared" si="4"/>
        <v>qua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DATE(Configurações!$B$3,5,13)</f>
        <v>46155</v>
      </c>
      <c r="B290" s="2" t="str">
        <f t="shared" si="4"/>
        <v>qua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DATE(Configurações!$B$3,5,13)</f>
        <v>46155</v>
      </c>
      <c r="B291" s="2" t="str">
        <f t="shared" si="4"/>
        <v>qua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DATE(Configurações!$B$3,5,13)</f>
        <v>46155</v>
      </c>
      <c r="B292" s="2" t="str">
        <f t="shared" si="4"/>
        <v>qua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DATE(Configurações!$B$3,5,13)</f>
        <v>46155</v>
      </c>
      <c r="B293" s="2" t="str">
        <f t="shared" si="4"/>
        <v>qua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DATE(Configurações!$B$3,5,13)</f>
        <v>46155</v>
      </c>
      <c r="B294" s="2" t="str">
        <f t="shared" si="4"/>
        <v>qua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DATE(Configurações!$B$3,5,13)</f>
        <v>46155</v>
      </c>
      <c r="B295" s="2" t="str">
        <f t="shared" si="4"/>
        <v>qua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DATE(Configurações!$B$3,5,13)</f>
        <v>46155</v>
      </c>
      <c r="B296" s="2" t="str">
        <f t="shared" si="4"/>
        <v>qua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DATE(Configurações!$B$3,5,13)</f>
        <v>46155</v>
      </c>
      <c r="B297" s="2" t="str">
        <f t="shared" si="4"/>
        <v>qua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DATE(Configurações!$B$3,5,13)</f>
        <v>46155</v>
      </c>
      <c r="B298" s="2" t="str">
        <f t="shared" si="4"/>
        <v>qua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DATE(Configurações!$B$3,5,13)</f>
        <v>46155</v>
      </c>
      <c r="B299" s="2" t="str">
        <f t="shared" si="4"/>
        <v>qua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DATE(Configurações!$B$3,5,13)</f>
        <v>46155</v>
      </c>
      <c r="B300" s="2" t="str">
        <f t="shared" si="4"/>
        <v>qua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DATE(Configurações!$B$3,5,13)</f>
        <v>46155</v>
      </c>
      <c r="B301" s="2" t="str">
        <f t="shared" si="4"/>
        <v>qua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DATE(Configurações!$B$3,5,13)</f>
        <v>46155</v>
      </c>
      <c r="B302" s="2" t="str">
        <f t="shared" si="4"/>
        <v>qua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DATE(Configurações!$B$3,5,13)</f>
        <v>46155</v>
      </c>
      <c r="B303" s="2" t="str">
        <f t="shared" si="4"/>
        <v>qua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DATE(Configurações!$B$3,5,13)</f>
        <v>46155</v>
      </c>
      <c r="B304" s="2" t="str">
        <f t="shared" si="4"/>
        <v>qua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DATE(Configurações!$B$3,5,14)</f>
        <v>46156</v>
      </c>
      <c r="B305" s="2" t="str">
        <f t="shared" si="4"/>
        <v>qui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DATE(Configurações!$B$3,5,14)</f>
        <v>46156</v>
      </c>
      <c r="B306" s="2" t="str">
        <f t="shared" si="4"/>
        <v>qui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DATE(Configurações!$B$3,5,14)</f>
        <v>46156</v>
      </c>
      <c r="B307" s="2" t="str">
        <f t="shared" si="4"/>
        <v>qui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DATE(Configurações!$B$3,5,14)</f>
        <v>46156</v>
      </c>
      <c r="B308" s="2" t="str">
        <f t="shared" si="4"/>
        <v>qui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DATE(Configurações!$B$3,5,14)</f>
        <v>46156</v>
      </c>
      <c r="B309" s="2" t="str">
        <f t="shared" si="4"/>
        <v>qui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DATE(Configurações!$B$3,5,14)</f>
        <v>46156</v>
      </c>
      <c r="B310" s="2" t="str">
        <f t="shared" si="4"/>
        <v>qui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DATE(Configurações!$B$3,5,14)</f>
        <v>46156</v>
      </c>
      <c r="B311" s="2" t="str">
        <f t="shared" si="4"/>
        <v>qui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DATE(Configurações!$B$3,5,14)</f>
        <v>46156</v>
      </c>
      <c r="B312" s="2" t="str">
        <f t="shared" si="4"/>
        <v>qui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DATE(Configurações!$B$3,5,14)</f>
        <v>46156</v>
      </c>
      <c r="B313" s="2" t="str">
        <f t="shared" si="4"/>
        <v>qui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DATE(Configurações!$B$3,5,14)</f>
        <v>46156</v>
      </c>
      <c r="B314" s="2" t="str">
        <f t="shared" si="4"/>
        <v>qui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DATE(Configurações!$B$3,5,14)</f>
        <v>46156</v>
      </c>
      <c r="B315" s="2" t="str">
        <f t="shared" si="4"/>
        <v>qui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DATE(Configurações!$B$3,5,14)</f>
        <v>46156</v>
      </c>
      <c r="B316" s="2" t="str">
        <f t="shared" si="4"/>
        <v>qui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DATE(Configurações!$B$3,5,14)</f>
        <v>46156</v>
      </c>
      <c r="B317" s="2" t="str">
        <f t="shared" si="4"/>
        <v>qui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DATE(Configurações!$B$3,5,14)</f>
        <v>46156</v>
      </c>
      <c r="B318" s="2" t="str">
        <f t="shared" si="4"/>
        <v>qui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DATE(Configurações!$B$3,5,14)</f>
        <v>46156</v>
      </c>
      <c r="B319" s="2" t="str">
        <f t="shared" si="4"/>
        <v>qui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DATE(Configurações!$B$3,5,14)</f>
        <v>46156</v>
      </c>
      <c r="B320" s="2" t="str">
        <f t="shared" si="4"/>
        <v>qui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DATE(Configurações!$B$3,5,14)</f>
        <v>46156</v>
      </c>
      <c r="B321" s="2" t="str">
        <f t="shared" si="4"/>
        <v>qui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DATE(Configurações!$B$3,5,14)</f>
        <v>46156</v>
      </c>
      <c r="B322" s="2" t="str">
        <f t="shared" si="4"/>
        <v>qui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DATE(Configurações!$B$3,5,14)</f>
        <v>46156</v>
      </c>
      <c r="B323" s="2" t="str">
        <f t="shared" si="4"/>
        <v>qui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DATE(Configurações!$B$3,5,14)</f>
        <v>46156</v>
      </c>
      <c r="B324" s="2" t="str">
        <f t="shared" si="4"/>
        <v>qui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DATE(Configurações!$B$3,5,14)</f>
        <v>46156</v>
      </c>
      <c r="B325" s="2" t="str">
        <f t="shared" si="4"/>
        <v>qui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DATE(Configurações!$B$3,5,14)</f>
        <v>46156</v>
      </c>
      <c r="B326" s="2" t="str">
        <f t="shared" ref="B326:B389" si="5">TEXT(A326,"ddd")</f>
        <v>qui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DATE(Configurações!$B$3,5,14)</f>
        <v>46156</v>
      </c>
      <c r="B327" s="2" t="str">
        <f t="shared" si="5"/>
        <v>qui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DATE(Configurações!$B$3,5,15)</f>
        <v>46157</v>
      </c>
      <c r="B328" s="2" t="str">
        <f t="shared" si="5"/>
        <v>sex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DATE(Configurações!$B$3,5,15)</f>
        <v>46157</v>
      </c>
      <c r="B329" s="2" t="str">
        <f t="shared" si="5"/>
        <v>sex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DATE(Configurações!$B$3,5,15)</f>
        <v>46157</v>
      </c>
      <c r="B330" s="2" t="str">
        <f t="shared" si="5"/>
        <v>sex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DATE(Configurações!$B$3,5,15)</f>
        <v>46157</v>
      </c>
      <c r="B331" s="2" t="str">
        <f t="shared" si="5"/>
        <v>sex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DATE(Configurações!$B$3,5,15)</f>
        <v>46157</v>
      </c>
      <c r="B332" s="2" t="str">
        <f t="shared" si="5"/>
        <v>sex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DATE(Configurações!$B$3,5,15)</f>
        <v>46157</v>
      </c>
      <c r="B333" s="2" t="str">
        <f t="shared" si="5"/>
        <v>sex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DATE(Configurações!$B$3,5,15)</f>
        <v>46157</v>
      </c>
      <c r="B334" s="2" t="str">
        <f t="shared" si="5"/>
        <v>sex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DATE(Configurações!$B$3,5,15)</f>
        <v>46157</v>
      </c>
      <c r="B335" s="2" t="str">
        <f t="shared" si="5"/>
        <v>sex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DATE(Configurações!$B$3,5,15)</f>
        <v>46157</v>
      </c>
      <c r="B336" s="2" t="str">
        <f t="shared" si="5"/>
        <v>sex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DATE(Configurações!$B$3,5,15)</f>
        <v>46157</v>
      </c>
      <c r="B337" s="2" t="str">
        <f t="shared" si="5"/>
        <v>sex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DATE(Configurações!$B$3,5,15)</f>
        <v>46157</v>
      </c>
      <c r="B338" s="2" t="str">
        <f t="shared" si="5"/>
        <v>sex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DATE(Configurações!$B$3,5,15)</f>
        <v>46157</v>
      </c>
      <c r="B339" s="2" t="str">
        <f t="shared" si="5"/>
        <v>sex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DATE(Configurações!$B$3,5,15)</f>
        <v>46157</v>
      </c>
      <c r="B340" s="2" t="str">
        <f t="shared" si="5"/>
        <v>sex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DATE(Configurações!$B$3,5,15)</f>
        <v>46157</v>
      </c>
      <c r="B341" s="2" t="str">
        <f t="shared" si="5"/>
        <v>sex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DATE(Configurações!$B$3,5,15)</f>
        <v>46157</v>
      </c>
      <c r="B342" s="2" t="str">
        <f t="shared" si="5"/>
        <v>sex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DATE(Configurações!$B$3,5,15)</f>
        <v>46157</v>
      </c>
      <c r="B343" s="2" t="str">
        <f t="shared" si="5"/>
        <v>sex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DATE(Configurações!$B$3,5,15)</f>
        <v>46157</v>
      </c>
      <c r="B344" s="2" t="str">
        <f t="shared" si="5"/>
        <v>sex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DATE(Configurações!$B$3,5,15)</f>
        <v>46157</v>
      </c>
      <c r="B345" s="2" t="str">
        <f t="shared" si="5"/>
        <v>sex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DATE(Configurações!$B$3,5,15)</f>
        <v>46157</v>
      </c>
      <c r="B346" s="2" t="str">
        <f t="shared" si="5"/>
        <v>sex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DATE(Configurações!$B$3,5,15)</f>
        <v>46157</v>
      </c>
      <c r="B347" s="2" t="str">
        <f t="shared" si="5"/>
        <v>sex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DATE(Configurações!$B$3,5,15)</f>
        <v>46157</v>
      </c>
      <c r="B348" s="2" t="str">
        <f t="shared" si="5"/>
        <v>sex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DATE(Configurações!$B$3,5,15)</f>
        <v>46157</v>
      </c>
      <c r="B349" s="2" t="str">
        <f t="shared" si="5"/>
        <v>sex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DATE(Configurações!$B$3,5,15)</f>
        <v>46157</v>
      </c>
      <c r="B350" s="2" t="str">
        <f t="shared" si="5"/>
        <v>sex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DATE(Configurações!$B$3,5,16)</f>
        <v>46158</v>
      </c>
      <c r="B351" s="2" t="str">
        <f t="shared" si="5"/>
        <v>sáb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DATE(Configurações!$B$3,5,16)</f>
        <v>46158</v>
      </c>
      <c r="B352" s="2" t="str">
        <f t="shared" si="5"/>
        <v>sáb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DATE(Configurações!$B$3,5,16)</f>
        <v>46158</v>
      </c>
      <c r="B353" s="2" t="str">
        <f t="shared" si="5"/>
        <v>sáb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DATE(Configurações!$B$3,5,16)</f>
        <v>46158</v>
      </c>
      <c r="B354" s="2" t="str">
        <f t="shared" si="5"/>
        <v>sáb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DATE(Configurações!$B$3,5,16)</f>
        <v>46158</v>
      </c>
      <c r="B355" s="2" t="str">
        <f t="shared" si="5"/>
        <v>sáb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DATE(Configurações!$B$3,5,16)</f>
        <v>46158</v>
      </c>
      <c r="B356" s="2" t="str">
        <f t="shared" si="5"/>
        <v>sáb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DATE(Configurações!$B$3,5,16)</f>
        <v>46158</v>
      </c>
      <c r="B357" s="2" t="str">
        <f t="shared" si="5"/>
        <v>sáb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DATE(Configurações!$B$3,5,16)</f>
        <v>46158</v>
      </c>
      <c r="B358" s="2" t="str">
        <f t="shared" si="5"/>
        <v>sáb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DATE(Configurações!$B$3,5,16)</f>
        <v>46158</v>
      </c>
      <c r="B359" s="2" t="str">
        <f t="shared" si="5"/>
        <v>sáb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DATE(Configurações!$B$3,5,16)</f>
        <v>46158</v>
      </c>
      <c r="B360" s="2" t="str">
        <f t="shared" si="5"/>
        <v>sáb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DATE(Configurações!$B$3,5,16)</f>
        <v>46158</v>
      </c>
      <c r="B361" s="2" t="str">
        <f t="shared" si="5"/>
        <v>sáb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DATE(Configurações!$B$3,5,16)</f>
        <v>46158</v>
      </c>
      <c r="B362" s="2" t="str">
        <f t="shared" si="5"/>
        <v>sáb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DATE(Configurações!$B$3,5,16)</f>
        <v>46158</v>
      </c>
      <c r="B363" s="2" t="str">
        <f t="shared" si="5"/>
        <v>sáb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DATE(Configurações!$B$3,5,16)</f>
        <v>46158</v>
      </c>
      <c r="B364" s="2" t="str">
        <f t="shared" si="5"/>
        <v>sáb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DATE(Configurações!$B$3,5,16)</f>
        <v>46158</v>
      </c>
      <c r="B365" s="2" t="str">
        <f t="shared" si="5"/>
        <v>sáb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DATE(Configurações!$B$3,5,16)</f>
        <v>46158</v>
      </c>
      <c r="B366" s="2" t="str">
        <f t="shared" si="5"/>
        <v>sáb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DATE(Configurações!$B$3,5,16)</f>
        <v>46158</v>
      </c>
      <c r="B367" s="2" t="str">
        <f t="shared" si="5"/>
        <v>sáb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DATE(Configurações!$B$3,5,16)</f>
        <v>46158</v>
      </c>
      <c r="B368" s="2" t="str">
        <f t="shared" si="5"/>
        <v>sáb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DATE(Configurações!$B$3,5,16)</f>
        <v>46158</v>
      </c>
      <c r="B369" s="2" t="str">
        <f t="shared" si="5"/>
        <v>sáb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DATE(Configurações!$B$3,5,16)</f>
        <v>46158</v>
      </c>
      <c r="B370" s="2" t="str">
        <f t="shared" si="5"/>
        <v>sáb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DATE(Configurações!$B$3,5,16)</f>
        <v>46158</v>
      </c>
      <c r="B371" s="2" t="str">
        <f t="shared" si="5"/>
        <v>sáb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DATE(Configurações!$B$3,5,16)</f>
        <v>46158</v>
      </c>
      <c r="B372" s="2" t="str">
        <f t="shared" si="5"/>
        <v>sáb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DATE(Configurações!$B$3,5,16)</f>
        <v>46158</v>
      </c>
      <c r="B373" s="2" t="str">
        <f t="shared" si="5"/>
        <v>sáb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DATE(Configurações!$B$3,5,17)</f>
        <v>46159</v>
      </c>
      <c r="B374" s="2" t="str">
        <f t="shared" si="5"/>
        <v>dom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DATE(Configurações!$B$3,5,17)</f>
        <v>46159</v>
      </c>
      <c r="B375" s="2" t="str">
        <f t="shared" si="5"/>
        <v>dom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DATE(Configurações!$B$3,5,17)</f>
        <v>46159</v>
      </c>
      <c r="B376" s="2" t="str">
        <f t="shared" si="5"/>
        <v>dom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DATE(Configurações!$B$3,5,17)</f>
        <v>46159</v>
      </c>
      <c r="B377" s="2" t="str">
        <f t="shared" si="5"/>
        <v>dom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DATE(Configurações!$B$3,5,17)</f>
        <v>46159</v>
      </c>
      <c r="B378" s="2" t="str">
        <f t="shared" si="5"/>
        <v>dom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DATE(Configurações!$B$3,5,17)</f>
        <v>46159</v>
      </c>
      <c r="B379" s="2" t="str">
        <f t="shared" si="5"/>
        <v>dom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DATE(Configurações!$B$3,5,17)</f>
        <v>46159</v>
      </c>
      <c r="B380" s="2" t="str">
        <f t="shared" si="5"/>
        <v>dom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DATE(Configurações!$B$3,5,17)</f>
        <v>46159</v>
      </c>
      <c r="B381" s="2" t="str">
        <f t="shared" si="5"/>
        <v>dom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DATE(Configurações!$B$3,5,17)</f>
        <v>46159</v>
      </c>
      <c r="B382" s="2" t="str">
        <f t="shared" si="5"/>
        <v>dom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DATE(Configurações!$B$3,5,17)</f>
        <v>46159</v>
      </c>
      <c r="B383" s="2" t="str">
        <f t="shared" si="5"/>
        <v>dom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DATE(Configurações!$B$3,5,17)</f>
        <v>46159</v>
      </c>
      <c r="B384" s="2" t="str">
        <f t="shared" si="5"/>
        <v>dom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DATE(Configurações!$B$3,5,17)</f>
        <v>46159</v>
      </c>
      <c r="B385" s="2" t="str">
        <f t="shared" si="5"/>
        <v>dom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DATE(Configurações!$B$3,5,17)</f>
        <v>46159</v>
      </c>
      <c r="B386" s="2" t="str">
        <f t="shared" si="5"/>
        <v>dom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DATE(Configurações!$B$3,5,17)</f>
        <v>46159</v>
      </c>
      <c r="B387" s="2" t="str">
        <f t="shared" si="5"/>
        <v>dom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DATE(Configurações!$B$3,5,17)</f>
        <v>46159</v>
      </c>
      <c r="B388" s="2" t="str">
        <f t="shared" si="5"/>
        <v>dom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DATE(Configurações!$B$3,5,17)</f>
        <v>46159</v>
      </c>
      <c r="B389" s="2" t="str">
        <f t="shared" si="5"/>
        <v>dom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DATE(Configurações!$B$3,5,17)</f>
        <v>46159</v>
      </c>
      <c r="B390" s="2" t="str">
        <f t="shared" ref="B390:B453" si="6">TEXT(A390,"ddd")</f>
        <v>dom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DATE(Configurações!$B$3,5,17)</f>
        <v>46159</v>
      </c>
      <c r="B391" s="2" t="str">
        <f t="shared" si="6"/>
        <v>dom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DATE(Configurações!$B$3,5,17)</f>
        <v>46159</v>
      </c>
      <c r="B392" s="2" t="str">
        <f t="shared" si="6"/>
        <v>dom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DATE(Configurações!$B$3,5,17)</f>
        <v>46159</v>
      </c>
      <c r="B393" s="2" t="str">
        <f t="shared" si="6"/>
        <v>dom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DATE(Configurações!$B$3,5,17)</f>
        <v>46159</v>
      </c>
      <c r="B394" s="2" t="str">
        <f t="shared" si="6"/>
        <v>dom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DATE(Configurações!$B$3,5,17)</f>
        <v>46159</v>
      </c>
      <c r="B395" s="2" t="str">
        <f t="shared" si="6"/>
        <v>dom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DATE(Configurações!$B$3,5,17)</f>
        <v>46159</v>
      </c>
      <c r="B396" s="2" t="str">
        <f t="shared" si="6"/>
        <v>dom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DATE(Configurações!$B$3,5,18)</f>
        <v>46160</v>
      </c>
      <c r="B397" s="2" t="str">
        <f t="shared" si="6"/>
        <v>seg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DATE(Configurações!$B$3,5,18)</f>
        <v>46160</v>
      </c>
      <c r="B398" s="2" t="str">
        <f t="shared" si="6"/>
        <v>seg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DATE(Configurações!$B$3,5,18)</f>
        <v>46160</v>
      </c>
      <c r="B399" s="2" t="str">
        <f t="shared" si="6"/>
        <v>seg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DATE(Configurações!$B$3,5,18)</f>
        <v>46160</v>
      </c>
      <c r="B400" s="2" t="str">
        <f t="shared" si="6"/>
        <v>seg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DATE(Configurações!$B$3,5,18)</f>
        <v>46160</v>
      </c>
      <c r="B401" s="2" t="str">
        <f t="shared" si="6"/>
        <v>seg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DATE(Configurações!$B$3,5,18)</f>
        <v>46160</v>
      </c>
      <c r="B402" s="2" t="str">
        <f t="shared" si="6"/>
        <v>seg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DATE(Configurações!$B$3,5,18)</f>
        <v>46160</v>
      </c>
      <c r="B403" s="2" t="str">
        <f t="shared" si="6"/>
        <v>seg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DATE(Configurações!$B$3,5,18)</f>
        <v>46160</v>
      </c>
      <c r="B404" s="2" t="str">
        <f t="shared" si="6"/>
        <v>seg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DATE(Configurações!$B$3,5,18)</f>
        <v>46160</v>
      </c>
      <c r="B405" s="2" t="str">
        <f t="shared" si="6"/>
        <v>seg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DATE(Configurações!$B$3,5,18)</f>
        <v>46160</v>
      </c>
      <c r="B406" s="2" t="str">
        <f t="shared" si="6"/>
        <v>seg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DATE(Configurações!$B$3,5,18)</f>
        <v>46160</v>
      </c>
      <c r="B407" s="2" t="str">
        <f t="shared" si="6"/>
        <v>seg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DATE(Configurações!$B$3,5,18)</f>
        <v>46160</v>
      </c>
      <c r="B408" s="2" t="str">
        <f t="shared" si="6"/>
        <v>seg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DATE(Configurações!$B$3,5,18)</f>
        <v>46160</v>
      </c>
      <c r="B409" s="2" t="str">
        <f t="shared" si="6"/>
        <v>seg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DATE(Configurações!$B$3,5,18)</f>
        <v>46160</v>
      </c>
      <c r="B410" s="2" t="str">
        <f t="shared" si="6"/>
        <v>seg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DATE(Configurações!$B$3,5,18)</f>
        <v>46160</v>
      </c>
      <c r="B411" s="2" t="str">
        <f t="shared" si="6"/>
        <v>seg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DATE(Configurações!$B$3,5,18)</f>
        <v>46160</v>
      </c>
      <c r="B412" s="2" t="str">
        <f t="shared" si="6"/>
        <v>seg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DATE(Configurações!$B$3,5,18)</f>
        <v>46160</v>
      </c>
      <c r="B413" s="2" t="str">
        <f t="shared" si="6"/>
        <v>seg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DATE(Configurações!$B$3,5,18)</f>
        <v>46160</v>
      </c>
      <c r="B414" s="2" t="str">
        <f t="shared" si="6"/>
        <v>seg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DATE(Configurações!$B$3,5,18)</f>
        <v>46160</v>
      </c>
      <c r="B415" s="2" t="str">
        <f t="shared" si="6"/>
        <v>seg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DATE(Configurações!$B$3,5,18)</f>
        <v>46160</v>
      </c>
      <c r="B416" s="2" t="str">
        <f t="shared" si="6"/>
        <v>seg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DATE(Configurações!$B$3,5,18)</f>
        <v>46160</v>
      </c>
      <c r="B417" s="2" t="str">
        <f t="shared" si="6"/>
        <v>seg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DATE(Configurações!$B$3,5,18)</f>
        <v>46160</v>
      </c>
      <c r="B418" s="2" t="str">
        <f t="shared" si="6"/>
        <v>seg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DATE(Configurações!$B$3,5,18)</f>
        <v>46160</v>
      </c>
      <c r="B419" s="2" t="str">
        <f t="shared" si="6"/>
        <v>seg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DATE(Configurações!$B$3,5,19)</f>
        <v>46161</v>
      </c>
      <c r="B420" s="2" t="str">
        <f t="shared" si="6"/>
        <v>ter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DATE(Configurações!$B$3,5,19)</f>
        <v>46161</v>
      </c>
      <c r="B421" s="2" t="str">
        <f t="shared" si="6"/>
        <v>ter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DATE(Configurações!$B$3,5,19)</f>
        <v>46161</v>
      </c>
      <c r="B422" s="2" t="str">
        <f t="shared" si="6"/>
        <v>ter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DATE(Configurações!$B$3,5,19)</f>
        <v>46161</v>
      </c>
      <c r="B423" s="2" t="str">
        <f t="shared" si="6"/>
        <v>ter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DATE(Configurações!$B$3,5,19)</f>
        <v>46161</v>
      </c>
      <c r="B424" s="2" t="str">
        <f t="shared" si="6"/>
        <v>ter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DATE(Configurações!$B$3,5,19)</f>
        <v>46161</v>
      </c>
      <c r="B425" s="2" t="str">
        <f t="shared" si="6"/>
        <v>ter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DATE(Configurações!$B$3,5,19)</f>
        <v>46161</v>
      </c>
      <c r="B426" s="2" t="str">
        <f t="shared" si="6"/>
        <v>ter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DATE(Configurações!$B$3,5,19)</f>
        <v>46161</v>
      </c>
      <c r="B427" s="2" t="str">
        <f t="shared" si="6"/>
        <v>ter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DATE(Configurações!$B$3,5,19)</f>
        <v>46161</v>
      </c>
      <c r="B428" s="2" t="str">
        <f t="shared" si="6"/>
        <v>ter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DATE(Configurações!$B$3,5,19)</f>
        <v>46161</v>
      </c>
      <c r="B429" s="2" t="str">
        <f t="shared" si="6"/>
        <v>ter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DATE(Configurações!$B$3,5,19)</f>
        <v>46161</v>
      </c>
      <c r="B430" s="2" t="str">
        <f t="shared" si="6"/>
        <v>ter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DATE(Configurações!$B$3,5,19)</f>
        <v>46161</v>
      </c>
      <c r="B431" s="2" t="str">
        <f t="shared" si="6"/>
        <v>ter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DATE(Configurações!$B$3,5,19)</f>
        <v>46161</v>
      </c>
      <c r="B432" s="2" t="str">
        <f t="shared" si="6"/>
        <v>ter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DATE(Configurações!$B$3,5,19)</f>
        <v>46161</v>
      </c>
      <c r="B433" s="2" t="str">
        <f t="shared" si="6"/>
        <v>ter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DATE(Configurações!$B$3,5,19)</f>
        <v>46161</v>
      </c>
      <c r="B434" s="2" t="str">
        <f t="shared" si="6"/>
        <v>ter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DATE(Configurações!$B$3,5,19)</f>
        <v>46161</v>
      </c>
      <c r="B435" s="2" t="str">
        <f t="shared" si="6"/>
        <v>ter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DATE(Configurações!$B$3,5,19)</f>
        <v>46161</v>
      </c>
      <c r="B436" s="2" t="str">
        <f t="shared" si="6"/>
        <v>ter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DATE(Configurações!$B$3,5,19)</f>
        <v>46161</v>
      </c>
      <c r="B437" s="2" t="str">
        <f t="shared" si="6"/>
        <v>ter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DATE(Configurações!$B$3,5,19)</f>
        <v>46161</v>
      </c>
      <c r="B438" s="2" t="str">
        <f t="shared" si="6"/>
        <v>ter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DATE(Configurações!$B$3,5,19)</f>
        <v>46161</v>
      </c>
      <c r="B439" s="2" t="str">
        <f t="shared" si="6"/>
        <v>ter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DATE(Configurações!$B$3,5,19)</f>
        <v>46161</v>
      </c>
      <c r="B440" s="2" t="str">
        <f t="shared" si="6"/>
        <v>ter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DATE(Configurações!$B$3,5,19)</f>
        <v>46161</v>
      </c>
      <c r="B441" s="2" t="str">
        <f t="shared" si="6"/>
        <v>ter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DATE(Configurações!$B$3,5,19)</f>
        <v>46161</v>
      </c>
      <c r="B442" s="2" t="str">
        <f t="shared" si="6"/>
        <v>ter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DATE(Configurações!$B$3,5,20)</f>
        <v>46162</v>
      </c>
      <c r="B443" s="2" t="str">
        <f t="shared" si="6"/>
        <v>qua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DATE(Configurações!$B$3,5,20)</f>
        <v>46162</v>
      </c>
      <c r="B444" s="2" t="str">
        <f t="shared" si="6"/>
        <v>qua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DATE(Configurações!$B$3,5,20)</f>
        <v>46162</v>
      </c>
      <c r="B445" s="2" t="str">
        <f t="shared" si="6"/>
        <v>qua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DATE(Configurações!$B$3,5,20)</f>
        <v>46162</v>
      </c>
      <c r="B446" s="2" t="str">
        <f t="shared" si="6"/>
        <v>qua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DATE(Configurações!$B$3,5,20)</f>
        <v>46162</v>
      </c>
      <c r="B447" s="2" t="str">
        <f t="shared" si="6"/>
        <v>qua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DATE(Configurações!$B$3,5,20)</f>
        <v>46162</v>
      </c>
      <c r="B448" s="2" t="str">
        <f t="shared" si="6"/>
        <v>qua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DATE(Configurações!$B$3,5,20)</f>
        <v>46162</v>
      </c>
      <c r="B449" s="2" t="str">
        <f t="shared" si="6"/>
        <v>qua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DATE(Configurações!$B$3,5,20)</f>
        <v>46162</v>
      </c>
      <c r="B450" s="2" t="str">
        <f t="shared" si="6"/>
        <v>qua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DATE(Configurações!$B$3,5,20)</f>
        <v>46162</v>
      </c>
      <c r="B451" s="2" t="str">
        <f t="shared" si="6"/>
        <v>qua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DATE(Configurações!$B$3,5,20)</f>
        <v>46162</v>
      </c>
      <c r="B452" s="2" t="str">
        <f t="shared" si="6"/>
        <v>qua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DATE(Configurações!$B$3,5,20)</f>
        <v>46162</v>
      </c>
      <c r="B453" s="2" t="str">
        <f t="shared" si="6"/>
        <v>qua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DATE(Configurações!$B$3,5,20)</f>
        <v>46162</v>
      </c>
      <c r="B454" s="2" t="str">
        <f t="shared" ref="B454:B517" si="7">TEXT(A454,"ddd")</f>
        <v>qua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DATE(Configurações!$B$3,5,20)</f>
        <v>46162</v>
      </c>
      <c r="B455" s="2" t="str">
        <f t="shared" si="7"/>
        <v>qua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DATE(Configurações!$B$3,5,20)</f>
        <v>46162</v>
      </c>
      <c r="B456" s="2" t="str">
        <f t="shared" si="7"/>
        <v>qua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DATE(Configurações!$B$3,5,20)</f>
        <v>46162</v>
      </c>
      <c r="B457" s="2" t="str">
        <f t="shared" si="7"/>
        <v>qua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DATE(Configurações!$B$3,5,20)</f>
        <v>46162</v>
      </c>
      <c r="B458" s="2" t="str">
        <f t="shared" si="7"/>
        <v>qua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DATE(Configurações!$B$3,5,20)</f>
        <v>46162</v>
      </c>
      <c r="B459" s="2" t="str">
        <f t="shared" si="7"/>
        <v>qua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DATE(Configurações!$B$3,5,20)</f>
        <v>46162</v>
      </c>
      <c r="B460" s="2" t="str">
        <f t="shared" si="7"/>
        <v>qua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DATE(Configurações!$B$3,5,20)</f>
        <v>46162</v>
      </c>
      <c r="B461" s="2" t="str">
        <f t="shared" si="7"/>
        <v>qua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DATE(Configurações!$B$3,5,20)</f>
        <v>46162</v>
      </c>
      <c r="B462" s="2" t="str">
        <f t="shared" si="7"/>
        <v>qua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DATE(Configurações!$B$3,5,20)</f>
        <v>46162</v>
      </c>
      <c r="B463" s="2" t="str">
        <f t="shared" si="7"/>
        <v>qua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DATE(Configurações!$B$3,5,20)</f>
        <v>46162</v>
      </c>
      <c r="B464" s="2" t="str">
        <f t="shared" si="7"/>
        <v>qua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DATE(Configurações!$B$3,5,20)</f>
        <v>46162</v>
      </c>
      <c r="B465" s="2" t="str">
        <f t="shared" si="7"/>
        <v>qua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DATE(Configurações!$B$3,5,21)</f>
        <v>46163</v>
      </c>
      <c r="B466" s="2" t="str">
        <f t="shared" si="7"/>
        <v>qui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DATE(Configurações!$B$3,5,21)</f>
        <v>46163</v>
      </c>
      <c r="B467" s="2" t="str">
        <f t="shared" si="7"/>
        <v>qui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DATE(Configurações!$B$3,5,21)</f>
        <v>46163</v>
      </c>
      <c r="B468" s="2" t="str">
        <f t="shared" si="7"/>
        <v>qui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DATE(Configurações!$B$3,5,21)</f>
        <v>46163</v>
      </c>
      <c r="B469" s="2" t="str">
        <f t="shared" si="7"/>
        <v>qui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DATE(Configurações!$B$3,5,21)</f>
        <v>46163</v>
      </c>
      <c r="B470" s="2" t="str">
        <f t="shared" si="7"/>
        <v>qui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DATE(Configurações!$B$3,5,21)</f>
        <v>46163</v>
      </c>
      <c r="B471" s="2" t="str">
        <f t="shared" si="7"/>
        <v>qui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DATE(Configurações!$B$3,5,21)</f>
        <v>46163</v>
      </c>
      <c r="B472" s="2" t="str">
        <f t="shared" si="7"/>
        <v>qui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DATE(Configurações!$B$3,5,21)</f>
        <v>46163</v>
      </c>
      <c r="B473" s="2" t="str">
        <f t="shared" si="7"/>
        <v>qui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DATE(Configurações!$B$3,5,21)</f>
        <v>46163</v>
      </c>
      <c r="B474" s="2" t="str">
        <f t="shared" si="7"/>
        <v>qui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DATE(Configurações!$B$3,5,21)</f>
        <v>46163</v>
      </c>
      <c r="B475" s="2" t="str">
        <f t="shared" si="7"/>
        <v>qui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DATE(Configurações!$B$3,5,21)</f>
        <v>46163</v>
      </c>
      <c r="B476" s="2" t="str">
        <f t="shared" si="7"/>
        <v>qui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DATE(Configurações!$B$3,5,21)</f>
        <v>46163</v>
      </c>
      <c r="B477" s="2" t="str">
        <f t="shared" si="7"/>
        <v>qui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DATE(Configurações!$B$3,5,21)</f>
        <v>46163</v>
      </c>
      <c r="B478" s="2" t="str">
        <f t="shared" si="7"/>
        <v>qui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DATE(Configurações!$B$3,5,21)</f>
        <v>46163</v>
      </c>
      <c r="B479" s="2" t="str">
        <f t="shared" si="7"/>
        <v>qui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DATE(Configurações!$B$3,5,21)</f>
        <v>46163</v>
      </c>
      <c r="B480" s="2" t="str">
        <f t="shared" si="7"/>
        <v>qui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DATE(Configurações!$B$3,5,21)</f>
        <v>46163</v>
      </c>
      <c r="B481" s="2" t="str">
        <f t="shared" si="7"/>
        <v>qui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DATE(Configurações!$B$3,5,21)</f>
        <v>46163</v>
      </c>
      <c r="B482" s="2" t="str">
        <f t="shared" si="7"/>
        <v>qui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DATE(Configurações!$B$3,5,21)</f>
        <v>46163</v>
      </c>
      <c r="B483" s="2" t="str">
        <f t="shared" si="7"/>
        <v>qui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DATE(Configurações!$B$3,5,21)</f>
        <v>46163</v>
      </c>
      <c r="B484" s="2" t="str">
        <f t="shared" si="7"/>
        <v>qui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DATE(Configurações!$B$3,5,21)</f>
        <v>46163</v>
      </c>
      <c r="B485" s="2" t="str">
        <f t="shared" si="7"/>
        <v>qui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DATE(Configurações!$B$3,5,21)</f>
        <v>46163</v>
      </c>
      <c r="B486" s="2" t="str">
        <f t="shared" si="7"/>
        <v>qui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DATE(Configurações!$B$3,5,21)</f>
        <v>46163</v>
      </c>
      <c r="B487" s="2" t="str">
        <f t="shared" si="7"/>
        <v>qui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DATE(Configurações!$B$3,5,21)</f>
        <v>46163</v>
      </c>
      <c r="B488" s="2" t="str">
        <f t="shared" si="7"/>
        <v>qui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DATE(Configurações!$B$3,5,22)</f>
        <v>46164</v>
      </c>
      <c r="B489" s="2" t="str">
        <f t="shared" si="7"/>
        <v>sex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DATE(Configurações!$B$3,5,22)</f>
        <v>46164</v>
      </c>
      <c r="B490" s="2" t="str">
        <f t="shared" si="7"/>
        <v>sex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DATE(Configurações!$B$3,5,22)</f>
        <v>46164</v>
      </c>
      <c r="B491" s="2" t="str">
        <f t="shared" si="7"/>
        <v>sex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DATE(Configurações!$B$3,5,22)</f>
        <v>46164</v>
      </c>
      <c r="B492" s="2" t="str">
        <f t="shared" si="7"/>
        <v>sex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DATE(Configurações!$B$3,5,22)</f>
        <v>46164</v>
      </c>
      <c r="B493" s="2" t="str">
        <f t="shared" si="7"/>
        <v>sex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DATE(Configurações!$B$3,5,22)</f>
        <v>46164</v>
      </c>
      <c r="B494" s="2" t="str">
        <f t="shared" si="7"/>
        <v>sex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DATE(Configurações!$B$3,5,22)</f>
        <v>46164</v>
      </c>
      <c r="B495" s="2" t="str">
        <f t="shared" si="7"/>
        <v>sex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DATE(Configurações!$B$3,5,22)</f>
        <v>46164</v>
      </c>
      <c r="B496" s="2" t="str">
        <f t="shared" si="7"/>
        <v>sex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DATE(Configurações!$B$3,5,22)</f>
        <v>46164</v>
      </c>
      <c r="B497" s="2" t="str">
        <f t="shared" si="7"/>
        <v>sex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DATE(Configurações!$B$3,5,22)</f>
        <v>46164</v>
      </c>
      <c r="B498" s="2" t="str">
        <f t="shared" si="7"/>
        <v>sex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DATE(Configurações!$B$3,5,22)</f>
        <v>46164</v>
      </c>
      <c r="B499" s="2" t="str">
        <f t="shared" si="7"/>
        <v>sex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DATE(Configurações!$B$3,5,22)</f>
        <v>46164</v>
      </c>
      <c r="B500" s="2" t="str">
        <f t="shared" si="7"/>
        <v>sex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DATE(Configurações!$B$3,5,22)</f>
        <v>46164</v>
      </c>
      <c r="B501" s="2" t="str">
        <f t="shared" si="7"/>
        <v>sex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DATE(Configurações!$B$3,5,22)</f>
        <v>46164</v>
      </c>
      <c r="B502" s="2" t="str">
        <f t="shared" si="7"/>
        <v>sex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DATE(Configurações!$B$3,5,22)</f>
        <v>46164</v>
      </c>
      <c r="B503" s="2" t="str">
        <f t="shared" si="7"/>
        <v>sex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DATE(Configurações!$B$3,5,22)</f>
        <v>46164</v>
      </c>
      <c r="B504" s="2" t="str">
        <f t="shared" si="7"/>
        <v>sex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DATE(Configurações!$B$3,5,22)</f>
        <v>46164</v>
      </c>
      <c r="B505" s="2" t="str">
        <f t="shared" si="7"/>
        <v>sex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DATE(Configurações!$B$3,5,22)</f>
        <v>46164</v>
      </c>
      <c r="B506" s="2" t="str">
        <f t="shared" si="7"/>
        <v>sex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DATE(Configurações!$B$3,5,22)</f>
        <v>46164</v>
      </c>
      <c r="B507" s="2" t="str">
        <f t="shared" si="7"/>
        <v>sex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DATE(Configurações!$B$3,5,22)</f>
        <v>46164</v>
      </c>
      <c r="B508" s="2" t="str">
        <f t="shared" si="7"/>
        <v>sex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DATE(Configurações!$B$3,5,22)</f>
        <v>46164</v>
      </c>
      <c r="B509" s="2" t="str">
        <f t="shared" si="7"/>
        <v>sex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DATE(Configurações!$B$3,5,22)</f>
        <v>46164</v>
      </c>
      <c r="B510" s="2" t="str">
        <f t="shared" si="7"/>
        <v>sex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DATE(Configurações!$B$3,5,22)</f>
        <v>46164</v>
      </c>
      <c r="B511" s="2" t="str">
        <f t="shared" si="7"/>
        <v>sex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DATE(Configurações!$B$3,5,23)</f>
        <v>46165</v>
      </c>
      <c r="B512" s="2" t="str">
        <f t="shared" si="7"/>
        <v>sáb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DATE(Configurações!$B$3,5,23)</f>
        <v>46165</v>
      </c>
      <c r="B513" s="2" t="str">
        <f t="shared" si="7"/>
        <v>sáb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DATE(Configurações!$B$3,5,23)</f>
        <v>46165</v>
      </c>
      <c r="B514" s="2" t="str">
        <f t="shared" si="7"/>
        <v>sáb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DATE(Configurações!$B$3,5,23)</f>
        <v>46165</v>
      </c>
      <c r="B515" s="2" t="str">
        <f t="shared" si="7"/>
        <v>sáb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DATE(Configurações!$B$3,5,23)</f>
        <v>46165</v>
      </c>
      <c r="B516" s="2" t="str">
        <f t="shared" si="7"/>
        <v>sáb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DATE(Configurações!$B$3,5,23)</f>
        <v>46165</v>
      </c>
      <c r="B517" s="2" t="str">
        <f t="shared" si="7"/>
        <v>sáb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DATE(Configurações!$B$3,5,23)</f>
        <v>46165</v>
      </c>
      <c r="B518" s="2" t="str">
        <f t="shared" ref="B518:B581" si="8">TEXT(A518,"ddd")</f>
        <v>sáb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DATE(Configurações!$B$3,5,23)</f>
        <v>46165</v>
      </c>
      <c r="B519" s="2" t="str">
        <f t="shared" si="8"/>
        <v>sáb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DATE(Configurações!$B$3,5,23)</f>
        <v>46165</v>
      </c>
      <c r="B520" s="2" t="str">
        <f t="shared" si="8"/>
        <v>sáb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DATE(Configurações!$B$3,5,23)</f>
        <v>46165</v>
      </c>
      <c r="B521" s="2" t="str">
        <f t="shared" si="8"/>
        <v>sáb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DATE(Configurações!$B$3,5,23)</f>
        <v>46165</v>
      </c>
      <c r="B522" s="2" t="str">
        <f t="shared" si="8"/>
        <v>sáb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DATE(Configurações!$B$3,5,23)</f>
        <v>46165</v>
      </c>
      <c r="B523" s="2" t="str">
        <f t="shared" si="8"/>
        <v>sáb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DATE(Configurações!$B$3,5,23)</f>
        <v>46165</v>
      </c>
      <c r="B524" s="2" t="str">
        <f t="shared" si="8"/>
        <v>sáb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DATE(Configurações!$B$3,5,23)</f>
        <v>46165</v>
      </c>
      <c r="B525" s="2" t="str">
        <f t="shared" si="8"/>
        <v>sáb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DATE(Configurações!$B$3,5,23)</f>
        <v>46165</v>
      </c>
      <c r="B526" s="2" t="str">
        <f t="shared" si="8"/>
        <v>sáb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DATE(Configurações!$B$3,5,23)</f>
        <v>46165</v>
      </c>
      <c r="B527" s="2" t="str">
        <f t="shared" si="8"/>
        <v>sáb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DATE(Configurações!$B$3,5,23)</f>
        <v>46165</v>
      </c>
      <c r="B528" s="2" t="str">
        <f t="shared" si="8"/>
        <v>sáb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DATE(Configurações!$B$3,5,23)</f>
        <v>46165</v>
      </c>
      <c r="B529" s="2" t="str">
        <f t="shared" si="8"/>
        <v>sáb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DATE(Configurações!$B$3,5,23)</f>
        <v>46165</v>
      </c>
      <c r="B530" s="2" t="str">
        <f t="shared" si="8"/>
        <v>sáb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DATE(Configurações!$B$3,5,23)</f>
        <v>46165</v>
      </c>
      <c r="B531" s="2" t="str">
        <f t="shared" si="8"/>
        <v>sáb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DATE(Configurações!$B$3,5,23)</f>
        <v>46165</v>
      </c>
      <c r="B532" s="2" t="str">
        <f t="shared" si="8"/>
        <v>sáb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DATE(Configurações!$B$3,5,23)</f>
        <v>46165</v>
      </c>
      <c r="B533" s="2" t="str">
        <f t="shared" si="8"/>
        <v>sáb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DATE(Configurações!$B$3,5,23)</f>
        <v>46165</v>
      </c>
      <c r="B534" s="2" t="str">
        <f t="shared" si="8"/>
        <v>sáb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DATE(Configurações!$B$3,5,24)</f>
        <v>46166</v>
      </c>
      <c r="B535" s="2" t="str">
        <f t="shared" si="8"/>
        <v>dom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DATE(Configurações!$B$3,5,24)</f>
        <v>46166</v>
      </c>
      <c r="B536" s="2" t="str">
        <f t="shared" si="8"/>
        <v>dom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DATE(Configurações!$B$3,5,24)</f>
        <v>46166</v>
      </c>
      <c r="B537" s="2" t="str">
        <f t="shared" si="8"/>
        <v>dom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DATE(Configurações!$B$3,5,24)</f>
        <v>46166</v>
      </c>
      <c r="B538" s="2" t="str">
        <f t="shared" si="8"/>
        <v>dom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DATE(Configurações!$B$3,5,24)</f>
        <v>46166</v>
      </c>
      <c r="B539" s="2" t="str">
        <f t="shared" si="8"/>
        <v>dom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DATE(Configurações!$B$3,5,24)</f>
        <v>46166</v>
      </c>
      <c r="B540" s="2" t="str">
        <f t="shared" si="8"/>
        <v>dom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DATE(Configurações!$B$3,5,24)</f>
        <v>46166</v>
      </c>
      <c r="B541" s="2" t="str">
        <f t="shared" si="8"/>
        <v>dom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DATE(Configurações!$B$3,5,24)</f>
        <v>46166</v>
      </c>
      <c r="B542" s="2" t="str">
        <f t="shared" si="8"/>
        <v>dom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DATE(Configurações!$B$3,5,24)</f>
        <v>46166</v>
      </c>
      <c r="B543" s="2" t="str">
        <f t="shared" si="8"/>
        <v>dom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DATE(Configurações!$B$3,5,24)</f>
        <v>46166</v>
      </c>
      <c r="B544" s="2" t="str">
        <f t="shared" si="8"/>
        <v>dom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DATE(Configurações!$B$3,5,24)</f>
        <v>46166</v>
      </c>
      <c r="B545" s="2" t="str">
        <f t="shared" si="8"/>
        <v>dom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DATE(Configurações!$B$3,5,24)</f>
        <v>46166</v>
      </c>
      <c r="B546" s="2" t="str">
        <f t="shared" si="8"/>
        <v>dom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DATE(Configurações!$B$3,5,24)</f>
        <v>46166</v>
      </c>
      <c r="B547" s="2" t="str">
        <f t="shared" si="8"/>
        <v>dom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DATE(Configurações!$B$3,5,24)</f>
        <v>46166</v>
      </c>
      <c r="B548" s="2" t="str">
        <f t="shared" si="8"/>
        <v>dom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DATE(Configurações!$B$3,5,24)</f>
        <v>46166</v>
      </c>
      <c r="B549" s="2" t="str">
        <f t="shared" si="8"/>
        <v>dom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DATE(Configurações!$B$3,5,24)</f>
        <v>46166</v>
      </c>
      <c r="B550" s="2" t="str">
        <f t="shared" si="8"/>
        <v>dom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DATE(Configurações!$B$3,5,24)</f>
        <v>46166</v>
      </c>
      <c r="B551" s="2" t="str">
        <f t="shared" si="8"/>
        <v>dom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DATE(Configurações!$B$3,5,24)</f>
        <v>46166</v>
      </c>
      <c r="B552" s="2" t="str">
        <f t="shared" si="8"/>
        <v>dom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DATE(Configurações!$B$3,5,24)</f>
        <v>46166</v>
      </c>
      <c r="B553" s="2" t="str">
        <f t="shared" si="8"/>
        <v>dom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DATE(Configurações!$B$3,5,24)</f>
        <v>46166</v>
      </c>
      <c r="B554" s="2" t="str">
        <f t="shared" si="8"/>
        <v>dom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DATE(Configurações!$B$3,5,24)</f>
        <v>46166</v>
      </c>
      <c r="B555" s="2" t="str">
        <f t="shared" si="8"/>
        <v>dom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DATE(Configurações!$B$3,5,24)</f>
        <v>46166</v>
      </c>
      <c r="B556" s="2" t="str">
        <f t="shared" si="8"/>
        <v>dom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DATE(Configurações!$B$3,5,24)</f>
        <v>46166</v>
      </c>
      <c r="B557" s="2" t="str">
        <f t="shared" si="8"/>
        <v>dom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DATE(Configurações!$B$3,5,25)</f>
        <v>46167</v>
      </c>
      <c r="B558" s="2" t="str">
        <f t="shared" si="8"/>
        <v>seg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DATE(Configurações!$B$3,5,25)</f>
        <v>46167</v>
      </c>
      <c r="B559" s="2" t="str">
        <f t="shared" si="8"/>
        <v>seg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DATE(Configurações!$B$3,5,25)</f>
        <v>46167</v>
      </c>
      <c r="B560" s="2" t="str">
        <f t="shared" si="8"/>
        <v>seg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DATE(Configurações!$B$3,5,25)</f>
        <v>46167</v>
      </c>
      <c r="B561" s="2" t="str">
        <f t="shared" si="8"/>
        <v>seg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DATE(Configurações!$B$3,5,25)</f>
        <v>46167</v>
      </c>
      <c r="B562" s="2" t="str">
        <f t="shared" si="8"/>
        <v>seg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DATE(Configurações!$B$3,5,25)</f>
        <v>46167</v>
      </c>
      <c r="B563" s="2" t="str">
        <f t="shared" si="8"/>
        <v>seg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DATE(Configurações!$B$3,5,25)</f>
        <v>46167</v>
      </c>
      <c r="B564" s="2" t="str">
        <f t="shared" si="8"/>
        <v>seg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DATE(Configurações!$B$3,5,25)</f>
        <v>46167</v>
      </c>
      <c r="B565" s="2" t="str">
        <f t="shared" si="8"/>
        <v>seg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DATE(Configurações!$B$3,5,25)</f>
        <v>46167</v>
      </c>
      <c r="B566" s="2" t="str">
        <f t="shared" si="8"/>
        <v>seg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DATE(Configurações!$B$3,5,25)</f>
        <v>46167</v>
      </c>
      <c r="B567" s="2" t="str">
        <f t="shared" si="8"/>
        <v>seg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DATE(Configurações!$B$3,5,25)</f>
        <v>46167</v>
      </c>
      <c r="B568" s="2" t="str">
        <f t="shared" si="8"/>
        <v>seg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DATE(Configurações!$B$3,5,25)</f>
        <v>46167</v>
      </c>
      <c r="B569" s="2" t="str">
        <f t="shared" si="8"/>
        <v>seg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DATE(Configurações!$B$3,5,25)</f>
        <v>46167</v>
      </c>
      <c r="B570" s="2" t="str">
        <f t="shared" si="8"/>
        <v>seg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DATE(Configurações!$B$3,5,25)</f>
        <v>46167</v>
      </c>
      <c r="B571" s="2" t="str">
        <f t="shared" si="8"/>
        <v>seg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DATE(Configurações!$B$3,5,25)</f>
        <v>46167</v>
      </c>
      <c r="B572" s="2" t="str">
        <f t="shared" si="8"/>
        <v>seg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DATE(Configurações!$B$3,5,25)</f>
        <v>46167</v>
      </c>
      <c r="B573" s="2" t="str">
        <f t="shared" si="8"/>
        <v>seg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DATE(Configurações!$B$3,5,25)</f>
        <v>46167</v>
      </c>
      <c r="B574" s="2" t="str">
        <f t="shared" si="8"/>
        <v>seg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DATE(Configurações!$B$3,5,25)</f>
        <v>46167</v>
      </c>
      <c r="B575" s="2" t="str">
        <f t="shared" si="8"/>
        <v>seg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DATE(Configurações!$B$3,5,25)</f>
        <v>46167</v>
      </c>
      <c r="B576" s="2" t="str">
        <f t="shared" si="8"/>
        <v>seg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DATE(Configurações!$B$3,5,25)</f>
        <v>46167</v>
      </c>
      <c r="B577" s="2" t="str">
        <f t="shared" si="8"/>
        <v>seg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DATE(Configurações!$B$3,5,25)</f>
        <v>46167</v>
      </c>
      <c r="B578" s="2" t="str">
        <f t="shared" si="8"/>
        <v>seg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DATE(Configurações!$B$3,5,25)</f>
        <v>46167</v>
      </c>
      <c r="B579" s="2" t="str">
        <f t="shared" si="8"/>
        <v>seg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DATE(Configurações!$B$3,5,25)</f>
        <v>46167</v>
      </c>
      <c r="B580" s="2" t="str">
        <f t="shared" si="8"/>
        <v>seg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DATE(Configurações!$B$3,5,26)</f>
        <v>46168</v>
      </c>
      <c r="B581" s="2" t="str">
        <f t="shared" si="8"/>
        <v>ter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DATE(Configurações!$B$3,5,26)</f>
        <v>46168</v>
      </c>
      <c r="B582" s="2" t="str">
        <f t="shared" ref="B582:B645" si="9">TEXT(A582,"ddd")</f>
        <v>ter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DATE(Configurações!$B$3,5,26)</f>
        <v>46168</v>
      </c>
      <c r="B583" s="2" t="str">
        <f t="shared" si="9"/>
        <v>ter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DATE(Configurações!$B$3,5,26)</f>
        <v>46168</v>
      </c>
      <c r="B584" s="2" t="str">
        <f t="shared" si="9"/>
        <v>ter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DATE(Configurações!$B$3,5,26)</f>
        <v>46168</v>
      </c>
      <c r="B585" s="2" t="str">
        <f t="shared" si="9"/>
        <v>ter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DATE(Configurações!$B$3,5,26)</f>
        <v>46168</v>
      </c>
      <c r="B586" s="2" t="str">
        <f t="shared" si="9"/>
        <v>ter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DATE(Configurações!$B$3,5,26)</f>
        <v>46168</v>
      </c>
      <c r="B587" s="2" t="str">
        <f t="shared" si="9"/>
        <v>ter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DATE(Configurações!$B$3,5,26)</f>
        <v>46168</v>
      </c>
      <c r="B588" s="2" t="str">
        <f t="shared" si="9"/>
        <v>ter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DATE(Configurações!$B$3,5,26)</f>
        <v>46168</v>
      </c>
      <c r="B589" s="2" t="str">
        <f t="shared" si="9"/>
        <v>ter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DATE(Configurações!$B$3,5,26)</f>
        <v>46168</v>
      </c>
      <c r="B590" s="2" t="str">
        <f t="shared" si="9"/>
        <v>ter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DATE(Configurações!$B$3,5,26)</f>
        <v>46168</v>
      </c>
      <c r="B591" s="2" t="str">
        <f t="shared" si="9"/>
        <v>ter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DATE(Configurações!$B$3,5,26)</f>
        <v>46168</v>
      </c>
      <c r="B592" s="2" t="str">
        <f t="shared" si="9"/>
        <v>ter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DATE(Configurações!$B$3,5,26)</f>
        <v>46168</v>
      </c>
      <c r="B593" s="2" t="str">
        <f t="shared" si="9"/>
        <v>ter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DATE(Configurações!$B$3,5,26)</f>
        <v>46168</v>
      </c>
      <c r="B594" s="2" t="str">
        <f t="shared" si="9"/>
        <v>ter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DATE(Configurações!$B$3,5,26)</f>
        <v>46168</v>
      </c>
      <c r="B595" s="2" t="str">
        <f t="shared" si="9"/>
        <v>ter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DATE(Configurações!$B$3,5,26)</f>
        <v>46168</v>
      </c>
      <c r="B596" s="2" t="str">
        <f t="shared" si="9"/>
        <v>ter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DATE(Configurações!$B$3,5,26)</f>
        <v>46168</v>
      </c>
      <c r="B597" s="2" t="str">
        <f t="shared" si="9"/>
        <v>ter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DATE(Configurações!$B$3,5,26)</f>
        <v>46168</v>
      </c>
      <c r="B598" s="2" t="str">
        <f t="shared" si="9"/>
        <v>ter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DATE(Configurações!$B$3,5,26)</f>
        <v>46168</v>
      </c>
      <c r="B599" s="2" t="str">
        <f t="shared" si="9"/>
        <v>ter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DATE(Configurações!$B$3,5,26)</f>
        <v>46168</v>
      </c>
      <c r="B600" s="2" t="str">
        <f t="shared" si="9"/>
        <v>ter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DATE(Configurações!$B$3,5,26)</f>
        <v>46168</v>
      </c>
      <c r="B601" s="2" t="str">
        <f t="shared" si="9"/>
        <v>ter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DATE(Configurações!$B$3,5,26)</f>
        <v>46168</v>
      </c>
      <c r="B602" s="2" t="str">
        <f t="shared" si="9"/>
        <v>ter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DATE(Configurações!$B$3,5,26)</f>
        <v>46168</v>
      </c>
      <c r="B603" s="2" t="str">
        <f t="shared" si="9"/>
        <v>ter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DATE(Configurações!$B$3,5,27)</f>
        <v>46169</v>
      </c>
      <c r="B604" s="2" t="str">
        <f t="shared" si="9"/>
        <v>qua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DATE(Configurações!$B$3,5,27)</f>
        <v>46169</v>
      </c>
      <c r="B605" s="2" t="str">
        <f t="shared" si="9"/>
        <v>qua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DATE(Configurações!$B$3,5,27)</f>
        <v>46169</v>
      </c>
      <c r="B606" s="2" t="str">
        <f t="shared" si="9"/>
        <v>qua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DATE(Configurações!$B$3,5,27)</f>
        <v>46169</v>
      </c>
      <c r="B607" s="2" t="str">
        <f t="shared" si="9"/>
        <v>qua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DATE(Configurações!$B$3,5,27)</f>
        <v>46169</v>
      </c>
      <c r="B608" s="2" t="str">
        <f t="shared" si="9"/>
        <v>qua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DATE(Configurações!$B$3,5,27)</f>
        <v>46169</v>
      </c>
      <c r="B609" s="2" t="str">
        <f t="shared" si="9"/>
        <v>qua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DATE(Configurações!$B$3,5,27)</f>
        <v>46169</v>
      </c>
      <c r="B610" s="2" t="str">
        <f t="shared" si="9"/>
        <v>qua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DATE(Configurações!$B$3,5,27)</f>
        <v>46169</v>
      </c>
      <c r="B611" s="2" t="str">
        <f t="shared" si="9"/>
        <v>qua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DATE(Configurações!$B$3,5,27)</f>
        <v>46169</v>
      </c>
      <c r="B612" s="2" t="str">
        <f t="shared" si="9"/>
        <v>qua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DATE(Configurações!$B$3,5,27)</f>
        <v>46169</v>
      </c>
      <c r="B613" s="2" t="str">
        <f t="shared" si="9"/>
        <v>qua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DATE(Configurações!$B$3,5,27)</f>
        <v>46169</v>
      </c>
      <c r="B614" s="2" t="str">
        <f t="shared" si="9"/>
        <v>qua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DATE(Configurações!$B$3,5,27)</f>
        <v>46169</v>
      </c>
      <c r="B615" s="2" t="str">
        <f t="shared" si="9"/>
        <v>qua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DATE(Configurações!$B$3,5,27)</f>
        <v>46169</v>
      </c>
      <c r="B616" s="2" t="str">
        <f t="shared" si="9"/>
        <v>qua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DATE(Configurações!$B$3,5,27)</f>
        <v>46169</v>
      </c>
      <c r="B617" s="2" t="str">
        <f t="shared" si="9"/>
        <v>qua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DATE(Configurações!$B$3,5,27)</f>
        <v>46169</v>
      </c>
      <c r="B618" s="2" t="str">
        <f t="shared" si="9"/>
        <v>qua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DATE(Configurações!$B$3,5,27)</f>
        <v>46169</v>
      </c>
      <c r="B619" s="2" t="str">
        <f t="shared" si="9"/>
        <v>qua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DATE(Configurações!$B$3,5,27)</f>
        <v>46169</v>
      </c>
      <c r="B620" s="2" t="str">
        <f t="shared" si="9"/>
        <v>qua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DATE(Configurações!$B$3,5,27)</f>
        <v>46169</v>
      </c>
      <c r="B621" s="2" t="str">
        <f t="shared" si="9"/>
        <v>qua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DATE(Configurações!$B$3,5,27)</f>
        <v>46169</v>
      </c>
      <c r="B622" s="2" t="str">
        <f t="shared" si="9"/>
        <v>qua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DATE(Configurações!$B$3,5,27)</f>
        <v>46169</v>
      </c>
      <c r="B623" s="2" t="str">
        <f t="shared" si="9"/>
        <v>qua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DATE(Configurações!$B$3,5,27)</f>
        <v>46169</v>
      </c>
      <c r="B624" s="2" t="str">
        <f t="shared" si="9"/>
        <v>qua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DATE(Configurações!$B$3,5,27)</f>
        <v>46169</v>
      </c>
      <c r="B625" s="2" t="str">
        <f t="shared" si="9"/>
        <v>qua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DATE(Configurações!$B$3,5,27)</f>
        <v>46169</v>
      </c>
      <c r="B626" s="2" t="str">
        <f t="shared" si="9"/>
        <v>qua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DATE(Configurações!$B$3,5,28)</f>
        <v>46170</v>
      </c>
      <c r="B627" s="2" t="str">
        <f t="shared" si="9"/>
        <v>qui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DATE(Configurações!$B$3,5,28)</f>
        <v>46170</v>
      </c>
      <c r="B628" s="2" t="str">
        <f t="shared" si="9"/>
        <v>qui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DATE(Configurações!$B$3,5,28)</f>
        <v>46170</v>
      </c>
      <c r="B629" s="2" t="str">
        <f t="shared" si="9"/>
        <v>qui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DATE(Configurações!$B$3,5,28)</f>
        <v>46170</v>
      </c>
      <c r="B630" s="2" t="str">
        <f t="shared" si="9"/>
        <v>qui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DATE(Configurações!$B$3,5,28)</f>
        <v>46170</v>
      </c>
      <c r="B631" s="2" t="str">
        <f t="shared" si="9"/>
        <v>qui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DATE(Configurações!$B$3,5,28)</f>
        <v>46170</v>
      </c>
      <c r="B632" s="2" t="str">
        <f t="shared" si="9"/>
        <v>qui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DATE(Configurações!$B$3,5,28)</f>
        <v>46170</v>
      </c>
      <c r="B633" s="2" t="str">
        <f t="shared" si="9"/>
        <v>qui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DATE(Configurações!$B$3,5,28)</f>
        <v>46170</v>
      </c>
      <c r="B634" s="2" t="str">
        <f t="shared" si="9"/>
        <v>qui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DATE(Configurações!$B$3,5,28)</f>
        <v>46170</v>
      </c>
      <c r="B635" s="2" t="str">
        <f t="shared" si="9"/>
        <v>qui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DATE(Configurações!$B$3,5,28)</f>
        <v>46170</v>
      </c>
      <c r="B636" s="2" t="str">
        <f t="shared" si="9"/>
        <v>qui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DATE(Configurações!$B$3,5,28)</f>
        <v>46170</v>
      </c>
      <c r="B637" s="2" t="str">
        <f t="shared" si="9"/>
        <v>qui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DATE(Configurações!$B$3,5,28)</f>
        <v>46170</v>
      </c>
      <c r="B638" s="2" t="str">
        <f t="shared" si="9"/>
        <v>qui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DATE(Configurações!$B$3,5,28)</f>
        <v>46170</v>
      </c>
      <c r="B639" s="2" t="str">
        <f t="shared" si="9"/>
        <v>qui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DATE(Configurações!$B$3,5,28)</f>
        <v>46170</v>
      </c>
      <c r="B640" s="2" t="str">
        <f t="shared" si="9"/>
        <v>qui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DATE(Configurações!$B$3,5,28)</f>
        <v>46170</v>
      </c>
      <c r="B641" s="2" t="str">
        <f t="shared" si="9"/>
        <v>qui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DATE(Configurações!$B$3,5,28)</f>
        <v>46170</v>
      </c>
      <c r="B642" s="2" t="str">
        <f t="shared" si="9"/>
        <v>qui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DATE(Configurações!$B$3,5,28)</f>
        <v>46170</v>
      </c>
      <c r="B643" s="2" t="str">
        <f t="shared" si="9"/>
        <v>qui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DATE(Configurações!$B$3,5,28)</f>
        <v>46170</v>
      </c>
      <c r="B644" s="2" t="str">
        <f t="shared" si="9"/>
        <v>qui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DATE(Configurações!$B$3,5,28)</f>
        <v>46170</v>
      </c>
      <c r="B645" s="2" t="str">
        <f t="shared" si="9"/>
        <v>qui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DATE(Configurações!$B$3,5,28)</f>
        <v>46170</v>
      </c>
      <c r="B646" s="2" t="str">
        <f t="shared" ref="B646:B709" si="10">TEXT(A646,"ddd")</f>
        <v>qui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DATE(Configurações!$B$3,5,28)</f>
        <v>46170</v>
      </c>
      <c r="B647" s="2" t="str">
        <f t="shared" si="10"/>
        <v>qui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DATE(Configurações!$B$3,5,28)</f>
        <v>46170</v>
      </c>
      <c r="B648" s="2" t="str">
        <f t="shared" si="10"/>
        <v>qui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DATE(Configurações!$B$3,5,28)</f>
        <v>46170</v>
      </c>
      <c r="B649" s="2" t="str">
        <f t="shared" si="10"/>
        <v>qui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DATE(Configurações!$B$3,5,29)</f>
        <v>46171</v>
      </c>
      <c r="B650" s="2" t="str">
        <f t="shared" si="10"/>
        <v>sex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DATE(Configurações!$B$3,5,29)</f>
        <v>46171</v>
      </c>
      <c r="B651" s="2" t="str">
        <f t="shared" si="10"/>
        <v>sex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DATE(Configurações!$B$3,5,29)</f>
        <v>46171</v>
      </c>
      <c r="B652" s="2" t="str">
        <f t="shared" si="10"/>
        <v>sex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DATE(Configurações!$B$3,5,29)</f>
        <v>46171</v>
      </c>
      <c r="B653" s="2" t="str">
        <f t="shared" si="10"/>
        <v>sex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DATE(Configurações!$B$3,5,29)</f>
        <v>46171</v>
      </c>
      <c r="B654" s="2" t="str">
        <f t="shared" si="10"/>
        <v>sex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DATE(Configurações!$B$3,5,29)</f>
        <v>46171</v>
      </c>
      <c r="B655" s="2" t="str">
        <f t="shared" si="10"/>
        <v>sex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DATE(Configurações!$B$3,5,29)</f>
        <v>46171</v>
      </c>
      <c r="B656" s="2" t="str">
        <f t="shared" si="10"/>
        <v>sex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DATE(Configurações!$B$3,5,29)</f>
        <v>46171</v>
      </c>
      <c r="B657" s="2" t="str">
        <f t="shared" si="10"/>
        <v>sex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DATE(Configurações!$B$3,5,29)</f>
        <v>46171</v>
      </c>
      <c r="B658" s="2" t="str">
        <f t="shared" si="10"/>
        <v>sex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DATE(Configurações!$B$3,5,29)</f>
        <v>46171</v>
      </c>
      <c r="B659" s="2" t="str">
        <f t="shared" si="10"/>
        <v>sex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DATE(Configurações!$B$3,5,29)</f>
        <v>46171</v>
      </c>
      <c r="B660" s="2" t="str">
        <f t="shared" si="10"/>
        <v>sex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DATE(Configurações!$B$3,5,29)</f>
        <v>46171</v>
      </c>
      <c r="B661" s="2" t="str">
        <f t="shared" si="10"/>
        <v>sex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DATE(Configurações!$B$3,5,29)</f>
        <v>46171</v>
      </c>
      <c r="B662" s="2" t="str">
        <f t="shared" si="10"/>
        <v>sex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DATE(Configurações!$B$3,5,29)</f>
        <v>46171</v>
      </c>
      <c r="B663" s="2" t="str">
        <f t="shared" si="10"/>
        <v>sex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DATE(Configurações!$B$3,5,29)</f>
        <v>46171</v>
      </c>
      <c r="B664" s="2" t="str">
        <f t="shared" si="10"/>
        <v>sex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DATE(Configurações!$B$3,5,29)</f>
        <v>46171</v>
      </c>
      <c r="B665" s="2" t="str">
        <f t="shared" si="10"/>
        <v>sex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DATE(Configurações!$B$3,5,29)</f>
        <v>46171</v>
      </c>
      <c r="B666" s="2" t="str">
        <f t="shared" si="10"/>
        <v>sex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DATE(Configurações!$B$3,5,29)</f>
        <v>46171</v>
      </c>
      <c r="B667" s="2" t="str">
        <f t="shared" si="10"/>
        <v>sex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DATE(Configurações!$B$3,5,29)</f>
        <v>46171</v>
      </c>
      <c r="B668" s="2" t="str">
        <f t="shared" si="10"/>
        <v>sex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DATE(Configurações!$B$3,5,29)</f>
        <v>46171</v>
      </c>
      <c r="B669" s="2" t="str">
        <f t="shared" si="10"/>
        <v>sex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DATE(Configurações!$B$3,5,29)</f>
        <v>46171</v>
      </c>
      <c r="B670" s="2" t="str">
        <f t="shared" si="10"/>
        <v>sex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DATE(Configurações!$B$3,5,29)</f>
        <v>46171</v>
      </c>
      <c r="B671" s="2" t="str">
        <f t="shared" si="10"/>
        <v>sex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DATE(Configurações!$B$3,5,29)</f>
        <v>46171</v>
      </c>
      <c r="B672" s="2" t="str">
        <f t="shared" si="10"/>
        <v>sex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DATE(Configurações!$B$3,5,30)</f>
        <v>46172</v>
      </c>
      <c r="B673" s="2" t="str">
        <f t="shared" si="10"/>
        <v>sáb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DATE(Configurações!$B$3,5,30)</f>
        <v>46172</v>
      </c>
      <c r="B674" s="2" t="str">
        <f t="shared" si="10"/>
        <v>sáb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DATE(Configurações!$B$3,5,30)</f>
        <v>46172</v>
      </c>
      <c r="B675" s="2" t="str">
        <f t="shared" si="10"/>
        <v>sáb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DATE(Configurações!$B$3,5,30)</f>
        <v>46172</v>
      </c>
      <c r="B676" s="2" t="str">
        <f t="shared" si="10"/>
        <v>sáb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DATE(Configurações!$B$3,5,30)</f>
        <v>46172</v>
      </c>
      <c r="B677" s="2" t="str">
        <f t="shared" si="10"/>
        <v>sáb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DATE(Configurações!$B$3,5,30)</f>
        <v>46172</v>
      </c>
      <c r="B678" s="2" t="str">
        <f t="shared" si="10"/>
        <v>sáb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DATE(Configurações!$B$3,5,30)</f>
        <v>46172</v>
      </c>
      <c r="B679" s="2" t="str">
        <f t="shared" si="10"/>
        <v>sáb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DATE(Configurações!$B$3,5,30)</f>
        <v>46172</v>
      </c>
      <c r="B680" s="2" t="str">
        <f t="shared" si="10"/>
        <v>sáb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DATE(Configurações!$B$3,5,30)</f>
        <v>46172</v>
      </c>
      <c r="B681" s="2" t="str">
        <f t="shared" si="10"/>
        <v>sáb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DATE(Configurações!$B$3,5,30)</f>
        <v>46172</v>
      </c>
      <c r="B682" s="2" t="str">
        <f t="shared" si="10"/>
        <v>sáb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DATE(Configurações!$B$3,5,30)</f>
        <v>46172</v>
      </c>
      <c r="B683" s="2" t="str">
        <f t="shared" si="10"/>
        <v>sáb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DATE(Configurações!$B$3,5,30)</f>
        <v>46172</v>
      </c>
      <c r="B684" s="2" t="str">
        <f t="shared" si="10"/>
        <v>sáb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DATE(Configurações!$B$3,5,30)</f>
        <v>46172</v>
      </c>
      <c r="B685" s="2" t="str">
        <f t="shared" si="10"/>
        <v>sáb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DATE(Configurações!$B$3,5,30)</f>
        <v>46172</v>
      </c>
      <c r="B686" s="2" t="str">
        <f t="shared" si="10"/>
        <v>sáb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DATE(Configurações!$B$3,5,30)</f>
        <v>46172</v>
      </c>
      <c r="B687" s="2" t="str">
        <f t="shared" si="10"/>
        <v>sáb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DATE(Configurações!$B$3,5,30)</f>
        <v>46172</v>
      </c>
      <c r="B688" s="2" t="str">
        <f t="shared" si="10"/>
        <v>sáb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DATE(Configurações!$B$3,5,30)</f>
        <v>46172</v>
      </c>
      <c r="B689" s="2" t="str">
        <f t="shared" si="10"/>
        <v>sáb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DATE(Configurações!$B$3,5,30)</f>
        <v>46172</v>
      </c>
      <c r="B690" s="2" t="str">
        <f t="shared" si="10"/>
        <v>sáb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DATE(Configurações!$B$3,5,30)</f>
        <v>46172</v>
      </c>
      <c r="B691" s="2" t="str">
        <f t="shared" si="10"/>
        <v>sáb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DATE(Configurações!$B$3,5,30)</f>
        <v>46172</v>
      </c>
      <c r="B692" s="2" t="str">
        <f t="shared" si="10"/>
        <v>sáb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DATE(Configurações!$B$3,5,30)</f>
        <v>46172</v>
      </c>
      <c r="B693" s="2" t="str">
        <f t="shared" si="10"/>
        <v>sáb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DATE(Configurações!$B$3,5,30)</f>
        <v>46172</v>
      </c>
      <c r="B694" s="2" t="str">
        <f t="shared" si="10"/>
        <v>sáb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DATE(Configurações!$B$3,5,30)</f>
        <v>46172</v>
      </c>
      <c r="B695" s="2" t="str">
        <f t="shared" si="10"/>
        <v>sáb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DATE(Configurações!$B$3,5,31)</f>
        <v>46173</v>
      </c>
      <c r="B696" s="2" t="str">
        <f t="shared" si="10"/>
        <v>dom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DATE(Configurações!$B$3,5,31)</f>
        <v>46173</v>
      </c>
      <c r="B697" s="2" t="str">
        <f t="shared" si="10"/>
        <v>dom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DATE(Configurações!$B$3,5,31)</f>
        <v>46173</v>
      </c>
      <c r="B698" s="2" t="str">
        <f t="shared" si="10"/>
        <v>dom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DATE(Configurações!$B$3,5,31)</f>
        <v>46173</v>
      </c>
      <c r="B699" s="2" t="str">
        <f t="shared" si="10"/>
        <v>dom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DATE(Configurações!$B$3,5,31)</f>
        <v>46173</v>
      </c>
      <c r="B700" s="2" t="str">
        <f t="shared" si="10"/>
        <v>dom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DATE(Configurações!$B$3,5,31)</f>
        <v>46173</v>
      </c>
      <c r="B701" s="2" t="str">
        <f t="shared" si="10"/>
        <v>dom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DATE(Configurações!$B$3,5,31)</f>
        <v>46173</v>
      </c>
      <c r="B702" s="2" t="str">
        <f t="shared" si="10"/>
        <v>dom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DATE(Configurações!$B$3,5,31)</f>
        <v>46173</v>
      </c>
      <c r="B703" s="2" t="str">
        <f t="shared" si="10"/>
        <v>dom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DATE(Configurações!$B$3,5,31)</f>
        <v>46173</v>
      </c>
      <c r="B704" s="2" t="str">
        <f t="shared" si="10"/>
        <v>dom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DATE(Configurações!$B$3,5,31)</f>
        <v>46173</v>
      </c>
      <c r="B705" s="2" t="str">
        <f t="shared" si="10"/>
        <v>dom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DATE(Configurações!$B$3,5,31)</f>
        <v>46173</v>
      </c>
      <c r="B706" s="2" t="str">
        <f t="shared" si="10"/>
        <v>dom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DATE(Configurações!$B$3,5,31)</f>
        <v>46173</v>
      </c>
      <c r="B707" s="2" t="str">
        <f t="shared" si="10"/>
        <v>dom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DATE(Configurações!$B$3,5,31)</f>
        <v>46173</v>
      </c>
      <c r="B708" s="2" t="str">
        <f t="shared" si="10"/>
        <v>dom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DATE(Configurações!$B$3,5,31)</f>
        <v>46173</v>
      </c>
      <c r="B709" s="2" t="str">
        <f t="shared" si="10"/>
        <v>dom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DATE(Configurações!$B$3,5,31)</f>
        <v>46173</v>
      </c>
      <c r="B710" s="2" t="str">
        <f t="shared" ref="B710:B773" si="11">TEXT(A710,"ddd")</f>
        <v>dom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DATE(Configurações!$B$3,5,31)</f>
        <v>46173</v>
      </c>
      <c r="B711" s="2" t="str">
        <f t="shared" si="11"/>
        <v>dom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DATE(Configurações!$B$3,5,31)</f>
        <v>46173</v>
      </c>
      <c r="B712" s="2" t="str">
        <f t="shared" si="11"/>
        <v>dom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DATE(Configurações!$B$3,5,31)</f>
        <v>46173</v>
      </c>
      <c r="B713" s="2" t="str">
        <f t="shared" si="11"/>
        <v>dom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DATE(Configurações!$B$3,5,31)</f>
        <v>46173</v>
      </c>
      <c r="B714" s="2" t="str">
        <f t="shared" si="11"/>
        <v>dom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DATE(Configurações!$B$3,5,31)</f>
        <v>46173</v>
      </c>
      <c r="B715" s="2" t="str">
        <f t="shared" si="11"/>
        <v>dom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DATE(Configurações!$B$3,5,31)</f>
        <v>46173</v>
      </c>
      <c r="B716" s="2" t="str">
        <f t="shared" si="11"/>
        <v>dom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DATE(Configurações!$B$3,5,31)</f>
        <v>46173</v>
      </c>
      <c r="B717" s="2" t="str">
        <f t="shared" si="11"/>
        <v>dom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DATE(Configurações!$B$3,5,31)</f>
        <v>46173</v>
      </c>
      <c r="B718" s="2" t="str">
        <f t="shared" si="11"/>
        <v>dom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31" priority="1">
      <formula>F6="Online"</formula>
    </cfRule>
    <cfRule type="expression" dxfId="30" priority="2">
      <formula>F6="Offline"</formula>
    </cfRule>
    <cfRule type="expression" dxfId="29" priority="3">
      <formula>F6="Manutenção"</formula>
    </cfRule>
    <cfRule type="expression" dxfId="28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112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DATE(Configurações!$B$3,6,1)</f>
        <v>46174</v>
      </c>
      <c r="B6" s="2" t="str">
        <f t="shared" ref="B6:B69" si="0">TEXT(A6,"ddd")</f>
        <v>seg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DATE(Configurações!$B$3,6,1)</f>
        <v>46174</v>
      </c>
      <c r="B7" s="2" t="str">
        <f t="shared" si="0"/>
        <v>seg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DATE(Configurações!$B$3,6,1)</f>
        <v>46174</v>
      </c>
      <c r="B8" s="2" t="str">
        <f t="shared" si="0"/>
        <v>seg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DATE(Configurações!$B$3,6,1)</f>
        <v>46174</v>
      </c>
      <c r="B9" s="2" t="str">
        <f t="shared" si="0"/>
        <v>seg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DATE(Configurações!$B$3,6,1)</f>
        <v>46174</v>
      </c>
      <c r="B10" s="2" t="str">
        <f t="shared" si="0"/>
        <v>seg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DATE(Configurações!$B$3,6,1)</f>
        <v>46174</v>
      </c>
      <c r="B11" s="2" t="str">
        <f t="shared" si="0"/>
        <v>seg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DATE(Configurações!$B$3,6,1)</f>
        <v>46174</v>
      </c>
      <c r="B12" s="2" t="str">
        <f t="shared" si="0"/>
        <v>seg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DATE(Configurações!$B$3,6,1)</f>
        <v>46174</v>
      </c>
      <c r="B13" s="2" t="str">
        <f t="shared" si="0"/>
        <v>seg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DATE(Configurações!$B$3,6,1)</f>
        <v>46174</v>
      </c>
      <c r="B14" s="2" t="str">
        <f t="shared" si="0"/>
        <v>seg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DATE(Configurações!$B$3,6,1)</f>
        <v>46174</v>
      </c>
      <c r="B15" s="2" t="str">
        <f t="shared" si="0"/>
        <v>seg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DATE(Configurações!$B$3,6,1)</f>
        <v>46174</v>
      </c>
      <c r="B16" s="2" t="str">
        <f t="shared" si="0"/>
        <v>seg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DATE(Configurações!$B$3,6,1)</f>
        <v>46174</v>
      </c>
      <c r="B17" s="2" t="str">
        <f t="shared" si="0"/>
        <v>seg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DATE(Configurações!$B$3,6,1)</f>
        <v>46174</v>
      </c>
      <c r="B18" s="2" t="str">
        <f t="shared" si="0"/>
        <v>seg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DATE(Configurações!$B$3,6,1)</f>
        <v>46174</v>
      </c>
      <c r="B19" s="2" t="str">
        <f t="shared" si="0"/>
        <v>seg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DATE(Configurações!$B$3,6,1)</f>
        <v>46174</v>
      </c>
      <c r="B20" s="2" t="str">
        <f t="shared" si="0"/>
        <v>seg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DATE(Configurações!$B$3,6,1)</f>
        <v>46174</v>
      </c>
      <c r="B21" s="2" t="str">
        <f t="shared" si="0"/>
        <v>seg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DATE(Configurações!$B$3,6,1)</f>
        <v>46174</v>
      </c>
      <c r="B22" s="2" t="str">
        <f t="shared" si="0"/>
        <v>seg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DATE(Configurações!$B$3,6,1)</f>
        <v>46174</v>
      </c>
      <c r="B23" s="2" t="str">
        <f t="shared" si="0"/>
        <v>seg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DATE(Configurações!$B$3,6,1)</f>
        <v>46174</v>
      </c>
      <c r="B24" s="2" t="str">
        <f t="shared" si="0"/>
        <v>seg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DATE(Configurações!$B$3,6,1)</f>
        <v>46174</v>
      </c>
      <c r="B25" s="2" t="str">
        <f t="shared" si="0"/>
        <v>seg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DATE(Configurações!$B$3,6,1)</f>
        <v>46174</v>
      </c>
      <c r="B26" s="2" t="str">
        <f t="shared" si="0"/>
        <v>seg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DATE(Configurações!$B$3,6,1)</f>
        <v>46174</v>
      </c>
      <c r="B27" s="2" t="str">
        <f t="shared" si="0"/>
        <v>seg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DATE(Configurações!$B$3,6,1)</f>
        <v>46174</v>
      </c>
      <c r="B28" s="2" t="str">
        <f t="shared" si="0"/>
        <v>seg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DATE(Configurações!$B$3,6,2)</f>
        <v>46175</v>
      </c>
      <c r="B29" s="2" t="str">
        <f t="shared" si="0"/>
        <v>ter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DATE(Configurações!$B$3,6,2)</f>
        <v>46175</v>
      </c>
      <c r="B30" s="2" t="str">
        <f t="shared" si="0"/>
        <v>ter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DATE(Configurações!$B$3,6,2)</f>
        <v>46175</v>
      </c>
      <c r="B31" s="2" t="str">
        <f t="shared" si="0"/>
        <v>ter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DATE(Configurações!$B$3,6,2)</f>
        <v>46175</v>
      </c>
      <c r="B32" s="2" t="str">
        <f t="shared" si="0"/>
        <v>ter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DATE(Configurações!$B$3,6,2)</f>
        <v>46175</v>
      </c>
      <c r="B33" s="2" t="str">
        <f t="shared" si="0"/>
        <v>ter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DATE(Configurações!$B$3,6,2)</f>
        <v>46175</v>
      </c>
      <c r="B34" s="2" t="str">
        <f t="shared" si="0"/>
        <v>ter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DATE(Configurações!$B$3,6,2)</f>
        <v>46175</v>
      </c>
      <c r="B35" s="2" t="str">
        <f t="shared" si="0"/>
        <v>ter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DATE(Configurações!$B$3,6,2)</f>
        <v>46175</v>
      </c>
      <c r="B36" s="2" t="str">
        <f t="shared" si="0"/>
        <v>ter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DATE(Configurações!$B$3,6,2)</f>
        <v>46175</v>
      </c>
      <c r="B37" s="2" t="str">
        <f t="shared" si="0"/>
        <v>ter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DATE(Configurações!$B$3,6,2)</f>
        <v>46175</v>
      </c>
      <c r="B38" s="2" t="str">
        <f t="shared" si="0"/>
        <v>ter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DATE(Configurações!$B$3,6,2)</f>
        <v>46175</v>
      </c>
      <c r="B39" s="2" t="str">
        <f t="shared" si="0"/>
        <v>ter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DATE(Configurações!$B$3,6,2)</f>
        <v>46175</v>
      </c>
      <c r="B40" s="2" t="str">
        <f t="shared" si="0"/>
        <v>ter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DATE(Configurações!$B$3,6,2)</f>
        <v>46175</v>
      </c>
      <c r="B41" s="2" t="str">
        <f t="shared" si="0"/>
        <v>ter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DATE(Configurações!$B$3,6,2)</f>
        <v>46175</v>
      </c>
      <c r="B42" s="2" t="str">
        <f t="shared" si="0"/>
        <v>ter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DATE(Configurações!$B$3,6,2)</f>
        <v>46175</v>
      </c>
      <c r="B43" s="2" t="str">
        <f t="shared" si="0"/>
        <v>ter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DATE(Configurações!$B$3,6,2)</f>
        <v>46175</v>
      </c>
      <c r="B44" s="2" t="str">
        <f t="shared" si="0"/>
        <v>ter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DATE(Configurações!$B$3,6,2)</f>
        <v>46175</v>
      </c>
      <c r="B45" s="2" t="str">
        <f t="shared" si="0"/>
        <v>ter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DATE(Configurações!$B$3,6,2)</f>
        <v>46175</v>
      </c>
      <c r="B46" s="2" t="str">
        <f t="shared" si="0"/>
        <v>ter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DATE(Configurações!$B$3,6,2)</f>
        <v>46175</v>
      </c>
      <c r="B47" s="2" t="str">
        <f t="shared" si="0"/>
        <v>ter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DATE(Configurações!$B$3,6,2)</f>
        <v>46175</v>
      </c>
      <c r="B48" s="2" t="str">
        <f t="shared" si="0"/>
        <v>ter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DATE(Configurações!$B$3,6,2)</f>
        <v>46175</v>
      </c>
      <c r="B49" s="2" t="str">
        <f t="shared" si="0"/>
        <v>ter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DATE(Configurações!$B$3,6,2)</f>
        <v>46175</v>
      </c>
      <c r="B50" s="2" t="str">
        <f t="shared" si="0"/>
        <v>ter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DATE(Configurações!$B$3,6,2)</f>
        <v>46175</v>
      </c>
      <c r="B51" s="2" t="str">
        <f t="shared" si="0"/>
        <v>ter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DATE(Configurações!$B$3,6,3)</f>
        <v>46176</v>
      </c>
      <c r="B52" s="2" t="str">
        <f t="shared" si="0"/>
        <v>qua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DATE(Configurações!$B$3,6,3)</f>
        <v>46176</v>
      </c>
      <c r="B53" s="2" t="str">
        <f t="shared" si="0"/>
        <v>qua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DATE(Configurações!$B$3,6,3)</f>
        <v>46176</v>
      </c>
      <c r="B54" s="2" t="str">
        <f t="shared" si="0"/>
        <v>qua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DATE(Configurações!$B$3,6,3)</f>
        <v>46176</v>
      </c>
      <c r="B55" s="2" t="str">
        <f t="shared" si="0"/>
        <v>qua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DATE(Configurações!$B$3,6,3)</f>
        <v>46176</v>
      </c>
      <c r="B56" s="2" t="str">
        <f t="shared" si="0"/>
        <v>qua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DATE(Configurações!$B$3,6,3)</f>
        <v>46176</v>
      </c>
      <c r="B57" s="2" t="str">
        <f t="shared" si="0"/>
        <v>qua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DATE(Configurações!$B$3,6,3)</f>
        <v>46176</v>
      </c>
      <c r="B58" s="2" t="str">
        <f t="shared" si="0"/>
        <v>qua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DATE(Configurações!$B$3,6,3)</f>
        <v>46176</v>
      </c>
      <c r="B59" s="2" t="str">
        <f t="shared" si="0"/>
        <v>qua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DATE(Configurações!$B$3,6,3)</f>
        <v>46176</v>
      </c>
      <c r="B60" s="2" t="str">
        <f t="shared" si="0"/>
        <v>qua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DATE(Configurações!$B$3,6,3)</f>
        <v>46176</v>
      </c>
      <c r="B61" s="2" t="str">
        <f t="shared" si="0"/>
        <v>qua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DATE(Configurações!$B$3,6,3)</f>
        <v>46176</v>
      </c>
      <c r="B62" s="2" t="str">
        <f t="shared" si="0"/>
        <v>qua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DATE(Configurações!$B$3,6,3)</f>
        <v>46176</v>
      </c>
      <c r="B63" s="2" t="str">
        <f t="shared" si="0"/>
        <v>qua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DATE(Configurações!$B$3,6,3)</f>
        <v>46176</v>
      </c>
      <c r="B64" s="2" t="str">
        <f t="shared" si="0"/>
        <v>qua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DATE(Configurações!$B$3,6,3)</f>
        <v>46176</v>
      </c>
      <c r="B65" s="2" t="str">
        <f t="shared" si="0"/>
        <v>qua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DATE(Configurações!$B$3,6,3)</f>
        <v>46176</v>
      </c>
      <c r="B66" s="2" t="str">
        <f t="shared" si="0"/>
        <v>qua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DATE(Configurações!$B$3,6,3)</f>
        <v>46176</v>
      </c>
      <c r="B67" s="2" t="str">
        <f t="shared" si="0"/>
        <v>qua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DATE(Configurações!$B$3,6,3)</f>
        <v>46176</v>
      </c>
      <c r="B68" s="2" t="str">
        <f t="shared" si="0"/>
        <v>qua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DATE(Configurações!$B$3,6,3)</f>
        <v>46176</v>
      </c>
      <c r="B69" s="2" t="str">
        <f t="shared" si="0"/>
        <v>qua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DATE(Configurações!$B$3,6,3)</f>
        <v>46176</v>
      </c>
      <c r="B70" s="2" t="str">
        <f t="shared" ref="B70:B133" si="1">TEXT(A70,"ddd")</f>
        <v>qua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DATE(Configurações!$B$3,6,3)</f>
        <v>46176</v>
      </c>
      <c r="B71" s="2" t="str">
        <f t="shared" si="1"/>
        <v>qua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DATE(Configurações!$B$3,6,3)</f>
        <v>46176</v>
      </c>
      <c r="B72" s="2" t="str">
        <f t="shared" si="1"/>
        <v>qua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DATE(Configurações!$B$3,6,3)</f>
        <v>46176</v>
      </c>
      <c r="B73" s="2" t="str">
        <f t="shared" si="1"/>
        <v>qua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DATE(Configurações!$B$3,6,3)</f>
        <v>46176</v>
      </c>
      <c r="B74" s="2" t="str">
        <f t="shared" si="1"/>
        <v>qua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DATE(Configurações!$B$3,6,4)</f>
        <v>46177</v>
      </c>
      <c r="B75" s="2" t="str">
        <f t="shared" si="1"/>
        <v>qui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DATE(Configurações!$B$3,6,4)</f>
        <v>46177</v>
      </c>
      <c r="B76" s="2" t="str">
        <f t="shared" si="1"/>
        <v>qui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DATE(Configurações!$B$3,6,4)</f>
        <v>46177</v>
      </c>
      <c r="B77" s="2" t="str">
        <f t="shared" si="1"/>
        <v>qui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DATE(Configurações!$B$3,6,4)</f>
        <v>46177</v>
      </c>
      <c r="B78" s="2" t="str">
        <f t="shared" si="1"/>
        <v>qui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DATE(Configurações!$B$3,6,4)</f>
        <v>46177</v>
      </c>
      <c r="B79" s="2" t="str">
        <f t="shared" si="1"/>
        <v>qui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DATE(Configurações!$B$3,6,4)</f>
        <v>46177</v>
      </c>
      <c r="B80" s="2" t="str">
        <f t="shared" si="1"/>
        <v>qui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DATE(Configurações!$B$3,6,4)</f>
        <v>46177</v>
      </c>
      <c r="B81" s="2" t="str">
        <f t="shared" si="1"/>
        <v>qui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DATE(Configurações!$B$3,6,4)</f>
        <v>46177</v>
      </c>
      <c r="B82" s="2" t="str">
        <f t="shared" si="1"/>
        <v>qui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DATE(Configurações!$B$3,6,4)</f>
        <v>46177</v>
      </c>
      <c r="B83" s="2" t="str">
        <f t="shared" si="1"/>
        <v>qui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DATE(Configurações!$B$3,6,4)</f>
        <v>46177</v>
      </c>
      <c r="B84" s="2" t="str">
        <f t="shared" si="1"/>
        <v>qui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DATE(Configurações!$B$3,6,4)</f>
        <v>46177</v>
      </c>
      <c r="B85" s="2" t="str">
        <f t="shared" si="1"/>
        <v>qui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DATE(Configurações!$B$3,6,4)</f>
        <v>46177</v>
      </c>
      <c r="B86" s="2" t="str">
        <f t="shared" si="1"/>
        <v>qui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DATE(Configurações!$B$3,6,4)</f>
        <v>46177</v>
      </c>
      <c r="B87" s="2" t="str">
        <f t="shared" si="1"/>
        <v>qui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DATE(Configurações!$B$3,6,4)</f>
        <v>46177</v>
      </c>
      <c r="B88" s="2" t="str">
        <f t="shared" si="1"/>
        <v>qui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DATE(Configurações!$B$3,6,4)</f>
        <v>46177</v>
      </c>
      <c r="B89" s="2" t="str">
        <f t="shared" si="1"/>
        <v>qui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DATE(Configurações!$B$3,6,4)</f>
        <v>46177</v>
      </c>
      <c r="B90" s="2" t="str">
        <f t="shared" si="1"/>
        <v>qui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DATE(Configurações!$B$3,6,4)</f>
        <v>46177</v>
      </c>
      <c r="B91" s="2" t="str">
        <f t="shared" si="1"/>
        <v>qui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DATE(Configurações!$B$3,6,4)</f>
        <v>46177</v>
      </c>
      <c r="B92" s="2" t="str">
        <f t="shared" si="1"/>
        <v>qui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DATE(Configurações!$B$3,6,4)</f>
        <v>46177</v>
      </c>
      <c r="B93" s="2" t="str">
        <f t="shared" si="1"/>
        <v>qui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DATE(Configurações!$B$3,6,4)</f>
        <v>46177</v>
      </c>
      <c r="B94" s="2" t="str">
        <f t="shared" si="1"/>
        <v>qui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DATE(Configurações!$B$3,6,4)</f>
        <v>46177</v>
      </c>
      <c r="B95" s="2" t="str">
        <f t="shared" si="1"/>
        <v>qui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DATE(Configurações!$B$3,6,4)</f>
        <v>46177</v>
      </c>
      <c r="B96" s="2" t="str">
        <f t="shared" si="1"/>
        <v>qui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DATE(Configurações!$B$3,6,4)</f>
        <v>46177</v>
      </c>
      <c r="B97" s="2" t="str">
        <f t="shared" si="1"/>
        <v>qui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DATE(Configurações!$B$3,6,5)</f>
        <v>46178</v>
      </c>
      <c r="B98" s="2" t="str">
        <f t="shared" si="1"/>
        <v>sex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DATE(Configurações!$B$3,6,5)</f>
        <v>46178</v>
      </c>
      <c r="B99" s="2" t="str">
        <f t="shared" si="1"/>
        <v>sex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DATE(Configurações!$B$3,6,5)</f>
        <v>46178</v>
      </c>
      <c r="B100" s="2" t="str">
        <f t="shared" si="1"/>
        <v>sex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DATE(Configurações!$B$3,6,5)</f>
        <v>46178</v>
      </c>
      <c r="B101" s="2" t="str">
        <f t="shared" si="1"/>
        <v>sex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DATE(Configurações!$B$3,6,5)</f>
        <v>46178</v>
      </c>
      <c r="B102" s="2" t="str">
        <f t="shared" si="1"/>
        <v>sex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DATE(Configurações!$B$3,6,5)</f>
        <v>46178</v>
      </c>
      <c r="B103" s="2" t="str">
        <f t="shared" si="1"/>
        <v>sex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DATE(Configurações!$B$3,6,5)</f>
        <v>46178</v>
      </c>
      <c r="B104" s="2" t="str">
        <f t="shared" si="1"/>
        <v>sex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DATE(Configurações!$B$3,6,5)</f>
        <v>46178</v>
      </c>
      <c r="B105" s="2" t="str">
        <f t="shared" si="1"/>
        <v>sex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DATE(Configurações!$B$3,6,5)</f>
        <v>46178</v>
      </c>
      <c r="B106" s="2" t="str">
        <f t="shared" si="1"/>
        <v>sex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DATE(Configurações!$B$3,6,5)</f>
        <v>46178</v>
      </c>
      <c r="B107" s="2" t="str">
        <f t="shared" si="1"/>
        <v>sex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DATE(Configurações!$B$3,6,5)</f>
        <v>46178</v>
      </c>
      <c r="B108" s="2" t="str">
        <f t="shared" si="1"/>
        <v>sex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DATE(Configurações!$B$3,6,5)</f>
        <v>46178</v>
      </c>
      <c r="B109" s="2" t="str">
        <f t="shared" si="1"/>
        <v>sex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DATE(Configurações!$B$3,6,5)</f>
        <v>46178</v>
      </c>
      <c r="B110" s="2" t="str">
        <f t="shared" si="1"/>
        <v>sex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DATE(Configurações!$B$3,6,5)</f>
        <v>46178</v>
      </c>
      <c r="B111" s="2" t="str">
        <f t="shared" si="1"/>
        <v>sex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DATE(Configurações!$B$3,6,5)</f>
        <v>46178</v>
      </c>
      <c r="B112" s="2" t="str">
        <f t="shared" si="1"/>
        <v>sex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DATE(Configurações!$B$3,6,5)</f>
        <v>46178</v>
      </c>
      <c r="B113" s="2" t="str">
        <f t="shared" si="1"/>
        <v>sex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DATE(Configurações!$B$3,6,5)</f>
        <v>46178</v>
      </c>
      <c r="B114" s="2" t="str">
        <f t="shared" si="1"/>
        <v>sex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DATE(Configurações!$B$3,6,5)</f>
        <v>46178</v>
      </c>
      <c r="B115" s="2" t="str">
        <f t="shared" si="1"/>
        <v>sex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DATE(Configurações!$B$3,6,5)</f>
        <v>46178</v>
      </c>
      <c r="B116" s="2" t="str">
        <f t="shared" si="1"/>
        <v>sex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DATE(Configurações!$B$3,6,5)</f>
        <v>46178</v>
      </c>
      <c r="B117" s="2" t="str">
        <f t="shared" si="1"/>
        <v>sex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DATE(Configurações!$B$3,6,5)</f>
        <v>46178</v>
      </c>
      <c r="B118" s="2" t="str">
        <f t="shared" si="1"/>
        <v>sex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DATE(Configurações!$B$3,6,5)</f>
        <v>46178</v>
      </c>
      <c r="B119" s="2" t="str">
        <f t="shared" si="1"/>
        <v>sex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DATE(Configurações!$B$3,6,5)</f>
        <v>46178</v>
      </c>
      <c r="B120" s="2" t="str">
        <f t="shared" si="1"/>
        <v>sex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DATE(Configurações!$B$3,6,6)</f>
        <v>46179</v>
      </c>
      <c r="B121" s="2" t="str">
        <f t="shared" si="1"/>
        <v>sáb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DATE(Configurações!$B$3,6,6)</f>
        <v>46179</v>
      </c>
      <c r="B122" s="2" t="str">
        <f t="shared" si="1"/>
        <v>sáb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DATE(Configurações!$B$3,6,6)</f>
        <v>46179</v>
      </c>
      <c r="B123" s="2" t="str">
        <f t="shared" si="1"/>
        <v>sáb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DATE(Configurações!$B$3,6,6)</f>
        <v>46179</v>
      </c>
      <c r="B124" s="2" t="str">
        <f t="shared" si="1"/>
        <v>sáb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DATE(Configurações!$B$3,6,6)</f>
        <v>46179</v>
      </c>
      <c r="B125" s="2" t="str">
        <f t="shared" si="1"/>
        <v>sáb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DATE(Configurações!$B$3,6,6)</f>
        <v>46179</v>
      </c>
      <c r="B126" s="2" t="str">
        <f t="shared" si="1"/>
        <v>sáb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DATE(Configurações!$B$3,6,6)</f>
        <v>46179</v>
      </c>
      <c r="B127" s="2" t="str">
        <f t="shared" si="1"/>
        <v>sáb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DATE(Configurações!$B$3,6,6)</f>
        <v>46179</v>
      </c>
      <c r="B128" s="2" t="str">
        <f t="shared" si="1"/>
        <v>sáb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DATE(Configurações!$B$3,6,6)</f>
        <v>46179</v>
      </c>
      <c r="B129" s="2" t="str">
        <f t="shared" si="1"/>
        <v>sáb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DATE(Configurações!$B$3,6,6)</f>
        <v>46179</v>
      </c>
      <c r="B130" s="2" t="str">
        <f t="shared" si="1"/>
        <v>sáb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DATE(Configurações!$B$3,6,6)</f>
        <v>46179</v>
      </c>
      <c r="B131" s="2" t="str">
        <f t="shared" si="1"/>
        <v>sáb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DATE(Configurações!$B$3,6,6)</f>
        <v>46179</v>
      </c>
      <c r="B132" s="2" t="str">
        <f t="shared" si="1"/>
        <v>sáb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DATE(Configurações!$B$3,6,6)</f>
        <v>46179</v>
      </c>
      <c r="B133" s="2" t="str">
        <f t="shared" si="1"/>
        <v>sáb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DATE(Configurações!$B$3,6,6)</f>
        <v>46179</v>
      </c>
      <c r="B134" s="2" t="str">
        <f t="shared" ref="B134:B197" si="2">TEXT(A134,"ddd")</f>
        <v>sáb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DATE(Configurações!$B$3,6,6)</f>
        <v>46179</v>
      </c>
      <c r="B135" s="2" t="str">
        <f t="shared" si="2"/>
        <v>sáb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DATE(Configurações!$B$3,6,6)</f>
        <v>46179</v>
      </c>
      <c r="B136" s="2" t="str">
        <f t="shared" si="2"/>
        <v>sáb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DATE(Configurações!$B$3,6,6)</f>
        <v>46179</v>
      </c>
      <c r="B137" s="2" t="str">
        <f t="shared" si="2"/>
        <v>sáb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DATE(Configurações!$B$3,6,6)</f>
        <v>46179</v>
      </c>
      <c r="B138" s="2" t="str">
        <f t="shared" si="2"/>
        <v>sáb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DATE(Configurações!$B$3,6,6)</f>
        <v>46179</v>
      </c>
      <c r="B139" s="2" t="str">
        <f t="shared" si="2"/>
        <v>sáb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DATE(Configurações!$B$3,6,6)</f>
        <v>46179</v>
      </c>
      <c r="B140" s="2" t="str">
        <f t="shared" si="2"/>
        <v>sáb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DATE(Configurações!$B$3,6,6)</f>
        <v>46179</v>
      </c>
      <c r="B141" s="2" t="str">
        <f t="shared" si="2"/>
        <v>sáb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DATE(Configurações!$B$3,6,6)</f>
        <v>46179</v>
      </c>
      <c r="B142" s="2" t="str">
        <f t="shared" si="2"/>
        <v>sáb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DATE(Configurações!$B$3,6,6)</f>
        <v>46179</v>
      </c>
      <c r="B143" s="2" t="str">
        <f t="shared" si="2"/>
        <v>sáb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DATE(Configurações!$B$3,6,7)</f>
        <v>46180</v>
      </c>
      <c r="B144" s="2" t="str">
        <f t="shared" si="2"/>
        <v>dom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DATE(Configurações!$B$3,6,7)</f>
        <v>46180</v>
      </c>
      <c r="B145" s="2" t="str">
        <f t="shared" si="2"/>
        <v>dom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DATE(Configurações!$B$3,6,7)</f>
        <v>46180</v>
      </c>
      <c r="B146" s="2" t="str">
        <f t="shared" si="2"/>
        <v>dom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DATE(Configurações!$B$3,6,7)</f>
        <v>46180</v>
      </c>
      <c r="B147" s="2" t="str">
        <f t="shared" si="2"/>
        <v>dom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DATE(Configurações!$B$3,6,7)</f>
        <v>46180</v>
      </c>
      <c r="B148" s="2" t="str">
        <f t="shared" si="2"/>
        <v>dom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DATE(Configurações!$B$3,6,7)</f>
        <v>46180</v>
      </c>
      <c r="B149" s="2" t="str">
        <f t="shared" si="2"/>
        <v>dom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DATE(Configurações!$B$3,6,7)</f>
        <v>46180</v>
      </c>
      <c r="B150" s="2" t="str">
        <f t="shared" si="2"/>
        <v>dom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DATE(Configurações!$B$3,6,7)</f>
        <v>46180</v>
      </c>
      <c r="B151" s="2" t="str">
        <f t="shared" si="2"/>
        <v>dom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DATE(Configurações!$B$3,6,7)</f>
        <v>46180</v>
      </c>
      <c r="B152" s="2" t="str">
        <f t="shared" si="2"/>
        <v>dom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DATE(Configurações!$B$3,6,7)</f>
        <v>46180</v>
      </c>
      <c r="B153" s="2" t="str">
        <f t="shared" si="2"/>
        <v>dom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DATE(Configurações!$B$3,6,7)</f>
        <v>46180</v>
      </c>
      <c r="B154" s="2" t="str">
        <f t="shared" si="2"/>
        <v>dom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DATE(Configurações!$B$3,6,7)</f>
        <v>46180</v>
      </c>
      <c r="B155" s="2" t="str">
        <f t="shared" si="2"/>
        <v>dom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DATE(Configurações!$B$3,6,7)</f>
        <v>46180</v>
      </c>
      <c r="B156" s="2" t="str">
        <f t="shared" si="2"/>
        <v>dom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DATE(Configurações!$B$3,6,7)</f>
        <v>46180</v>
      </c>
      <c r="B157" s="2" t="str">
        <f t="shared" si="2"/>
        <v>dom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DATE(Configurações!$B$3,6,7)</f>
        <v>46180</v>
      </c>
      <c r="B158" s="2" t="str">
        <f t="shared" si="2"/>
        <v>dom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DATE(Configurações!$B$3,6,7)</f>
        <v>46180</v>
      </c>
      <c r="B159" s="2" t="str">
        <f t="shared" si="2"/>
        <v>dom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DATE(Configurações!$B$3,6,7)</f>
        <v>46180</v>
      </c>
      <c r="B160" s="2" t="str">
        <f t="shared" si="2"/>
        <v>dom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DATE(Configurações!$B$3,6,7)</f>
        <v>46180</v>
      </c>
      <c r="B161" s="2" t="str">
        <f t="shared" si="2"/>
        <v>dom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DATE(Configurações!$B$3,6,7)</f>
        <v>46180</v>
      </c>
      <c r="B162" s="2" t="str">
        <f t="shared" si="2"/>
        <v>dom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DATE(Configurações!$B$3,6,7)</f>
        <v>46180</v>
      </c>
      <c r="B163" s="2" t="str">
        <f t="shared" si="2"/>
        <v>dom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DATE(Configurações!$B$3,6,7)</f>
        <v>46180</v>
      </c>
      <c r="B164" s="2" t="str">
        <f t="shared" si="2"/>
        <v>dom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DATE(Configurações!$B$3,6,7)</f>
        <v>46180</v>
      </c>
      <c r="B165" s="2" t="str">
        <f t="shared" si="2"/>
        <v>dom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DATE(Configurações!$B$3,6,7)</f>
        <v>46180</v>
      </c>
      <c r="B166" s="2" t="str">
        <f t="shared" si="2"/>
        <v>dom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DATE(Configurações!$B$3,6,8)</f>
        <v>46181</v>
      </c>
      <c r="B167" s="2" t="str">
        <f t="shared" si="2"/>
        <v>seg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DATE(Configurações!$B$3,6,8)</f>
        <v>46181</v>
      </c>
      <c r="B168" s="2" t="str">
        <f t="shared" si="2"/>
        <v>seg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DATE(Configurações!$B$3,6,8)</f>
        <v>46181</v>
      </c>
      <c r="B169" s="2" t="str">
        <f t="shared" si="2"/>
        <v>seg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DATE(Configurações!$B$3,6,8)</f>
        <v>46181</v>
      </c>
      <c r="B170" s="2" t="str">
        <f t="shared" si="2"/>
        <v>seg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DATE(Configurações!$B$3,6,8)</f>
        <v>46181</v>
      </c>
      <c r="B171" s="2" t="str">
        <f t="shared" si="2"/>
        <v>seg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DATE(Configurações!$B$3,6,8)</f>
        <v>46181</v>
      </c>
      <c r="B172" s="2" t="str">
        <f t="shared" si="2"/>
        <v>seg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DATE(Configurações!$B$3,6,8)</f>
        <v>46181</v>
      </c>
      <c r="B173" s="2" t="str">
        <f t="shared" si="2"/>
        <v>seg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DATE(Configurações!$B$3,6,8)</f>
        <v>46181</v>
      </c>
      <c r="B174" s="2" t="str">
        <f t="shared" si="2"/>
        <v>seg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DATE(Configurações!$B$3,6,8)</f>
        <v>46181</v>
      </c>
      <c r="B175" s="2" t="str">
        <f t="shared" si="2"/>
        <v>seg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DATE(Configurações!$B$3,6,8)</f>
        <v>46181</v>
      </c>
      <c r="B176" s="2" t="str">
        <f t="shared" si="2"/>
        <v>seg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DATE(Configurações!$B$3,6,8)</f>
        <v>46181</v>
      </c>
      <c r="B177" s="2" t="str">
        <f t="shared" si="2"/>
        <v>seg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DATE(Configurações!$B$3,6,8)</f>
        <v>46181</v>
      </c>
      <c r="B178" s="2" t="str">
        <f t="shared" si="2"/>
        <v>seg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DATE(Configurações!$B$3,6,8)</f>
        <v>46181</v>
      </c>
      <c r="B179" s="2" t="str">
        <f t="shared" si="2"/>
        <v>seg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DATE(Configurações!$B$3,6,8)</f>
        <v>46181</v>
      </c>
      <c r="B180" s="2" t="str">
        <f t="shared" si="2"/>
        <v>seg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DATE(Configurações!$B$3,6,8)</f>
        <v>46181</v>
      </c>
      <c r="B181" s="2" t="str">
        <f t="shared" si="2"/>
        <v>seg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DATE(Configurações!$B$3,6,8)</f>
        <v>46181</v>
      </c>
      <c r="B182" s="2" t="str">
        <f t="shared" si="2"/>
        <v>seg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DATE(Configurações!$B$3,6,8)</f>
        <v>46181</v>
      </c>
      <c r="B183" s="2" t="str">
        <f t="shared" si="2"/>
        <v>seg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DATE(Configurações!$B$3,6,8)</f>
        <v>46181</v>
      </c>
      <c r="B184" s="2" t="str">
        <f t="shared" si="2"/>
        <v>seg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DATE(Configurações!$B$3,6,8)</f>
        <v>46181</v>
      </c>
      <c r="B185" s="2" t="str">
        <f t="shared" si="2"/>
        <v>seg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DATE(Configurações!$B$3,6,8)</f>
        <v>46181</v>
      </c>
      <c r="B186" s="2" t="str">
        <f t="shared" si="2"/>
        <v>seg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DATE(Configurações!$B$3,6,8)</f>
        <v>46181</v>
      </c>
      <c r="B187" s="2" t="str">
        <f t="shared" si="2"/>
        <v>seg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DATE(Configurações!$B$3,6,8)</f>
        <v>46181</v>
      </c>
      <c r="B188" s="2" t="str">
        <f t="shared" si="2"/>
        <v>seg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DATE(Configurações!$B$3,6,8)</f>
        <v>46181</v>
      </c>
      <c r="B189" s="2" t="str">
        <f t="shared" si="2"/>
        <v>seg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DATE(Configurações!$B$3,6,9)</f>
        <v>46182</v>
      </c>
      <c r="B190" s="2" t="str">
        <f t="shared" si="2"/>
        <v>ter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DATE(Configurações!$B$3,6,9)</f>
        <v>46182</v>
      </c>
      <c r="B191" s="2" t="str">
        <f t="shared" si="2"/>
        <v>ter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DATE(Configurações!$B$3,6,9)</f>
        <v>46182</v>
      </c>
      <c r="B192" s="2" t="str">
        <f t="shared" si="2"/>
        <v>ter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DATE(Configurações!$B$3,6,9)</f>
        <v>46182</v>
      </c>
      <c r="B193" s="2" t="str">
        <f t="shared" si="2"/>
        <v>ter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DATE(Configurações!$B$3,6,9)</f>
        <v>46182</v>
      </c>
      <c r="B194" s="2" t="str">
        <f t="shared" si="2"/>
        <v>ter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DATE(Configurações!$B$3,6,9)</f>
        <v>46182</v>
      </c>
      <c r="B195" s="2" t="str">
        <f t="shared" si="2"/>
        <v>ter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DATE(Configurações!$B$3,6,9)</f>
        <v>46182</v>
      </c>
      <c r="B196" s="2" t="str">
        <f t="shared" si="2"/>
        <v>ter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DATE(Configurações!$B$3,6,9)</f>
        <v>46182</v>
      </c>
      <c r="B197" s="2" t="str">
        <f t="shared" si="2"/>
        <v>ter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DATE(Configurações!$B$3,6,9)</f>
        <v>46182</v>
      </c>
      <c r="B198" s="2" t="str">
        <f t="shared" ref="B198:B261" si="3">TEXT(A198,"ddd")</f>
        <v>ter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DATE(Configurações!$B$3,6,9)</f>
        <v>46182</v>
      </c>
      <c r="B199" s="2" t="str">
        <f t="shared" si="3"/>
        <v>ter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DATE(Configurações!$B$3,6,9)</f>
        <v>46182</v>
      </c>
      <c r="B200" s="2" t="str">
        <f t="shared" si="3"/>
        <v>ter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DATE(Configurações!$B$3,6,9)</f>
        <v>46182</v>
      </c>
      <c r="B201" s="2" t="str">
        <f t="shared" si="3"/>
        <v>ter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DATE(Configurações!$B$3,6,9)</f>
        <v>46182</v>
      </c>
      <c r="B202" s="2" t="str">
        <f t="shared" si="3"/>
        <v>ter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DATE(Configurações!$B$3,6,9)</f>
        <v>46182</v>
      </c>
      <c r="B203" s="2" t="str">
        <f t="shared" si="3"/>
        <v>ter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DATE(Configurações!$B$3,6,9)</f>
        <v>46182</v>
      </c>
      <c r="B204" s="2" t="str">
        <f t="shared" si="3"/>
        <v>ter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DATE(Configurações!$B$3,6,9)</f>
        <v>46182</v>
      </c>
      <c r="B205" s="2" t="str">
        <f t="shared" si="3"/>
        <v>ter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DATE(Configurações!$B$3,6,9)</f>
        <v>46182</v>
      </c>
      <c r="B206" s="2" t="str">
        <f t="shared" si="3"/>
        <v>ter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DATE(Configurações!$B$3,6,9)</f>
        <v>46182</v>
      </c>
      <c r="B207" s="2" t="str">
        <f t="shared" si="3"/>
        <v>ter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DATE(Configurações!$B$3,6,9)</f>
        <v>46182</v>
      </c>
      <c r="B208" s="2" t="str">
        <f t="shared" si="3"/>
        <v>ter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DATE(Configurações!$B$3,6,9)</f>
        <v>46182</v>
      </c>
      <c r="B209" s="2" t="str">
        <f t="shared" si="3"/>
        <v>ter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DATE(Configurações!$B$3,6,9)</f>
        <v>46182</v>
      </c>
      <c r="B210" s="2" t="str">
        <f t="shared" si="3"/>
        <v>ter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DATE(Configurações!$B$3,6,9)</f>
        <v>46182</v>
      </c>
      <c r="B211" s="2" t="str">
        <f t="shared" si="3"/>
        <v>ter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DATE(Configurações!$B$3,6,9)</f>
        <v>46182</v>
      </c>
      <c r="B212" s="2" t="str">
        <f t="shared" si="3"/>
        <v>ter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DATE(Configurações!$B$3,6,10)</f>
        <v>46183</v>
      </c>
      <c r="B213" s="2" t="str">
        <f t="shared" si="3"/>
        <v>qua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DATE(Configurações!$B$3,6,10)</f>
        <v>46183</v>
      </c>
      <c r="B214" s="2" t="str">
        <f t="shared" si="3"/>
        <v>qua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DATE(Configurações!$B$3,6,10)</f>
        <v>46183</v>
      </c>
      <c r="B215" s="2" t="str">
        <f t="shared" si="3"/>
        <v>qua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DATE(Configurações!$B$3,6,10)</f>
        <v>46183</v>
      </c>
      <c r="B216" s="2" t="str">
        <f t="shared" si="3"/>
        <v>qua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DATE(Configurações!$B$3,6,10)</f>
        <v>46183</v>
      </c>
      <c r="B217" s="2" t="str">
        <f t="shared" si="3"/>
        <v>qua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DATE(Configurações!$B$3,6,10)</f>
        <v>46183</v>
      </c>
      <c r="B218" s="2" t="str">
        <f t="shared" si="3"/>
        <v>qua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DATE(Configurações!$B$3,6,10)</f>
        <v>46183</v>
      </c>
      <c r="B219" s="2" t="str">
        <f t="shared" si="3"/>
        <v>qua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DATE(Configurações!$B$3,6,10)</f>
        <v>46183</v>
      </c>
      <c r="B220" s="2" t="str">
        <f t="shared" si="3"/>
        <v>qua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DATE(Configurações!$B$3,6,10)</f>
        <v>46183</v>
      </c>
      <c r="B221" s="2" t="str">
        <f t="shared" si="3"/>
        <v>qua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DATE(Configurações!$B$3,6,10)</f>
        <v>46183</v>
      </c>
      <c r="B222" s="2" t="str">
        <f t="shared" si="3"/>
        <v>qua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DATE(Configurações!$B$3,6,10)</f>
        <v>46183</v>
      </c>
      <c r="B223" s="2" t="str">
        <f t="shared" si="3"/>
        <v>qua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DATE(Configurações!$B$3,6,10)</f>
        <v>46183</v>
      </c>
      <c r="B224" s="2" t="str">
        <f t="shared" si="3"/>
        <v>qua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DATE(Configurações!$B$3,6,10)</f>
        <v>46183</v>
      </c>
      <c r="B225" s="2" t="str">
        <f t="shared" si="3"/>
        <v>qua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DATE(Configurações!$B$3,6,10)</f>
        <v>46183</v>
      </c>
      <c r="B226" s="2" t="str">
        <f t="shared" si="3"/>
        <v>qua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DATE(Configurações!$B$3,6,10)</f>
        <v>46183</v>
      </c>
      <c r="B227" s="2" t="str">
        <f t="shared" si="3"/>
        <v>qua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DATE(Configurações!$B$3,6,10)</f>
        <v>46183</v>
      </c>
      <c r="B228" s="2" t="str">
        <f t="shared" si="3"/>
        <v>qua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DATE(Configurações!$B$3,6,10)</f>
        <v>46183</v>
      </c>
      <c r="B229" s="2" t="str">
        <f t="shared" si="3"/>
        <v>qua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DATE(Configurações!$B$3,6,10)</f>
        <v>46183</v>
      </c>
      <c r="B230" s="2" t="str">
        <f t="shared" si="3"/>
        <v>qua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DATE(Configurações!$B$3,6,10)</f>
        <v>46183</v>
      </c>
      <c r="B231" s="2" t="str">
        <f t="shared" si="3"/>
        <v>qua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DATE(Configurações!$B$3,6,10)</f>
        <v>46183</v>
      </c>
      <c r="B232" s="2" t="str">
        <f t="shared" si="3"/>
        <v>qua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DATE(Configurações!$B$3,6,10)</f>
        <v>46183</v>
      </c>
      <c r="B233" s="2" t="str">
        <f t="shared" si="3"/>
        <v>qua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DATE(Configurações!$B$3,6,10)</f>
        <v>46183</v>
      </c>
      <c r="B234" s="2" t="str">
        <f t="shared" si="3"/>
        <v>qua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DATE(Configurações!$B$3,6,10)</f>
        <v>46183</v>
      </c>
      <c r="B235" s="2" t="str">
        <f t="shared" si="3"/>
        <v>qua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DATE(Configurações!$B$3,6,11)</f>
        <v>46184</v>
      </c>
      <c r="B236" s="2" t="str">
        <f t="shared" si="3"/>
        <v>qui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DATE(Configurações!$B$3,6,11)</f>
        <v>46184</v>
      </c>
      <c r="B237" s="2" t="str">
        <f t="shared" si="3"/>
        <v>qui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DATE(Configurações!$B$3,6,11)</f>
        <v>46184</v>
      </c>
      <c r="B238" s="2" t="str">
        <f t="shared" si="3"/>
        <v>qui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DATE(Configurações!$B$3,6,11)</f>
        <v>46184</v>
      </c>
      <c r="B239" s="2" t="str">
        <f t="shared" si="3"/>
        <v>qui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DATE(Configurações!$B$3,6,11)</f>
        <v>46184</v>
      </c>
      <c r="B240" s="2" t="str">
        <f t="shared" si="3"/>
        <v>qui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DATE(Configurações!$B$3,6,11)</f>
        <v>46184</v>
      </c>
      <c r="B241" s="2" t="str">
        <f t="shared" si="3"/>
        <v>qui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DATE(Configurações!$B$3,6,11)</f>
        <v>46184</v>
      </c>
      <c r="B242" s="2" t="str">
        <f t="shared" si="3"/>
        <v>qui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DATE(Configurações!$B$3,6,11)</f>
        <v>46184</v>
      </c>
      <c r="B243" s="2" t="str">
        <f t="shared" si="3"/>
        <v>qui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DATE(Configurações!$B$3,6,11)</f>
        <v>46184</v>
      </c>
      <c r="B244" s="2" t="str">
        <f t="shared" si="3"/>
        <v>qui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DATE(Configurações!$B$3,6,11)</f>
        <v>46184</v>
      </c>
      <c r="B245" s="2" t="str">
        <f t="shared" si="3"/>
        <v>qui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DATE(Configurações!$B$3,6,11)</f>
        <v>46184</v>
      </c>
      <c r="B246" s="2" t="str">
        <f t="shared" si="3"/>
        <v>qui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DATE(Configurações!$B$3,6,11)</f>
        <v>46184</v>
      </c>
      <c r="B247" s="2" t="str">
        <f t="shared" si="3"/>
        <v>qui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DATE(Configurações!$B$3,6,11)</f>
        <v>46184</v>
      </c>
      <c r="B248" s="2" t="str">
        <f t="shared" si="3"/>
        <v>qui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DATE(Configurações!$B$3,6,11)</f>
        <v>46184</v>
      </c>
      <c r="B249" s="2" t="str">
        <f t="shared" si="3"/>
        <v>qui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DATE(Configurações!$B$3,6,11)</f>
        <v>46184</v>
      </c>
      <c r="B250" s="2" t="str">
        <f t="shared" si="3"/>
        <v>qui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DATE(Configurações!$B$3,6,11)</f>
        <v>46184</v>
      </c>
      <c r="B251" s="2" t="str">
        <f t="shared" si="3"/>
        <v>qui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DATE(Configurações!$B$3,6,11)</f>
        <v>46184</v>
      </c>
      <c r="B252" s="2" t="str">
        <f t="shared" si="3"/>
        <v>qui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DATE(Configurações!$B$3,6,11)</f>
        <v>46184</v>
      </c>
      <c r="B253" s="2" t="str">
        <f t="shared" si="3"/>
        <v>qui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DATE(Configurações!$B$3,6,11)</f>
        <v>46184</v>
      </c>
      <c r="B254" s="2" t="str">
        <f t="shared" si="3"/>
        <v>qui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DATE(Configurações!$B$3,6,11)</f>
        <v>46184</v>
      </c>
      <c r="B255" s="2" t="str">
        <f t="shared" si="3"/>
        <v>qui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DATE(Configurações!$B$3,6,11)</f>
        <v>46184</v>
      </c>
      <c r="B256" s="2" t="str">
        <f t="shared" si="3"/>
        <v>qui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DATE(Configurações!$B$3,6,11)</f>
        <v>46184</v>
      </c>
      <c r="B257" s="2" t="str">
        <f t="shared" si="3"/>
        <v>qui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DATE(Configurações!$B$3,6,11)</f>
        <v>46184</v>
      </c>
      <c r="B258" s="2" t="str">
        <f t="shared" si="3"/>
        <v>qui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DATE(Configurações!$B$3,6,12)</f>
        <v>46185</v>
      </c>
      <c r="B259" s="2" t="str">
        <f t="shared" si="3"/>
        <v>sex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DATE(Configurações!$B$3,6,12)</f>
        <v>46185</v>
      </c>
      <c r="B260" s="2" t="str">
        <f t="shared" si="3"/>
        <v>sex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DATE(Configurações!$B$3,6,12)</f>
        <v>46185</v>
      </c>
      <c r="B261" s="2" t="str">
        <f t="shared" si="3"/>
        <v>sex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DATE(Configurações!$B$3,6,12)</f>
        <v>46185</v>
      </c>
      <c r="B262" s="2" t="str">
        <f t="shared" ref="B262:B325" si="4">TEXT(A262,"ddd")</f>
        <v>sex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DATE(Configurações!$B$3,6,12)</f>
        <v>46185</v>
      </c>
      <c r="B263" s="2" t="str">
        <f t="shared" si="4"/>
        <v>sex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DATE(Configurações!$B$3,6,12)</f>
        <v>46185</v>
      </c>
      <c r="B264" s="2" t="str">
        <f t="shared" si="4"/>
        <v>sex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DATE(Configurações!$B$3,6,12)</f>
        <v>46185</v>
      </c>
      <c r="B265" s="2" t="str">
        <f t="shared" si="4"/>
        <v>sex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DATE(Configurações!$B$3,6,12)</f>
        <v>46185</v>
      </c>
      <c r="B266" s="2" t="str">
        <f t="shared" si="4"/>
        <v>sex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DATE(Configurações!$B$3,6,12)</f>
        <v>46185</v>
      </c>
      <c r="B267" s="2" t="str">
        <f t="shared" si="4"/>
        <v>sex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DATE(Configurações!$B$3,6,12)</f>
        <v>46185</v>
      </c>
      <c r="B268" s="2" t="str">
        <f t="shared" si="4"/>
        <v>sex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DATE(Configurações!$B$3,6,12)</f>
        <v>46185</v>
      </c>
      <c r="B269" s="2" t="str">
        <f t="shared" si="4"/>
        <v>sex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DATE(Configurações!$B$3,6,12)</f>
        <v>46185</v>
      </c>
      <c r="B270" s="2" t="str">
        <f t="shared" si="4"/>
        <v>sex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DATE(Configurações!$B$3,6,12)</f>
        <v>46185</v>
      </c>
      <c r="B271" s="2" t="str">
        <f t="shared" si="4"/>
        <v>sex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DATE(Configurações!$B$3,6,12)</f>
        <v>46185</v>
      </c>
      <c r="B272" s="2" t="str">
        <f t="shared" si="4"/>
        <v>sex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DATE(Configurações!$B$3,6,12)</f>
        <v>46185</v>
      </c>
      <c r="B273" s="2" t="str">
        <f t="shared" si="4"/>
        <v>sex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DATE(Configurações!$B$3,6,12)</f>
        <v>46185</v>
      </c>
      <c r="B274" s="2" t="str">
        <f t="shared" si="4"/>
        <v>sex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DATE(Configurações!$B$3,6,12)</f>
        <v>46185</v>
      </c>
      <c r="B275" s="2" t="str">
        <f t="shared" si="4"/>
        <v>sex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DATE(Configurações!$B$3,6,12)</f>
        <v>46185</v>
      </c>
      <c r="B276" s="2" t="str">
        <f t="shared" si="4"/>
        <v>sex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DATE(Configurações!$B$3,6,12)</f>
        <v>46185</v>
      </c>
      <c r="B277" s="2" t="str">
        <f t="shared" si="4"/>
        <v>sex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DATE(Configurações!$B$3,6,12)</f>
        <v>46185</v>
      </c>
      <c r="B278" s="2" t="str">
        <f t="shared" si="4"/>
        <v>sex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DATE(Configurações!$B$3,6,12)</f>
        <v>46185</v>
      </c>
      <c r="B279" s="2" t="str">
        <f t="shared" si="4"/>
        <v>sex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DATE(Configurações!$B$3,6,12)</f>
        <v>46185</v>
      </c>
      <c r="B280" s="2" t="str">
        <f t="shared" si="4"/>
        <v>sex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DATE(Configurações!$B$3,6,12)</f>
        <v>46185</v>
      </c>
      <c r="B281" s="2" t="str">
        <f t="shared" si="4"/>
        <v>sex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DATE(Configurações!$B$3,6,13)</f>
        <v>46186</v>
      </c>
      <c r="B282" s="2" t="str">
        <f t="shared" si="4"/>
        <v>sáb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DATE(Configurações!$B$3,6,13)</f>
        <v>46186</v>
      </c>
      <c r="B283" s="2" t="str">
        <f t="shared" si="4"/>
        <v>sáb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DATE(Configurações!$B$3,6,13)</f>
        <v>46186</v>
      </c>
      <c r="B284" s="2" t="str">
        <f t="shared" si="4"/>
        <v>sáb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DATE(Configurações!$B$3,6,13)</f>
        <v>46186</v>
      </c>
      <c r="B285" s="2" t="str">
        <f t="shared" si="4"/>
        <v>sáb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DATE(Configurações!$B$3,6,13)</f>
        <v>46186</v>
      </c>
      <c r="B286" s="2" t="str">
        <f t="shared" si="4"/>
        <v>sáb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DATE(Configurações!$B$3,6,13)</f>
        <v>46186</v>
      </c>
      <c r="B287" s="2" t="str">
        <f t="shared" si="4"/>
        <v>sáb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DATE(Configurações!$B$3,6,13)</f>
        <v>46186</v>
      </c>
      <c r="B288" s="2" t="str">
        <f t="shared" si="4"/>
        <v>sáb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DATE(Configurações!$B$3,6,13)</f>
        <v>46186</v>
      </c>
      <c r="B289" s="2" t="str">
        <f t="shared" si="4"/>
        <v>sáb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DATE(Configurações!$B$3,6,13)</f>
        <v>46186</v>
      </c>
      <c r="B290" s="2" t="str">
        <f t="shared" si="4"/>
        <v>sáb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DATE(Configurações!$B$3,6,13)</f>
        <v>46186</v>
      </c>
      <c r="B291" s="2" t="str">
        <f t="shared" si="4"/>
        <v>sáb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DATE(Configurações!$B$3,6,13)</f>
        <v>46186</v>
      </c>
      <c r="B292" s="2" t="str">
        <f t="shared" si="4"/>
        <v>sáb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DATE(Configurações!$B$3,6,13)</f>
        <v>46186</v>
      </c>
      <c r="B293" s="2" t="str">
        <f t="shared" si="4"/>
        <v>sáb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DATE(Configurações!$B$3,6,13)</f>
        <v>46186</v>
      </c>
      <c r="B294" s="2" t="str">
        <f t="shared" si="4"/>
        <v>sáb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DATE(Configurações!$B$3,6,13)</f>
        <v>46186</v>
      </c>
      <c r="B295" s="2" t="str">
        <f t="shared" si="4"/>
        <v>sáb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DATE(Configurações!$B$3,6,13)</f>
        <v>46186</v>
      </c>
      <c r="B296" s="2" t="str">
        <f t="shared" si="4"/>
        <v>sáb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DATE(Configurações!$B$3,6,13)</f>
        <v>46186</v>
      </c>
      <c r="B297" s="2" t="str">
        <f t="shared" si="4"/>
        <v>sáb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DATE(Configurações!$B$3,6,13)</f>
        <v>46186</v>
      </c>
      <c r="B298" s="2" t="str">
        <f t="shared" si="4"/>
        <v>sáb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DATE(Configurações!$B$3,6,13)</f>
        <v>46186</v>
      </c>
      <c r="B299" s="2" t="str">
        <f t="shared" si="4"/>
        <v>sáb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DATE(Configurações!$B$3,6,13)</f>
        <v>46186</v>
      </c>
      <c r="B300" s="2" t="str">
        <f t="shared" si="4"/>
        <v>sáb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DATE(Configurações!$B$3,6,13)</f>
        <v>46186</v>
      </c>
      <c r="B301" s="2" t="str">
        <f t="shared" si="4"/>
        <v>sáb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DATE(Configurações!$B$3,6,13)</f>
        <v>46186</v>
      </c>
      <c r="B302" s="2" t="str">
        <f t="shared" si="4"/>
        <v>sáb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DATE(Configurações!$B$3,6,13)</f>
        <v>46186</v>
      </c>
      <c r="B303" s="2" t="str">
        <f t="shared" si="4"/>
        <v>sáb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DATE(Configurações!$B$3,6,13)</f>
        <v>46186</v>
      </c>
      <c r="B304" s="2" t="str">
        <f t="shared" si="4"/>
        <v>sáb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DATE(Configurações!$B$3,6,14)</f>
        <v>46187</v>
      </c>
      <c r="B305" s="2" t="str">
        <f t="shared" si="4"/>
        <v>dom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DATE(Configurações!$B$3,6,14)</f>
        <v>46187</v>
      </c>
      <c r="B306" s="2" t="str">
        <f t="shared" si="4"/>
        <v>dom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DATE(Configurações!$B$3,6,14)</f>
        <v>46187</v>
      </c>
      <c r="B307" s="2" t="str">
        <f t="shared" si="4"/>
        <v>dom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DATE(Configurações!$B$3,6,14)</f>
        <v>46187</v>
      </c>
      <c r="B308" s="2" t="str">
        <f t="shared" si="4"/>
        <v>dom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DATE(Configurações!$B$3,6,14)</f>
        <v>46187</v>
      </c>
      <c r="B309" s="2" t="str">
        <f t="shared" si="4"/>
        <v>dom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DATE(Configurações!$B$3,6,14)</f>
        <v>46187</v>
      </c>
      <c r="B310" s="2" t="str">
        <f t="shared" si="4"/>
        <v>dom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DATE(Configurações!$B$3,6,14)</f>
        <v>46187</v>
      </c>
      <c r="B311" s="2" t="str">
        <f t="shared" si="4"/>
        <v>dom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DATE(Configurações!$B$3,6,14)</f>
        <v>46187</v>
      </c>
      <c r="B312" s="2" t="str">
        <f t="shared" si="4"/>
        <v>dom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DATE(Configurações!$B$3,6,14)</f>
        <v>46187</v>
      </c>
      <c r="B313" s="2" t="str">
        <f t="shared" si="4"/>
        <v>dom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DATE(Configurações!$B$3,6,14)</f>
        <v>46187</v>
      </c>
      <c r="B314" s="2" t="str">
        <f t="shared" si="4"/>
        <v>dom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DATE(Configurações!$B$3,6,14)</f>
        <v>46187</v>
      </c>
      <c r="B315" s="2" t="str">
        <f t="shared" si="4"/>
        <v>dom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DATE(Configurações!$B$3,6,14)</f>
        <v>46187</v>
      </c>
      <c r="B316" s="2" t="str">
        <f t="shared" si="4"/>
        <v>dom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DATE(Configurações!$B$3,6,14)</f>
        <v>46187</v>
      </c>
      <c r="B317" s="2" t="str">
        <f t="shared" si="4"/>
        <v>dom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DATE(Configurações!$B$3,6,14)</f>
        <v>46187</v>
      </c>
      <c r="B318" s="2" t="str">
        <f t="shared" si="4"/>
        <v>dom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DATE(Configurações!$B$3,6,14)</f>
        <v>46187</v>
      </c>
      <c r="B319" s="2" t="str">
        <f t="shared" si="4"/>
        <v>dom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DATE(Configurações!$B$3,6,14)</f>
        <v>46187</v>
      </c>
      <c r="B320" s="2" t="str">
        <f t="shared" si="4"/>
        <v>dom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DATE(Configurações!$B$3,6,14)</f>
        <v>46187</v>
      </c>
      <c r="B321" s="2" t="str">
        <f t="shared" si="4"/>
        <v>dom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DATE(Configurações!$B$3,6,14)</f>
        <v>46187</v>
      </c>
      <c r="B322" s="2" t="str">
        <f t="shared" si="4"/>
        <v>dom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DATE(Configurações!$B$3,6,14)</f>
        <v>46187</v>
      </c>
      <c r="B323" s="2" t="str">
        <f t="shared" si="4"/>
        <v>dom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DATE(Configurações!$B$3,6,14)</f>
        <v>46187</v>
      </c>
      <c r="B324" s="2" t="str">
        <f t="shared" si="4"/>
        <v>dom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DATE(Configurações!$B$3,6,14)</f>
        <v>46187</v>
      </c>
      <c r="B325" s="2" t="str">
        <f t="shared" si="4"/>
        <v>dom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DATE(Configurações!$B$3,6,14)</f>
        <v>46187</v>
      </c>
      <c r="B326" s="2" t="str">
        <f t="shared" ref="B326:B389" si="5">TEXT(A326,"ddd")</f>
        <v>dom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DATE(Configurações!$B$3,6,14)</f>
        <v>46187</v>
      </c>
      <c r="B327" s="2" t="str">
        <f t="shared" si="5"/>
        <v>dom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DATE(Configurações!$B$3,6,15)</f>
        <v>46188</v>
      </c>
      <c r="B328" s="2" t="str">
        <f t="shared" si="5"/>
        <v>seg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DATE(Configurações!$B$3,6,15)</f>
        <v>46188</v>
      </c>
      <c r="B329" s="2" t="str">
        <f t="shared" si="5"/>
        <v>seg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DATE(Configurações!$B$3,6,15)</f>
        <v>46188</v>
      </c>
      <c r="B330" s="2" t="str">
        <f t="shared" si="5"/>
        <v>seg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DATE(Configurações!$B$3,6,15)</f>
        <v>46188</v>
      </c>
      <c r="B331" s="2" t="str">
        <f t="shared" si="5"/>
        <v>seg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DATE(Configurações!$B$3,6,15)</f>
        <v>46188</v>
      </c>
      <c r="B332" s="2" t="str">
        <f t="shared" si="5"/>
        <v>seg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DATE(Configurações!$B$3,6,15)</f>
        <v>46188</v>
      </c>
      <c r="B333" s="2" t="str">
        <f t="shared" si="5"/>
        <v>seg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DATE(Configurações!$B$3,6,15)</f>
        <v>46188</v>
      </c>
      <c r="B334" s="2" t="str">
        <f t="shared" si="5"/>
        <v>seg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DATE(Configurações!$B$3,6,15)</f>
        <v>46188</v>
      </c>
      <c r="B335" s="2" t="str">
        <f t="shared" si="5"/>
        <v>seg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DATE(Configurações!$B$3,6,15)</f>
        <v>46188</v>
      </c>
      <c r="B336" s="2" t="str">
        <f t="shared" si="5"/>
        <v>seg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DATE(Configurações!$B$3,6,15)</f>
        <v>46188</v>
      </c>
      <c r="B337" s="2" t="str">
        <f t="shared" si="5"/>
        <v>seg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DATE(Configurações!$B$3,6,15)</f>
        <v>46188</v>
      </c>
      <c r="B338" s="2" t="str">
        <f t="shared" si="5"/>
        <v>seg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DATE(Configurações!$B$3,6,15)</f>
        <v>46188</v>
      </c>
      <c r="B339" s="2" t="str">
        <f t="shared" si="5"/>
        <v>seg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DATE(Configurações!$B$3,6,15)</f>
        <v>46188</v>
      </c>
      <c r="B340" s="2" t="str">
        <f t="shared" si="5"/>
        <v>seg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DATE(Configurações!$B$3,6,15)</f>
        <v>46188</v>
      </c>
      <c r="B341" s="2" t="str">
        <f t="shared" si="5"/>
        <v>seg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DATE(Configurações!$B$3,6,15)</f>
        <v>46188</v>
      </c>
      <c r="B342" s="2" t="str">
        <f t="shared" si="5"/>
        <v>seg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DATE(Configurações!$B$3,6,15)</f>
        <v>46188</v>
      </c>
      <c r="B343" s="2" t="str">
        <f t="shared" si="5"/>
        <v>seg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DATE(Configurações!$B$3,6,15)</f>
        <v>46188</v>
      </c>
      <c r="B344" s="2" t="str">
        <f t="shared" si="5"/>
        <v>seg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DATE(Configurações!$B$3,6,15)</f>
        <v>46188</v>
      </c>
      <c r="B345" s="2" t="str">
        <f t="shared" si="5"/>
        <v>seg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DATE(Configurações!$B$3,6,15)</f>
        <v>46188</v>
      </c>
      <c r="B346" s="2" t="str">
        <f t="shared" si="5"/>
        <v>seg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DATE(Configurações!$B$3,6,15)</f>
        <v>46188</v>
      </c>
      <c r="B347" s="2" t="str">
        <f t="shared" si="5"/>
        <v>seg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DATE(Configurações!$B$3,6,15)</f>
        <v>46188</v>
      </c>
      <c r="B348" s="2" t="str">
        <f t="shared" si="5"/>
        <v>seg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DATE(Configurações!$B$3,6,15)</f>
        <v>46188</v>
      </c>
      <c r="B349" s="2" t="str">
        <f t="shared" si="5"/>
        <v>seg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DATE(Configurações!$B$3,6,15)</f>
        <v>46188</v>
      </c>
      <c r="B350" s="2" t="str">
        <f t="shared" si="5"/>
        <v>seg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DATE(Configurações!$B$3,6,16)</f>
        <v>46189</v>
      </c>
      <c r="B351" s="2" t="str">
        <f t="shared" si="5"/>
        <v>ter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DATE(Configurações!$B$3,6,16)</f>
        <v>46189</v>
      </c>
      <c r="B352" s="2" t="str">
        <f t="shared" si="5"/>
        <v>ter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DATE(Configurações!$B$3,6,16)</f>
        <v>46189</v>
      </c>
      <c r="B353" s="2" t="str">
        <f t="shared" si="5"/>
        <v>ter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DATE(Configurações!$B$3,6,16)</f>
        <v>46189</v>
      </c>
      <c r="B354" s="2" t="str">
        <f t="shared" si="5"/>
        <v>ter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DATE(Configurações!$B$3,6,16)</f>
        <v>46189</v>
      </c>
      <c r="B355" s="2" t="str">
        <f t="shared" si="5"/>
        <v>ter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DATE(Configurações!$B$3,6,16)</f>
        <v>46189</v>
      </c>
      <c r="B356" s="2" t="str">
        <f t="shared" si="5"/>
        <v>ter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DATE(Configurações!$B$3,6,16)</f>
        <v>46189</v>
      </c>
      <c r="B357" s="2" t="str">
        <f t="shared" si="5"/>
        <v>ter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DATE(Configurações!$B$3,6,16)</f>
        <v>46189</v>
      </c>
      <c r="B358" s="2" t="str">
        <f t="shared" si="5"/>
        <v>ter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DATE(Configurações!$B$3,6,16)</f>
        <v>46189</v>
      </c>
      <c r="B359" s="2" t="str">
        <f t="shared" si="5"/>
        <v>ter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DATE(Configurações!$B$3,6,16)</f>
        <v>46189</v>
      </c>
      <c r="B360" s="2" t="str">
        <f t="shared" si="5"/>
        <v>ter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DATE(Configurações!$B$3,6,16)</f>
        <v>46189</v>
      </c>
      <c r="B361" s="2" t="str">
        <f t="shared" si="5"/>
        <v>ter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DATE(Configurações!$B$3,6,16)</f>
        <v>46189</v>
      </c>
      <c r="B362" s="2" t="str">
        <f t="shared" si="5"/>
        <v>ter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DATE(Configurações!$B$3,6,16)</f>
        <v>46189</v>
      </c>
      <c r="B363" s="2" t="str">
        <f t="shared" si="5"/>
        <v>ter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DATE(Configurações!$B$3,6,16)</f>
        <v>46189</v>
      </c>
      <c r="B364" s="2" t="str">
        <f t="shared" si="5"/>
        <v>ter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DATE(Configurações!$B$3,6,16)</f>
        <v>46189</v>
      </c>
      <c r="B365" s="2" t="str">
        <f t="shared" si="5"/>
        <v>ter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DATE(Configurações!$B$3,6,16)</f>
        <v>46189</v>
      </c>
      <c r="B366" s="2" t="str">
        <f t="shared" si="5"/>
        <v>ter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DATE(Configurações!$B$3,6,16)</f>
        <v>46189</v>
      </c>
      <c r="B367" s="2" t="str">
        <f t="shared" si="5"/>
        <v>ter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DATE(Configurações!$B$3,6,16)</f>
        <v>46189</v>
      </c>
      <c r="B368" s="2" t="str">
        <f t="shared" si="5"/>
        <v>ter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DATE(Configurações!$B$3,6,16)</f>
        <v>46189</v>
      </c>
      <c r="B369" s="2" t="str">
        <f t="shared" si="5"/>
        <v>ter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DATE(Configurações!$B$3,6,16)</f>
        <v>46189</v>
      </c>
      <c r="B370" s="2" t="str">
        <f t="shared" si="5"/>
        <v>ter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DATE(Configurações!$B$3,6,16)</f>
        <v>46189</v>
      </c>
      <c r="B371" s="2" t="str">
        <f t="shared" si="5"/>
        <v>ter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DATE(Configurações!$B$3,6,16)</f>
        <v>46189</v>
      </c>
      <c r="B372" s="2" t="str">
        <f t="shared" si="5"/>
        <v>ter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DATE(Configurações!$B$3,6,16)</f>
        <v>46189</v>
      </c>
      <c r="B373" s="2" t="str">
        <f t="shared" si="5"/>
        <v>ter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DATE(Configurações!$B$3,6,17)</f>
        <v>46190</v>
      </c>
      <c r="B374" s="2" t="str">
        <f t="shared" si="5"/>
        <v>qua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DATE(Configurações!$B$3,6,17)</f>
        <v>46190</v>
      </c>
      <c r="B375" s="2" t="str">
        <f t="shared" si="5"/>
        <v>qua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DATE(Configurações!$B$3,6,17)</f>
        <v>46190</v>
      </c>
      <c r="B376" s="2" t="str">
        <f t="shared" si="5"/>
        <v>qua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DATE(Configurações!$B$3,6,17)</f>
        <v>46190</v>
      </c>
      <c r="B377" s="2" t="str">
        <f t="shared" si="5"/>
        <v>qua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DATE(Configurações!$B$3,6,17)</f>
        <v>46190</v>
      </c>
      <c r="B378" s="2" t="str">
        <f t="shared" si="5"/>
        <v>qua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DATE(Configurações!$B$3,6,17)</f>
        <v>46190</v>
      </c>
      <c r="B379" s="2" t="str">
        <f t="shared" si="5"/>
        <v>qua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DATE(Configurações!$B$3,6,17)</f>
        <v>46190</v>
      </c>
      <c r="B380" s="2" t="str">
        <f t="shared" si="5"/>
        <v>qua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DATE(Configurações!$B$3,6,17)</f>
        <v>46190</v>
      </c>
      <c r="B381" s="2" t="str">
        <f t="shared" si="5"/>
        <v>qua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DATE(Configurações!$B$3,6,17)</f>
        <v>46190</v>
      </c>
      <c r="B382" s="2" t="str">
        <f t="shared" si="5"/>
        <v>qua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DATE(Configurações!$B$3,6,17)</f>
        <v>46190</v>
      </c>
      <c r="B383" s="2" t="str">
        <f t="shared" si="5"/>
        <v>qua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DATE(Configurações!$B$3,6,17)</f>
        <v>46190</v>
      </c>
      <c r="B384" s="2" t="str">
        <f t="shared" si="5"/>
        <v>qua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DATE(Configurações!$B$3,6,17)</f>
        <v>46190</v>
      </c>
      <c r="B385" s="2" t="str">
        <f t="shared" si="5"/>
        <v>qua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DATE(Configurações!$B$3,6,17)</f>
        <v>46190</v>
      </c>
      <c r="B386" s="2" t="str">
        <f t="shared" si="5"/>
        <v>qua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DATE(Configurações!$B$3,6,17)</f>
        <v>46190</v>
      </c>
      <c r="B387" s="2" t="str">
        <f t="shared" si="5"/>
        <v>qua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DATE(Configurações!$B$3,6,17)</f>
        <v>46190</v>
      </c>
      <c r="B388" s="2" t="str">
        <f t="shared" si="5"/>
        <v>qua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DATE(Configurações!$B$3,6,17)</f>
        <v>46190</v>
      </c>
      <c r="B389" s="2" t="str">
        <f t="shared" si="5"/>
        <v>qua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DATE(Configurações!$B$3,6,17)</f>
        <v>46190</v>
      </c>
      <c r="B390" s="2" t="str">
        <f t="shared" ref="B390:B453" si="6">TEXT(A390,"ddd")</f>
        <v>qua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DATE(Configurações!$B$3,6,17)</f>
        <v>46190</v>
      </c>
      <c r="B391" s="2" t="str">
        <f t="shared" si="6"/>
        <v>qua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DATE(Configurações!$B$3,6,17)</f>
        <v>46190</v>
      </c>
      <c r="B392" s="2" t="str">
        <f t="shared" si="6"/>
        <v>qua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DATE(Configurações!$B$3,6,17)</f>
        <v>46190</v>
      </c>
      <c r="B393" s="2" t="str">
        <f t="shared" si="6"/>
        <v>qua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DATE(Configurações!$B$3,6,17)</f>
        <v>46190</v>
      </c>
      <c r="B394" s="2" t="str">
        <f t="shared" si="6"/>
        <v>qua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DATE(Configurações!$B$3,6,17)</f>
        <v>46190</v>
      </c>
      <c r="B395" s="2" t="str">
        <f t="shared" si="6"/>
        <v>qua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DATE(Configurações!$B$3,6,17)</f>
        <v>46190</v>
      </c>
      <c r="B396" s="2" t="str">
        <f t="shared" si="6"/>
        <v>qua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DATE(Configurações!$B$3,6,18)</f>
        <v>46191</v>
      </c>
      <c r="B397" s="2" t="str">
        <f t="shared" si="6"/>
        <v>qui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DATE(Configurações!$B$3,6,18)</f>
        <v>46191</v>
      </c>
      <c r="B398" s="2" t="str">
        <f t="shared" si="6"/>
        <v>qui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DATE(Configurações!$B$3,6,18)</f>
        <v>46191</v>
      </c>
      <c r="B399" s="2" t="str">
        <f t="shared" si="6"/>
        <v>qui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DATE(Configurações!$B$3,6,18)</f>
        <v>46191</v>
      </c>
      <c r="B400" s="2" t="str">
        <f t="shared" si="6"/>
        <v>qui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DATE(Configurações!$B$3,6,18)</f>
        <v>46191</v>
      </c>
      <c r="B401" s="2" t="str">
        <f t="shared" si="6"/>
        <v>qui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DATE(Configurações!$B$3,6,18)</f>
        <v>46191</v>
      </c>
      <c r="B402" s="2" t="str">
        <f t="shared" si="6"/>
        <v>qui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DATE(Configurações!$B$3,6,18)</f>
        <v>46191</v>
      </c>
      <c r="B403" s="2" t="str">
        <f t="shared" si="6"/>
        <v>qui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DATE(Configurações!$B$3,6,18)</f>
        <v>46191</v>
      </c>
      <c r="B404" s="2" t="str">
        <f t="shared" si="6"/>
        <v>qui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DATE(Configurações!$B$3,6,18)</f>
        <v>46191</v>
      </c>
      <c r="B405" s="2" t="str">
        <f t="shared" si="6"/>
        <v>qui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DATE(Configurações!$B$3,6,18)</f>
        <v>46191</v>
      </c>
      <c r="B406" s="2" t="str">
        <f t="shared" si="6"/>
        <v>qui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DATE(Configurações!$B$3,6,18)</f>
        <v>46191</v>
      </c>
      <c r="B407" s="2" t="str">
        <f t="shared" si="6"/>
        <v>qui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DATE(Configurações!$B$3,6,18)</f>
        <v>46191</v>
      </c>
      <c r="B408" s="2" t="str">
        <f t="shared" si="6"/>
        <v>qui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DATE(Configurações!$B$3,6,18)</f>
        <v>46191</v>
      </c>
      <c r="B409" s="2" t="str">
        <f t="shared" si="6"/>
        <v>qui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DATE(Configurações!$B$3,6,18)</f>
        <v>46191</v>
      </c>
      <c r="B410" s="2" t="str">
        <f t="shared" si="6"/>
        <v>qui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DATE(Configurações!$B$3,6,18)</f>
        <v>46191</v>
      </c>
      <c r="B411" s="2" t="str">
        <f t="shared" si="6"/>
        <v>qui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DATE(Configurações!$B$3,6,18)</f>
        <v>46191</v>
      </c>
      <c r="B412" s="2" t="str">
        <f t="shared" si="6"/>
        <v>qui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DATE(Configurações!$B$3,6,18)</f>
        <v>46191</v>
      </c>
      <c r="B413" s="2" t="str">
        <f t="shared" si="6"/>
        <v>qui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DATE(Configurações!$B$3,6,18)</f>
        <v>46191</v>
      </c>
      <c r="B414" s="2" t="str">
        <f t="shared" si="6"/>
        <v>qui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DATE(Configurações!$B$3,6,18)</f>
        <v>46191</v>
      </c>
      <c r="B415" s="2" t="str">
        <f t="shared" si="6"/>
        <v>qui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DATE(Configurações!$B$3,6,18)</f>
        <v>46191</v>
      </c>
      <c r="B416" s="2" t="str">
        <f t="shared" si="6"/>
        <v>qui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DATE(Configurações!$B$3,6,18)</f>
        <v>46191</v>
      </c>
      <c r="B417" s="2" t="str">
        <f t="shared" si="6"/>
        <v>qui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DATE(Configurações!$B$3,6,18)</f>
        <v>46191</v>
      </c>
      <c r="B418" s="2" t="str">
        <f t="shared" si="6"/>
        <v>qui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DATE(Configurações!$B$3,6,18)</f>
        <v>46191</v>
      </c>
      <c r="B419" s="2" t="str">
        <f t="shared" si="6"/>
        <v>qui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DATE(Configurações!$B$3,6,19)</f>
        <v>46192</v>
      </c>
      <c r="B420" s="2" t="str">
        <f t="shared" si="6"/>
        <v>sex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DATE(Configurações!$B$3,6,19)</f>
        <v>46192</v>
      </c>
      <c r="B421" s="2" t="str">
        <f t="shared" si="6"/>
        <v>sex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DATE(Configurações!$B$3,6,19)</f>
        <v>46192</v>
      </c>
      <c r="B422" s="2" t="str">
        <f t="shared" si="6"/>
        <v>sex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DATE(Configurações!$B$3,6,19)</f>
        <v>46192</v>
      </c>
      <c r="B423" s="2" t="str">
        <f t="shared" si="6"/>
        <v>sex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DATE(Configurações!$B$3,6,19)</f>
        <v>46192</v>
      </c>
      <c r="B424" s="2" t="str">
        <f t="shared" si="6"/>
        <v>sex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DATE(Configurações!$B$3,6,19)</f>
        <v>46192</v>
      </c>
      <c r="B425" s="2" t="str">
        <f t="shared" si="6"/>
        <v>sex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DATE(Configurações!$B$3,6,19)</f>
        <v>46192</v>
      </c>
      <c r="B426" s="2" t="str">
        <f t="shared" si="6"/>
        <v>sex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DATE(Configurações!$B$3,6,19)</f>
        <v>46192</v>
      </c>
      <c r="B427" s="2" t="str">
        <f t="shared" si="6"/>
        <v>sex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DATE(Configurações!$B$3,6,19)</f>
        <v>46192</v>
      </c>
      <c r="B428" s="2" t="str">
        <f t="shared" si="6"/>
        <v>sex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DATE(Configurações!$B$3,6,19)</f>
        <v>46192</v>
      </c>
      <c r="B429" s="2" t="str">
        <f t="shared" si="6"/>
        <v>sex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DATE(Configurações!$B$3,6,19)</f>
        <v>46192</v>
      </c>
      <c r="B430" s="2" t="str">
        <f t="shared" si="6"/>
        <v>sex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DATE(Configurações!$B$3,6,19)</f>
        <v>46192</v>
      </c>
      <c r="B431" s="2" t="str">
        <f t="shared" si="6"/>
        <v>sex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DATE(Configurações!$B$3,6,19)</f>
        <v>46192</v>
      </c>
      <c r="B432" s="2" t="str">
        <f t="shared" si="6"/>
        <v>sex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DATE(Configurações!$B$3,6,19)</f>
        <v>46192</v>
      </c>
      <c r="B433" s="2" t="str">
        <f t="shared" si="6"/>
        <v>sex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DATE(Configurações!$B$3,6,19)</f>
        <v>46192</v>
      </c>
      <c r="B434" s="2" t="str">
        <f t="shared" si="6"/>
        <v>sex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DATE(Configurações!$B$3,6,19)</f>
        <v>46192</v>
      </c>
      <c r="B435" s="2" t="str">
        <f t="shared" si="6"/>
        <v>sex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DATE(Configurações!$B$3,6,19)</f>
        <v>46192</v>
      </c>
      <c r="B436" s="2" t="str">
        <f t="shared" si="6"/>
        <v>sex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DATE(Configurações!$B$3,6,19)</f>
        <v>46192</v>
      </c>
      <c r="B437" s="2" t="str">
        <f t="shared" si="6"/>
        <v>sex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DATE(Configurações!$B$3,6,19)</f>
        <v>46192</v>
      </c>
      <c r="B438" s="2" t="str">
        <f t="shared" si="6"/>
        <v>sex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DATE(Configurações!$B$3,6,19)</f>
        <v>46192</v>
      </c>
      <c r="B439" s="2" t="str">
        <f t="shared" si="6"/>
        <v>sex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DATE(Configurações!$B$3,6,19)</f>
        <v>46192</v>
      </c>
      <c r="B440" s="2" t="str">
        <f t="shared" si="6"/>
        <v>sex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DATE(Configurações!$B$3,6,19)</f>
        <v>46192</v>
      </c>
      <c r="B441" s="2" t="str">
        <f t="shared" si="6"/>
        <v>sex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DATE(Configurações!$B$3,6,19)</f>
        <v>46192</v>
      </c>
      <c r="B442" s="2" t="str">
        <f t="shared" si="6"/>
        <v>sex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DATE(Configurações!$B$3,6,20)</f>
        <v>46193</v>
      </c>
      <c r="B443" s="2" t="str">
        <f t="shared" si="6"/>
        <v>sáb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DATE(Configurações!$B$3,6,20)</f>
        <v>46193</v>
      </c>
      <c r="B444" s="2" t="str">
        <f t="shared" si="6"/>
        <v>sáb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DATE(Configurações!$B$3,6,20)</f>
        <v>46193</v>
      </c>
      <c r="B445" s="2" t="str">
        <f t="shared" si="6"/>
        <v>sáb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DATE(Configurações!$B$3,6,20)</f>
        <v>46193</v>
      </c>
      <c r="B446" s="2" t="str">
        <f t="shared" si="6"/>
        <v>sáb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DATE(Configurações!$B$3,6,20)</f>
        <v>46193</v>
      </c>
      <c r="B447" s="2" t="str">
        <f t="shared" si="6"/>
        <v>sáb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DATE(Configurações!$B$3,6,20)</f>
        <v>46193</v>
      </c>
      <c r="B448" s="2" t="str">
        <f t="shared" si="6"/>
        <v>sáb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DATE(Configurações!$B$3,6,20)</f>
        <v>46193</v>
      </c>
      <c r="B449" s="2" t="str">
        <f t="shared" si="6"/>
        <v>sáb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DATE(Configurações!$B$3,6,20)</f>
        <v>46193</v>
      </c>
      <c r="B450" s="2" t="str">
        <f t="shared" si="6"/>
        <v>sáb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DATE(Configurações!$B$3,6,20)</f>
        <v>46193</v>
      </c>
      <c r="B451" s="2" t="str">
        <f t="shared" si="6"/>
        <v>sáb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DATE(Configurações!$B$3,6,20)</f>
        <v>46193</v>
      </c>
      <c r="B452" s="2" t="str">
        <f t="shared" si="6"/>
        <v>sáb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DATE(Configurações!$B$3,6,20)</f>
        <v>46193</v>
      </c>
      <c r="B453" s="2" t="str">
        <f t="shared" si="6"/>
        <v>sáb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DATE(Configurações!$B$3,6,20)</f>
        <v>46193</v>
      </c>
      <c r="B454" s="2" t="str">
        <f t="shared" ref="B454:B517" si="7">TEXT(A454,"ddd")</f>
        <v>sáb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DATE(Configurações!$B$3,6,20)</f>
        <v>46193</v>
      </c>
      <c r="B455" s="2" t="str">
        <f t="shared" si="7"/>
        <v>sáb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DATE(Configurações!$B$3,6,20)</f>
        <v>46193</v>
      </c>
      <c r="B456" s="2" t="str">
        <f t="shared" si="7"/>
        <v>sáb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DATE(Configurações!$B$3,6,20)</f>
        <v>46193</v>
      </c>
      <c r="B457" s="2" t="str">
        <f t="shared" si="7"/>
        <v>sáb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DATE(Configurações!$B$3,6,20)</f>
        <v>46193</v>
      </c>
      <c r="B458" s="2" t="str">
        <f t="shared" si="7"/>
        <v>sáb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DATE(Configurações!$B$3,6,20)</f>
        <v>46193</v>
      </c>
      <c r="B459" s="2" t="str">
        <f t="shared" si="7"/>
        <v>sáb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DATE(Configurações!$B$3,6,20)</f>
        <v>46193</v>
      </c>
      <c r="B460" s="2" t="str">
        <f t="shared" si="7"/>
        <v>sáb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DATE(Configurações!$B$3,6,20)</f>
        <v>46193</v>
      </c>
      <c r="B461" s="2" t="str">
        <f t="shared" si="7"/>
        <v>sáb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DATE(Configurações!$B$3,6,20)</f>
        <v>46193</v>
      </c>
      <c r="B462" s="2" t="str">
        <f t="shared" si="7"/>
        <v>sáb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DATE(Configurações!$B$3,6,20)</f>
        <v>46193</v>
      </c>
      <c r="B463" s="2" t="str">
        <f t="shared" si="7"/>
        <v>sáb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DATE(Configurações!$B$3,6,20)</f>
        <v>46193</v>
      </c>
      <c r="B464" s="2" t="str">
        <f t="shared" si="7"/>
        <v>sáb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DATE(Configurações!$B$3,6,20)</f>
        <v>46193</v>
      </c>
      <c r="B465" s="2" t="str">
        <f t="shared" si="7"/>
        <v>sáb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DATE(Configurações!$B$3,6,21)</f>
        <v>46194</v>
      </c>
      <c r="B466" s="2" t="str">
        <f t="shared" si="7"/>
        <v>dom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DATE(Configurações!$B$3,6,21)</f>
        <v>46194</v>
      </c>
      <c r="B467" s="2" t="str">
        <f t="shared" si="7"/>
        <v>dom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DATE(Configurações!$B$3,6,21)</f>
        <v>46194</v>
      </c>
      <c r="B468" s="2" t="str">
        <f t="shared" si="7"/>
        <v>dom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DATE(Configurações!$B$3,6,21)</f>
        <v>46194</v>
      </c>
      <c r="B469" s="2" t="str">
        <f t="shared" si="7"/>
        <v>dom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DATE(Configurações!$B$3,6,21)</f>
        <v>46194</v>
      </c>
      <c r="B470" s="2" t="str">
        <f t="shared" si="7"/>
        <v>dom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DATE(Configurações!$B$3,6,21)</f>
        <v>46194</v>
      </c>
      <c r="B471" s="2" t="str">
        <f t="shared" si="7"/>
        <v>dom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DATE(Configurações!$B$3,6,21)</f>
        <v>46194</v>
      </c>
      <c r="B472" s="2" t="str">
        <f t="shared" si="7"/>
        <v>dom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DATE(Configurações!$B$3,6,21)</f>
        <v>46194</v>
      </c>
      <c r="B473" s="2" t="str">
        <f t="shared" si="7"/>
        <v>dom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DATE(Configurações!$B$3,6,21)</f>
        <v>46194</v>
      </c>
      <c r="B474" s="2" t="str">
        <f t="shared" si="7"/>
        <v>dom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DATE(Configurações!$B$3,6,21)</f>
        <v>46194</v>
      </c>
      <c r="B475" s="2" t="str">
        <f t="shared" si="7"/>
        <v>dom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DATE(Configurações!$B$3,6,21)</f>
        <v>46194</v>
      </c>
      <c r="B476" s="2" t="str">
        <f t="shared" si="7"/>
        <v>dom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DATE(Configurações!$B$3,6,21)</f>
        <v>46194</v>
      </c>
      <c r="B477" s="2" t="str">
        <f t="shared" si="7"/>
        <v>dom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DATE(Configurações!$B$3,6,21)</f>
        <v>46194</v>
      </c>
      <c r="B478" s="2" t="str">
        <f t="shared" si="7"/>
        <v>dom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DATE(Configurações!$B$3,6,21)</f>
        <v>46194</v>
      </c>
      <c r="B479" s="2" t="str">
        <f t="shared" si="7"/>
        <v>dom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DATE(Configurações!$B$3,6,21)</f>
        <v>46194</v>
      </c>
      <c r="B480" s="2" t="str">
        <f t="shared" si="7"/>
        <v>dom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DATE(Configurações!$B$3,6,21)</f>
        <v>46194</v>
      </c>
      <c r="B481" s="2" t="str">
        <f t="shared" si="7"/>
        <v>dom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DATE(Configurações!$B$3,6,21)</f>
        <v>46194</v>
      </c>
      <c r="B482" s="2" t="str">
        <f t="shared" si="7"/>
        <v>dom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DATE(Configurações!$B$3,6,21)</f>
        <v>46194</v>
      </c>
      <c r="B483" s="2" t="str">
        <f t="shared" si="7"/>
        <v>dom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DATE(Configurações!$B$3,6,21)</f>
        <v>46194</v>
      </c>
      <c r="B484" s="2" t="str">
        <f t="shared" si="7"/>
        <v>dom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DATE(Configurações!$B$3,6,21)</f>
        <v>46194</v>
      </c>
      <c r="B485" s="2" t="str">
        <f t="shared" si="7"/>
        <v>dom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DATE(Configurações!$B$3,6,21)</f>
        <v>46194</v>
      </c>
      <c r="B486" s="2" t="str">
        <f t="shared" si="7"/>
        <v>dom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DATE(Configurações!$B$3,6,21)</f>
        <v>46194</v>
      </c>
      <c r="B487" s="2" t="str">
        <f t="shared" si="7"/>
        <v>dom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DATE(Configurações!$B$3,6,21)</f>
        <v>46194</v>
      </c>
      <c r="B488" s="2" t="str">
        <f t="shared" si="7"/>
        <v>dom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DATE(Configurações!$B$3,6,22)</f>
        <v>46195</v>
      </c>
      <c r="B489" s="2" t="str">
        <f t="shared" si="7"/>
        <v>seg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DATE(Configurações!$B$3,6,22)</f>
        <v>46195</v>
      </c>
      <c r="B490" s="2" t="str">
        <f t="shared" si="7"/>
        <v>seg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DATE(Configurações!$B$3,6,22)</f>
        <v>46195</v>
      </c>
      <c r="B491" s="2" t="str">
        <f t="shared" si="7"/>
        <v>seg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DATE(Configurações!$B$3,6,22)</f>
        <v>46195</v>
      </c>
      <c r="B492" s="2" t="str">
        <f t="shared" si="7"/>
        <v>seg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DATE(Configurações!$B$3,6,22)</f>
        <v>46195</v>
      </c>
      <c r="B493" s="2" t="str">
        <f t="shared" si="7"/>
        <v>seg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DATE(Configurações!$B$3,6,22)</f>
        <v>46195</v>
      </c>
      <c r="B494" s="2" t="str">
        <f t="shared" si="7"/>
        <v>seg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DATE(Configurações!$B$3,6,22)</f>
        <v>46195</v>
      </c>
      <c r="B495" s="2" t="str">
        <f t="shared" si="7"/>
        <v>seg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DATE(Configurações!$B$3,6,22)</f>
        <v>46195</v>
      </c>
      <c r="B496" s="2" t="str">
        <f t="shared" si="7"/>
        <v>seg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DATE(Configurações!$B$3,6,22)</f>
        <v>46195</v>
      </c>
      <c r="B497" s="2" t="str">
        <f t="shared" si="7"/>
        <v>seg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DATE(Configurações!$B$3,6,22)</f>
        <v>46195</v>
      </c>
      <c r="B498" s="2" t="str">
        <f t="shared" si="7"/>
        <v>seg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DATE(Configurações!$B$3,6,22)</f>
        <v>46195</v>
      </c>
      <c r="B499" s="2" t="str">
        <f t="shared" si="7"/>
        <v>seg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DATE(Configurações!$B$3,6,22)</f>
        <v>46195</v>
      </c>
      <c r="B500" s="2" t="str">
        <f t="shared" si="7"/>
        <v>seg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DATE(Configurações!$B$3,6,22)</f>
        <v>46195</v>
      </c>
      <c r="B501" s="2" t="str">
        <f t="shared" si="7"/>
        <v>seg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DATE(Configurações!$B$3,6,22)</f>
        <v>46195</v>
      </c>
      <c r="B502" s="2" t="str">
        <f t="shared" si="7"/>
        <v>seg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DATE(Configurações!$B$3,6,22)</f>
        <v>46195</v>
      </c>
      <c r="B503" s="2" t="str">
        <f t="shared" si="7"/>
        <v>seg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DATE(Configurações!$B$3,6,22)</f>
        <v>46195</v>
      </c>
      <c r="B504" s="2" t="str">
        <f t="shared" si="7"/>
        <v>seg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DATE(Configurações!$B$3,6,22)</f>
        <v>46195</v>
      </c>
      <c r="B505" s="2" t="str">
        <f t="shared" si="7"/>
        <v>seg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DATE(Configurações!$B$3,6,22)</f>
        <v>46195</v>
      </c>
      <c r="B506" s="2" t="str">
        <f t="shared" si="7"/>
        <v>seg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DATE(Configurações!$B$3,6,22)</f>
        <v>46195</v>
      </c>
      <c r="B507" s="2" t="str">
        <f t="shared" si="7"/>
        <v>seg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DATE(Configurações!$B$3,6,22)</f>
        <v>46195</v>
      </c>
      <c r="B508" s="2" t="str">
        <f t="shared" si="7"/>
        <v>seg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DATE(Configurações!$B$3,6,22)</f>
        <v>46195</v>
      </c>
      <c r="B509" s="2" t="str">
        <f t="shared" si="7"/>
        <v>seg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DATE(Configurações!$B$3,6,22)</f>
        <v>46195</v>
      </c>
      <c r="B510" s="2" t="str">
        <f t="shared" si="7"/>
        <v>seg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DATE(Configurações!$B$3,6,22)</f>
        <v>46195</v>
      </c>
      <c r="B511" s="2" t="str">
        <f t="shared" si="7"/>
        <v>seg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DATE(Configurações!$B$3,6,23)</f>
        <v>46196</v>
      </c>
      <c r="B512" s="2" t="str">
        <f t="shared" si="7"/>
        <v>ter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DATE(Configurações!$B$3,6,23)</f>
        <v>46196</v>
      </c>
      <c r="B513" s="2" t="str">
        <f t="shared" si="7"/>
        <v>ter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DATE(Configurações!$B$3,6,23)</f>
        <v>46196</v>
      </c>
      <c r="B514" s="2" t="str">
        <f t="shared" si="7"/>
        <v>ter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DATE(Configurações!$B$3,6,23)</f>
        <v>46196</v>
      </c>
      <c r="B515" s="2" t="str">
        <f t="shared" si="7"/>
        <v>ter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DATE(Configurações!$B$3,6,23)</f>
        <v>46196</v>
      </c>
      <c r="B516" s="2" t="str">
        <f t="shared" si="7"/>
        <v>ter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DATE(Configurações!$B$3,6,23)</f>
        <v>46196</v>
      </c>
      <c r="B517" s="2" t="str">
        <f t="shared" si="7"/>
        <v>ter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DATE(Configurações!$B$3,6,23)</f>
        <v>46196</v>
      </c>
      <c r="B518" s="2" t="str">
        <f t="shared" ref="B518:B581" si="8">TEXT(A518,"ddd")</f>
        <v>ter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DATE(Configurações!$B$3,6,23)</f>
        <v>46196</v>
      </c>
      <c r="B519" s="2" t="str">
        <f t="shared" si="8"/>
        <v>ter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DATE(Configurações!$B$3,6,23)</f>
        <v>46196</v>
      </c>
      <c r="B520" s="2" t="str">
        <f t="shared" si="8"/>
        <v>ter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DATE(Configurações!$B$3,6,23)</f>
        <v>46196</v>
      </c>
      <c r="B521" s="2" t="str">
        <f t="shared" si="8"/>
        <v>ter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DATE(Configurações!$B$3,6,23)</f>
        <v>46196</v>
      </c>
      <c r="B522" s="2" t="str">
        <f t="shared" si="8"/>
        <v>ter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DATE(Configurações!$B$3,6,23)</f>
        <v>46196</v>
      </c>
      <c r="B523" s="2" t="str">
        <f t="shared" si="8"/>
        <v>ter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DATE(Configurações!$B$3,6,23)</f>
        <v>46196</v>
      </c>
      <c r="B524" s="2" t="str">
        <f t="shared" si="8"/>
        <v>ter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DATE(Configurações!$B$3,6,23)</f>
        <v>46196</v>
      </c>
      <c r="B525" s="2" t="str">
        <f t="shared" si="8"/>
        <v>ter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DATE(Configurações!$B$3,6,23)</f>
        <v>46196</v>
      </c>
      <c r="B526" s="2" t="str">
        <f t="shared" si="8"/>
        <v>ter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DATE(Configurações!$B$3,6,23)</f>
        <v>46196</v>
      </c>
      <c r="B527" s="2" t="str">
        <f t="shared" si="8"/>
        <v>ter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DATE(Configurações!$B$3,6,23)</f>
        <v>46196</v>
      </c>
      <c r="B528" s="2" t="str">
        <f t="shared" si="8"/>
        <v>ter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DATE(Configurações!$B$3,6,23)</f>
        <v>46196</v>
      </c>
      <c r="B529" s="2" t="str">
        <f t="shared" si="8"/>
        <v>ter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DATE(Configurações!$B$3,6,23)</f>
        <v>46196</v>
      </c>
      <c r="B530" s="2" t="str">
        <f t="shared" si="8"/>
        <v>ter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DATE(Configurações!$B$3,6,23)</f>
        <v>46196</v>
      </c>
      <c r="B531" s="2" t="str">
        <f t="shared" si="8"/>
        <v>ter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DATE(Configurações!$B$3,6,23)</f>
        <v>46196</v>
      </c>
      <c r="B532" s="2" t="str">
        <f t="shared" si="8"/>
        <v>ter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DATE(Configurações!$B$3,6,23)</f>
        <v>46196</v>
      </c>
      <c r="B533" s="2" t="str">
        <f t="shared" si="8"/>
        <v>ter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DATE(Configurações!$B$3,6,23)</f>
        <v>46196</v>
      </c>
      <c r="B534" s="2" t="str">
        <f t="shared" si="8"/>
        <v>ter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DATE(Configurações!$B$3,6,24)</f>
        <v>46197</v>
      </c>
      <c r="B535" s="2" t="str">
        <f t="shared" si="8"/>
        <v>qua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DATE(Configurações!$B$3,6,24)</f>
        <v>46197</v>
      </c>
      <c r="B536" s="2" t="str">
        <f t="shared" si="8"/>
        <v>qua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DATE(Configurações!$B$3,6,24)</f>
        <v>46197</v>
      </c>
      <c r="B537" s="2" t="str">
        <f t="shared" si="8"/>
        <v>qua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DATE(Configurações!$B$3,6,24)</f>
        <v>46197</v>
      </c>
      <c r="B538" s="2" t="str">
        <f t="shared" si="8"/>
        <v>qua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DATE(Configurações!$B$3,6,24)</f>
        <v>46197</v>
      </c>
      <c r="B539" s="2" t="str">
        <f t="shared" si="8"/>
        <v>qua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DATE(Configurações!$B$3,6,24)</f>
        <v>46197</v>
      </c>
      <c r="B540" s="2" t="str">
        <f t="shared" si="8"/>
        <v>qua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DATE(Configurações!$B$3,6,24)</f>
        <v>46197</v>
      </c>
      <c r="B541" s="2" t="str">
        <f t="shared" si="8"/>
        <v>qua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DATE(Configurações!$B$3,6,24)</f>
        <v>46197</v>
      </c>
      <c r="B542" s="2" t="str">
        <f t="shared" si="8"/>
        <v>qua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DATE(Configurações!$B$3,6,24)</f>
        <v>46197</v>
      </c>
      <c r="B543" s="2" t="str">
        <f t="shared" si="8"/>
        <v>qua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DATE(Configurações!$B$3,6,24)</f>
        <v>46197</v>
      </c>
      <c r="B544" s="2" t="str">
        <f t="shared" si="8"/>
        <v>qua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DATE(Configurações!$B$3,6,24)</f>
        <v>46197</v>
      </c>
      <c r="B545" s="2" t="str">
        <f t="shared" si="8"/>
        <v>qua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DATE(Configurações!$B$3,6,24)</f>
        <v>46197</v>
      </c>
      <c r="B546" s="2" t="str">
        <f t="shared" si="8"/>
        <v>qua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DATE(Configurações!$B$3,6,24)</f>
        <v>46197</v>
      </c>
      <c r="B547" s="2" t="str">
        <f t="shared" si="8"/>
        <v>qua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DATE(Configurações!$B$3,6,24)</f>
        <v>46197</v>
      </c>
      <c r="B548" s="2" t="str">
        <f t="shared" si="8"/>
        <v>qua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DATE(Configurações!$B$3,6,24)</f>
        <v>46197</v>
      </c>
      <c r="B549" s="2" t="str">
        <f t="shared" si="8"/>
        <v>qua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DATE(Configurações!$B$3,6,24)</f>
        <v>46197</v>
      </c>
      <c r="B550" s="2" t="str">
        <f t="shared" si="8"/>
        <v>qua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DATE(Configurações!$B$3,6,24)</f>
        <v>46197</v>
      </c>
      <c r="B551" s="2" t="str">
        <f t="shared" si="8"/>
        <v>qua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DATE(Configurações!$B$3,6,24)</f>
        <v>46197</v>
      </c>
      <c r="B552" s="2" t="str">
        <f t="shared" si="8"/>
        <v>qua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DATE(Configurações!$B$3,6,24)</f>
        <v>46197</v>
      </c>
      <c r="B553" s="2" t="str">
        <f t="shared" si="8"/>
        <v>qua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DATE(Configurações!$B$3,6,24)</f>
        <v>46197</v>
      </c>
      <c r="B554" s="2" t="str">
        <f t="shared" si="8"/>
        <v>qua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DATE(Configurações!$B$3,6,24)</f>
        <v>46197</v>
      </c>
      <c r="B555" s="2" t="str">
        <f t="shared" si="8"/>
        <v>qua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DATE(Configurações!$B$3,6,24)</f>
        <v>46197</v>
      </c>
      <c r="B556" s="2" t="str">
        <f t="shared" si="8"/>
        <v>qua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DATE(Configurações!$B$3,6,24)</f>
        <v>46197</v>
      </c>
      <c r="B557" s="2" t="str">
        <f t="shared" si="8"/>
        <v>qua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DATE(Configurações!$B$3,6,25)</f>
        <v>46198</v>
      </c>
      <c r="B558" s="2" t="str">
        <f t="shared" si="8"/>
        <v>qui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DATE(Configurações!$B$3,6,25)</f>
        <v>46198</v>
      </c>
      <c r="B559" s="2" t="str">
        <f t="shared" si="8"/>
        <v>qui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DATE(Configurações!$B$3,6,25)</f>
        <v>46198</v>
      </c>
      <c r="B560" s="2" t="str">
        <f t="shared" si="8"/>
        <v>qui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DATE(Configurações!$B$3,6,25)</f>
        <v>46198</v>
      </c>
      <c r="B561" s="2" t="str">
        <f t="shared" si="8"/>
        <v>qui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DATE(Configurações!$B$3,6,25)</f>
        <v>46198</v>
      </c>
      <c r="B562" s="2" t="str">
        <f t="shared" si="8"/>
        <v>qui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DATE(Configurações!$B$3,6,25)</f>
        <v>46198</v>
      </c>
      <c r="B563" s="2" t="str">
        <f t="shared" si="8"/>
        <v>qui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DATE(Configurações!$B$3,6,25)</f>
        <v>46198</v>
      </c>
      <c r="B564" s="2" t="str">
        <f t="shared" si="8"/>
        <v>qui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DATE(Configurações!$B$3,6,25)</f>
        <v>46198</v>
      </c>
      <c r="B565" s="2" t="str">
        <f t="shared" si="8"/>
        <v>qui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DATE(Configurações!$B$3,6,25)</f>
        <v>46198</v>
      </c>
      <c r="B566" s="2" t="str">
        <f t="shared" si="8"/>
        <v>qui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DATE(Configurações!$B$3,6,25)</f>
        <v>46198</v>
      </c>
      <c r="B567" s="2" t="str">
        <f t="shared" si="8"/>
        <v>qui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DATE(Configurações!$B$3,6,25)</f>
        <v>46198</v>
      </c>
      <c r="B568" s="2" t="str">
        <f t="shared" si="8"/>
        <v>qui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DATE(Configurações!$B$3,6,25)</f>
        <v>46198</v>
      </c>
      <c r="B569" s="2" t="str">
        <f t="shared" si="8"/>
        <v>qui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DATE(Configurações!$B$3,6,25)</f>
        <v>46198</v>
      </c>
      <c r="B570" s="2" t="str">
        <f t="shared" si="8"/>
        <v>qui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DATE(Configurações!$B$3,6,25)</f>
        <v>46198</v>
      </c>
      <c r="B571" s="2" t="str">
        <f t="shared" si="8"/>
        <v>qui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DATE(Configurações!$B$3,6,25)</f>
        <v>46198</v>
      </c>
      <c r="B572" s="2" t="str">
        <f t="shared" si="8"/>
        <v>qui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DATE(Configurações!$B$3,6,25)</f>
        <v>46198</v>
      </c>
      <c r="B573" s="2" t="str">
        <f t="shared" si="8"/>
        <v>qui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DATE(Configurações!$B$3,6,25)</f>
        <v>46198</v>
      </c>
      <c r="B574" s="2" t="str">
        <f t="shared" si="8"/>
        <v>qui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DATE(Configurações!$B$3,6,25)</f>
        <v>46198</v>
      </c>
      <c r="B575" s="2" t="str">
        <f t="shared" si="8"/>
        <v>qui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DATE(Configurações!$B$3,6,25)</f>
        <v>46198</v>
      </c>
      <c r="B576" s="2" t="str">
        <f t="shared" si="8"/>
        <v>qui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DATE(Configurações!$B$3,6,25)</f>
        <v>46198</v>
      </c>
      <c r="B577" s="2" t="str">
        <f t="shared" si="8"/>
        <v>qui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DATE(Configurações!$B$3,6,25)</f>
        <v>46198</v>
      </c>
      <c r="B578" s="2" t="str">
        <f t="shared" si="8"/>
        <v>qui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DATE(Configurações!$B$3,6,25)</f>
        <v>46198</v>
      </c>
      <c r="B579" s="2" t="str">
        <f t="shared" si="8"/>
        <v>qui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DATE(Configurações!$B$3,6,25)</f>
        <v>46198</v>
      </c>
      <c r="B580" s="2" t="str">
        <f t="shared" si="8"/>
        <v>qui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DATE(Configurações!$B$3,6,26)</f>
        <v>46199</v>
      </c>
      <c r="B581" s="2" t="str">
        <f t="shared" si="8"/>
        <v>sex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DATE(Configurações!$B$3,6,26)</f>
        <v>46199</v>
      </c>
      <c r="B582" s="2" t="str">
        <f t="shared" ref="B582:B645" si="9">TEXT(A582,"ddd")</f>
        <v>sex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DATE(Configurações!$B$3,6,26)</f>
        <v>46199</v>
      </c>
      <c r="B583" s="2" t="str">
        <f t="shared" si="9"/>
        <v>sex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DATE(Configurações!$B$3,6,26)</f>
        <v>46199</v>
      </c>
      <c r="B584" s="2" t="str">
        <f t="shared" si="9"/>
        <v>sex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DATE(Configurações!$B$3,6,26)</f>
        <v>46199</v>
      </c>
      <c r="B585" s="2" t="str">
        <f t="shared" si="9"/>
        <v>sex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DATE(Configurações!$B$3,6,26)</f>
        <v>46199</v>
      </c>
      <c r="B586" s="2" t="str">
        <f t="shared" si="9"/>
        <v>sex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DATE(Configurações!$B$3,6,26)</f>
        <v>46199</v>
      </c>
      <c r="B587" s="2" t="str">
        <f t="shared" si="9"/>
        <v>sex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DATE(Configurações!$B$3,6,26)</f>
        <v>46199</v>
      </c>
      <c r="B588" s="2" t="str">
        <f t="shared" si="9"/>
        <v>sex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DATE(Configurações!$B$3,6,26)</f>
        <v>46199</v>
      </c>
      <c r="B589" s="2" t="str">
        <f t="shared" si="9"/>
        <v>sex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DATE(Configurações!$B$3,6,26)</f>
        <v>46199</v>
      </c>
      <c r="B590" s="2" t="str">
        <f t="shared" si="9"/>
        <v>sex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DATE(Configurações!$B$3,6,26)</f>
        <v>46199</v>
      </c>
      <c r="B591" s="2" t="str">
        <f t="shared" si="9"/>
        <v>sex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DATE(Configurações!$B$3,6,26)</f>
        <v>46199</v>
      </c>
      <c r="B592" s="2" t="str">
        <f t="shared" si="9"/>
        <v>sex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DATE(Configurações!$B$3,6,26)</f>
        <v>46199</v>
      </c>
      <c r="B593" s="2" t="str">
        <f t="shared" si="9"/>
        <v>sex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DATE(Configurações!$B$3,6,26)</f>
        <v>46199</v>
      </c>
      <c r="B594" s="2" t="str">
        <f t="shared" si="9"/>
        <v>sex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DATE(Configurações!$B$3,6,26)</f>
        <v>46199</v>
      </c>
      <c r="B595" s="2" t="str">
        <f t="shared" si="9"/>
        <v>sex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DATE(Configurações!$B$3,6,26)</f>
        <v>46199</v>
      </c>
      <c r="B596" s="2" t="str">
        <f t="shared" si="9"/>
        <v>sex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DATE(Configurações!$B$3,6,26)</f>
        <v>46199</v>
      </c>
      <c r="B597" s="2" t="str">
        <f t="shared" si="9"/>
        <v>sex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DATE(Configurações!$B$3,6,26)</f>
        <v>46199</v>
      </c>
      <c r="B598" s="2" t="str">
        <f t="shared" si="9"/>
        <v>sex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DATE(Configurações!$B$3,6,26)</f>
        <v>46199</v>
      </c>
      <c r="B599" s="2" t="str">
        <f t="shared" si="9"/>
        <v>sex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DATE(Configurações!$B$3,6,26)</f>
        <v>46199</v>
      </c>
      <c r="B600" s="2" t="str">
        <f t="shared" si="9"/>
        <v>sex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DATE(Configurações!$B$3,6,26)</f>
        <v>46199</v>
      </c>
      <c r="B601" s="2" t="str">
        <f t="shared" si="9"/>
        <v>sex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DATE(Configurações!$B$3,6,26)</f>
        <v>46199</v>
      </c>
      <c r="B602" s="2" t="str">
        <f t="shared" si="9"/>
        <v>sex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DATE(Configurações!$B$3,6,26)</f>
        <v>46199</v>
      </c>
      <c r="B603" s="2" t="str">
        <f t="shared" si="9"/>
        <v>sex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DATE(Configurações!$B$3,6,27)</f>
        <v>46200</v>
      </c>
      <c r="B604" s="2" t="str">
        <f t="shared" si="9"/>
        <v>sáb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DATE(Configurações!$B$3,6,27)</f>
        <v>46200</v>
      </c>
      <c r="B605" s="2" t="str">
        <f t="shared" si="9"/>
        <v>sáb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DATE(Configurações!$B$3,6,27)</f>
        <v>46200</v>
      </c>
      <c r="B606" s="2" t="str">
        <f t="shared" si="9"/>
        <v>sáb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DATE(Configurações!$B$3,6,27)</f>
        <v>46200</v>
      </c>
      <c r="B607" s="2" t="str">
        <f t="shared" si="9"/>
        <v>sáb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DATE(Configurações!$B$3,6,27)</f>
        <v>46200</v>
      </c>
      <c r="B608" s="2" t="str">
        <f t="shared" si="9"/>
        <v>sáb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DATE(Configurações!$B$3,6,27)</f>
        <v>46200</v>
      </c>
      <c r="B609" s="2" t="str">
        <f t="shared" si="9"/>
        <v>sáb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DATE(Configurações!$B$3,6,27)</f>
        <v>46200</v>
      </c>
      <c r="B610" s="2" t="str">
        <f t="shared" si="9"/>
        <v>sáb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DATE(Configurações!$B$3,6,27)</f>
        <v>46200</v>
      </c>
      <c r="B611" s="2" t="str">
        <f t="shared" si="9"/>
        <v>sáb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DATE(Configurações!$B$3,6,27)</f>
        <v>46200</v>
      </c>
      <c r="B612" s="2" t="str">
        <f t="shared" si="9"/>
        <v>sáb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DATE(Configurações!$B$3,6,27)</f>
        <v>46200</v>
      </c>
      <c r="B613" s="2" t="str">
        <f t="shared" si="9"/>
        <v>sáb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DATE(Configurações!$B$3,6,27)</f>
        <v>46200</v>
      </c>
      <c r="B614" s="2" t="str">
        <f t="shared" si="9"/>
        <v>sáb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DATE(Configurações!$B$3,6,27)</f>
        <v>46200</v>
      </c>
      <c r="B615" s="2" t="str">
        <f t="shared" si="9"/>
        <v>sáb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DATE(Configurações!$B$3,6,27)</f>
        <v>46200</v>
      </c>
      <c r="B616" s="2" t="str">
        <f t="shared" si="9"/>
        <v>sáb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DATE(Configurações!$B$3,6,27)</f>
        <v>46200</v>
      </c>
      <c r="B617" s="2" t="str">
        <f t="shared" si="9"/>
        <v>sáb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DATE(Configurações!$B$3,6,27)</f>
        <v>46200</v>
      </c>
      <c r="B618" s="2" t="str">
        <f t="shared" si="9"/>
        <v>sáb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DATE(Configurações!$B$3,6,27)</f>
        <v>46200</v>
      </c>
      <c r="B619" s="2" t="str">
        <f t="shared" si="9"/>
        <v>sáb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DATE(Configurações!$B$3,6,27)</f>
        <v>46200</v>
      </c>
      <c r="B620" s="2" t="str">
        <f t="shared" si="9"/>
        <v>sáb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DATE(Configurações!$B$3,6,27)</f>
        <v>46200</v>
      </c>
      <c r="B621" s="2" t="str">
        <f t="shared" si="9"/>
        <v>sáb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DATE(Configurações!$B$3,6,27)</f>
        <v>46200</v>
      </c>
      <c r="B622" s="2" t="str">
        <f t="shared" si="9"/>
        <v>sáb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DATE(Configurações!$B$3,6,27)</f>
        <v>46200</v>
      </c>
      <c r="B623" s="2" t="str">
        <f t="shared" si="9"/>
        <v>sáb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DATE(Configurações!$B$3,6,27)</f>
        <v>46200</v>
      </c>
      <c r="B624" s="2" t="str">
        <f t="shared" si="9"/>
        <v>sáb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DATE(Configurações!$B$3,6,27)</f>
        <v>46200</v>
      </c>
      <c r="B625" s="2" t="str">
        <f t="shared" si="9"/>
        <v>sáb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DATE(Configurações!$B$3,6,27)</f>
        <v>46200</v>
      </c>
      <c r="B626" s="2" t="str">
        <f t="shared" si="9"/>
        <v>sáb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DATE(Configurações!$B$3,6,28)</f>
        <v>46201</v>
      </c>
      <c r="B627" s="2" t="str">
        <f t="shared" si="9"/>
        <v>dom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DATE(Configurações!$B$3,6,28)</f>
        <v>46201</v>
      </c>
      <c r="B628" s="2" t="str">
        <f t="shared" si="9"/>
        <v>dom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DATE(Configurações!$B$3,6,28)</f>
        <v>46201</v>
      </c>
      <c r="B629" s="2" t="str">
        <f t="shared" si="9"/>
        <v>dom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DATE(Configurações!$B$3,6,28)</f>
        <v>46201</v>
      </c>
      <c r="B630" s="2" t="str">
        <f t="shared" si="9"/>
        <v>dom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DATE(Configurações!$B$3,6,28)</f>
        <v>46201</v>
      </c>
      <c r="B631" s="2" t="str">
        <f t="shared" si="9"/>
        <v>dom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DATE(Configurações!$B$3,6,28)</f>
        <v>46201</v>
      </c>
      <c r="B632" s="2" t="str">
        <f t="shared" si="9"/>
        <v>dom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DATE(Configurações!$B$3,6,28)</f>
        <v>46201</v>
      </c>
      <c r="B633" s="2" t="str">
        <f t="shared" si="9"/>
        <v>dom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DATE(Configurações!$B$3,6,28)</f>
        <v>46201</v>
      </c>
      <c r="B634" s="2" t="str">
        <f t="shared" si="9"/>
        <v>dom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DATE(Configurações!$B$3,6,28)</f>
        <v>46201</v>
      </c>
      <c r="B635" s="2" t="str">
        <f t="shared" si="9"/>
        <v>dom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DATE(Configurações!$B$3,6,28)</f>
        <v>46201</v>
      </c>
      <c r="B636" s="2" t="str">
        <f t="shared" si="9"/>
        <v>dom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DATE(Configurações!$B$3,6,28)</f>
        <v>46201</v>
      </c>
      <c r="B637" s="2" t="str">
        <f t="shared" si="9"/>
        <v>dom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DATE(Configurações!$B$3,6,28)</f>
        <v>46201</v>
      </c>
      <c r="B638" s="2" t="str">
        <f t="shared" si="9"/>
        <v>dom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DATE(Configurações!$B$3,6,28)</f>
        <v>46201</v>
      </c>
      <c r="B639" s="2" t="str">
        <f t="shared" si="9"/>
        <v>dom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DATE(Configurações!$B$3,6,28)</f>
        <v>46201</v>
      </c>
      <c r="B640" s="2" t="str">
        <f t="shared" si="9"/>
        <v>dom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DATE(Configurações!$B$3,6,28)</f>
        <v>46201</v>
      </c>
      <c r="B641" s="2" t="str">
        <f t="shared" si="9"/>
        <v>dom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DATE(Configurações!$B$3,6,28)</f>
        <v>46201</v>
      </c>
      <c r="B642" s="2" t="str">
        <f t="shared" si="9"/>
        <v>dom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DATE(Configurações!$B$3,6,28)</f>
        <v>46201</v>
      </c>
      <c r="B643" s="2" t="str">
        <f t="shared" si="9"/>
        <v>dom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DATE(Configurações!$B$3,6,28)</f>
        <v>46201</v>
      </c>
      <c r="B644" s="2" t="str">
        <f t="shared" si="9"/>
        <v>dom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DATE(Configurações!$B$3,6,28)</f>
        <v>46201</v>
      </c>
      <c r="B645" s="2" t="str">
        <f t="shared" si="9"/>
        <v>dom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DATE(Configurações!$B$3,6,28)</f>
        <v>46201</v>
      </c>
      <c r="B646" s="2" t="str">
        <f t="shared" ref="B646:B709" si="10">TEXT(A646,"ddd")</f>
        <v>dom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DATE(Configurações!$B$3,6,28)</f>
        <v>46201</v>
      </c>
      <c r="B647" s="2" t="str">
        <f t="shared" si="10"/>
        <v>dom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DATE(Configurações!$B$3,6,28)</f>
        <v>46201</v>
      </c>
      <c r="B648" s="2" t="str">
        <f t="shared" si="10"/>
        <v>dom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DATE(Configurações!$B$3,6,28)</f>
        <v>46201</v>
      </c>
      <c r="B649" s="2" t="str">
        <f t="shared" si="10"/>
        <v>dom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DATE(Configurações!$B$3,6,29)</f>
        <v>46202</v>
      </c>
      <c r="B650" s="2" t="str">
        <f t="shared" si="10"/>
        <v>seg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DATE(Configurações!$B$3,6,29)</f>
        <v>46202</v>
      </c>
      <c r="B651" s="2" t="str">
        <f t="shared" si="10"/>
        <v>seg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DATE(Configurações!$B$3,6,29)</f>
        <v>46202</v>
      </c>
      <c r="B652" s="2" t="str">
        <f t="shared" si="10"/>
        <v>seg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DATE(Configurações!$B$3,6,29)</f>
        <v>46202</v>
      </c>
      <c r="B653" s="2" t="str">
        <f t="shared" si="10"/>
        <v>seg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DATE(Configurações!$B$3,6,29)</f>
        <v>46202</v>
      </c>
      <c r="B654" s="2" t="str">
        <f t="shared" si="10"/>
        <v>seg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DATE(Configurações!$B$3,6,29)</f>
        <v>46202</v>
      </c>
      <c r="B655" s="2" t="str">
        <f t="shared" si="10"/>
        <v>seg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DATE(Configurações!$B$3,6,29)</f>
        <v>46202</v>
      </c>
      <c r="B656" s="2" t="str">
        <f t="shared" si="10"/>
        <v>seg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DATE(Configurações!$B$3,6,29)</f>
        <v>46202</v>
      </c>
      <c r="B657" s="2" t="str">
        <f t="shared" si="10"/>
        <v>seg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DATE(Configurações!$B$3,6,29)</f>
        <v>46202</v>
      </c>
      <c r="B658" s="2" t="str">
        <f t="shared" si="10"/>
        <v>seg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DATE(Configurações!$B$3,6,29)</f>
        <v>46202</v>
      </c>
      <c r="B659" s="2" t="str">
        <f t="shared" si="10"/>
        <v>seg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DATE(Configurações!$B$3,6,29)</f>
        <v>46202</v>
      </c>
      <c r="B660" s="2" t="str">
        <f t="shared" si="10"/>
        <v>seg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DATE(Configurações!$B$3,6,29)</f>
        <v>46202</v>
      </c>
      <c r="B661" s="2" t="str">
        <f t="shared" si="10"/>
        <v>seg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DATE(Configurações!$B$3,6,29)</f>
        <v>46202</v>
      </c>
      <c r="B662" s="2" t="str">
        <f t="shared" si="10"/>
        <v>seg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DATE(Configurações!$B$3,6,29)</f>
        <v>46202</v>
      </c>
      <c r="B663" s="2" t="str">
        <f t="shared" si="10"/>
        <v>seg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DATE(Configurações!$B$3,6,29)</f>
        <v>46202</v>
      </c>
      <c r="B664" s="2" t="str">
        <f t="shared" si="10"/>
        <v>seg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DATE(Configurações!$B$3,6,29)</f>
        <v>46202</v>
      </c>
      <c r="B665" s="2" t="str">
        <f t="shared" si="10"/>
        <v>seg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DATE(Configurações!$B$3,6,29)</f>
        <v>46202</v>
      </c>
      <c r="B666" s="2" t="str">
        <f t="shared" si="10"/>
        <v>seg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DATE(Configurações!$B$3,6,29)</f>
        <v>46202</v>
      </c>
      <c r="B667" s="2" t="str">
        <f t="shared" si="10"/>
        <v>seg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DATE(Configurações!$B$3,6,29)</f>
        <v>46202</v>
      </c>
      <c r="B668" s="2" t="str">
        <f t="shared" si="10"/>
        <v>seg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DATE(Configurações!$B$3,6,29)</f>
        <v>46202</v>
      </c>
      <c r="B669" s="2" t="str">
        <f t="shared" si="10"/>
        <v>seg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DATE(Configurações!$B$3,6,29)</f>
        <v>46202</v>
      </c>
      <c r="B670" s="2" t="str">
        <f t="shared" si="10"/>
        <v>seg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DATE(Configurações!$B$3,6,29)</f>
        <v>46202</v>
      </c>
      <c r="B671" s="2" t="str">
        <f t="shared" si="10"/>
        <v>seg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DATE(Configurações!$B$3,6,29)</f>
        <v>46202</v>
      </c>
      <c r="B672" s="2" t="str">
        <f t="shared" si="10"/>
        <v>seg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DATE(Configurações!$B$3,6,30)</f>
        <v>46203</v>
      </c>
      <c r="B673" s="2" t="str">
        <f t="shared" si="10"/>
        <v>ter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DATE(Configurações!$B$3,6,30)</f>
        <v>46203</v>
      </c>
      <c r="B674" s="2" t="str">
        <f t="shared" si="10"/>
        <v>ter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DATE(Configurações!$B$3,6,30)</f>
        <v>46203</v>
      </c>
      <c r="B675" s="2" t="str">
        <f t="shared" si="10"/>
        <v>ter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DATE(Configurações!$B$3,6,30)</f>
        <v>46203</v>
      </c>
      <c r="B676" s="2" t="str">
        <f t="shared" si="10"/>
        <v>ter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DATE(Configurações!$B$3,6,30)</f>
        <v>46203</v>
      </c>
      <c r="B677" s="2" t="str">
        <f t="shared" si="10"/>
        <v>ter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DATE(Configurações!$B$3,6,30)</f>
        <v>46203</v>
      </c>
      <c r="B678" s="2" t="str">
        <f t="shared" si="10"/>
        <v>ter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DATE(Configurações!$B$3,6,30)</f>
        <v>46203</v>
      </c>
      <c r="B679" s="2" t="str">
        <f t="shared" si="10"/>
        <v>ter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DATE(Configurações!$B$3,6,30)</f>
        <v>46203</v>
      </c>
      <c r="B680" s="2" t="str">
        <f t="shared" si="10"/>
        <v>ter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DATE(Configurações!$B$3,6,30)</f>
        <v>46203</v>
      </c>
      <c r="B681" s="2" t="str">
        <f t="shared" si="10"/>
        <v>ter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DATE(Configurações!$B$3,6,30)</f>
        <v>46203</v>
      </c>
      <c r="B682" s="2" t="str">
        <f t="shared" si="10"/>
        <v>ter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DATE(Configurações!$B$3,6,30)</f>
        <v>46203</v>
      </c>
      <c r="B683" s="2" t="str">
        <f t="shared" si="10"/>
        <v>ter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DATE(Configurações!$B$3,6,30)</f>
        <v>46203</v>
      </c>
      <c r="B684" s="2" t="str">
        <f t="shared" si="10"/>
        <v>ter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DATE(Configurações!$B$3,6,30)</f>
        <v>46203</v>
      </c>
      <c r="B685" s="2" t="str">
        <f t="shared" si="10"/>
        <v>ter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DATE(Configurações!$B$3,6,30)</f>
        <v>46203</v>
      </c>
      <c r="B686" s="2" t="str">
        <f t="shared" si="10"/>
        <v>ter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DATE(Configurações!$B$3,6,30)</f>
        <v>46203</v>
      </c>
      <c r="B687" s="2" t="str">
        <f t="shared" si="10"/>
        <v>ter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DATE(Configurações!$B$3,6,30)</f>
        <v>46203</v>
      </c>
      <c r="B688" s="2" t="str">
        <f t="shared" si="10"/>
        <v>ter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DATE(Configurações!$B$3,6,30)</f>
        <v>46203</v>
      </c>
      <c r="B689" s="2" t="str">
        <f t="shared" si="10"/>
        <v>ter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DATE(Configurações!$B$3,6,30)</f>
        <v>46203</v>
      </c>
      <c r="B690" s="2" t="str">
        <f t="shared" si="10"/>
        <v>ter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DATE(Configurações!$B$3,6,30)</f>
        <v>46203</v>
      </c>
      <c r="B691" s="2" t="str">
        <f t="shared" si="10"/>
        <v>ter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DATE(Configurações!$B$3,6,30)</f>
        <v>46203</v>
      </c>
      <c r="B692" s="2" t="str">
        <f t="shared" si="10"/>
        <v>ter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DATE(Configurações!$B$3,6,30)</f>
        <v>46203</v>
      </c>
      <c r="B693" s="2" t="str">
        <f t="shared" si="10"/>
        <v>ter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DATE(Configurações!$B$3,6,30)</f>
        <v>46203</v>
      </c>
      <c r="B694" s="2" t="str">
        <f t="shared" si="10"/>
        <v>ter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DATE(Configurações!$B$3,6,30)</f>
        <v>46203</v>
      </c>
      <c r="B695" s="2" t="str">
        <f t="shared" si="10"/>
        <v>ter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DATE(Configurações!$B$3,6,31)</f>
        <v>46204</v>
      </c>
      <c r="B696" s="2" t="str">
        <f t="shared" si="10"/>
        <v>qua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DATE(Configurações!$B$3,6,31)</f>
        <v>46204</v>
      </c>
      <c r="B697" s="2" t="str">
        <f t="shared" si="10"/>
        <v>qua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DATE(Configurações!$B$3,6,31)</f>
        <v>46204</v>
      </c>
      <c r="B698" s="2" t="str">
        <f t="shared" si="10"/>
        <v>qua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DATE(Configurações!$B$3,6,31)</f>
        <v>46204</v>
      </c>
      <c r="B699" s="2" t="str">
        <f t="shared" si="10"/>
        <v>qua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DATE(Configurações!$B$3,6,31)</f>
        <v>46204</v>
      </c>
      <c r="B700" s="2" t="str">
        <f t="shared" si="10"/>
        <v>qua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DATE(Configurações!$B$3,6,31)</f>
        <v>46204</v>
      </c>
      <c r="B701" s="2" t="str">
        <f t="shared" si="10"/>
        <v>qua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DATE(Configurações!$B$3,6,31)</f>
        <v>46204</v>
      </c>
      <c r="B702" s="2" t="str">
        <f t="shared" si="10"/>
        <v>qua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DATE(Configurações!$B$3,6,31)</f>
        <v>46204</v>
      </c>
      <c r="B703" s="2" t="str">
        <f t="shared" si="10"/>
        <v>qua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DATE(Configurações!$B$3,6,31)</f>
        <v>46204</v>
      </c>
      <c r="B704" s="2" t="str">
        <f t="shared" si="10"/>
        <v>qua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DATE(Configurações!$B$3,6,31)</f>
        <v>46204</v>
      </c>
      <c r="B705" s="2" t="str">
        <f t="shared" si="10"/>
        <v>qua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DATE(Configurações!$B$3,6,31)</f>
        <v>46204</v>
      </c>
      <c r="B706" s="2" t="str">
        <f t="shared" si="10"/>
        <v>qua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DATE(Configurações!$B$3,6,31)</f>
        <v>46204</v>
      </c>
      <c r="B707" s="2" t="str">
        <f t="shared" si="10"/>
        <v>qua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DATE(Configurações!$B$3,6,31)</f>
        <v>46204</v>
      </c>
      <c r="B708" s="2" t="str">
        <f t="shared" si="10"/>
        <v>qua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DATE(Configurações!$B$3,6,31)</f>
        <v>46204</v>
      </c>
      <c r="B709" s="2" t="str">
        <f t="shared" si="10"/>
        <v>qua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DATE(Configurações!$B$3,6,31)</f>
        <v>46204</v>
      </c>
      <c r="B710" s="2" t="str">
        <f t="shared" ref="B710:B773" si="11">TEXT(A710,"ddd")</f>
        <v>qua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DATE(Configurações!$B$3,6,31)</f>
        <v>46204</v>
      </c>
      <c r="B711" s="2" t="str">
        <f t="shared" si="11"/>
        <v>qua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DATE(Configurações!$B$3,6,31)</f>
        <v>46204</v>
      </c>
      <c r="B712" s="2" t="str">
        <f t="shared" si="11"/>
        <v>qua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DATE(Configurações!$B$3,6,31)</f>
        <v>46204</v>
      </c>
      <c r="B713" s="2" t="str">
        <f t="shared" si="11"/>
        <v>qua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DATE(Configurações!$B$3,6,31)</f>
        <v>46204</v>
      </c>
      <c r="B714" s="2" t="str">
        <f t="shared" si="11"/>
        <v>qua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DATE(Configurações!$B$3,6,31)</f>
        <v>46204</v>
      </c>
      <c r="B715" s="2" t="str">
        <f t="shared" si="11"/>
        <v>qua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DATE(Configurações!$B$3,6,31)</f>
        <v>46204</v>
      </c>
      <c r="B716" s="2" t="str">
        <f t="shared" si="11"/>
        <v>qua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DATE(Configurações!$B$3,6,31)</f>
        <v>46204</v>
      </c>
      <c r="B717" s="2" t="str">
        <f t="shared" si="11"/>
        <v>qua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DATE(Configurações!$B$3,6,31)</f>
        <v>46204</v>
      </c>
      <c r="B718" s="2" t="str">
        <f t="shared" si="11"/>
        <v>qua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27" priority="1">
      <formula>F6="Online"</formula>
    </cfRule>
    <cfRule type="expression" dxfId="26" priority="2">
      <formula>F6="Offline"</formula>
    </cfRule>
    <cfRule type="expression" dxfId="25" priority="3">
      <formula>F6="Manutenção"</formula>
    </cfRule>
    <cfRule type="expression" dxfId="24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113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DATE(Configurações!$B$3,7,1)</f>
        <v>46204</v>
      </c>
      <c r="B6" s="2" t="str">
        <f t="shared" ref="B6:B69" si="0">TEXT(A6,"ddd")</f>
        <v>qua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DATE(Configurações!$B$3,7,1)</f>
        <v>46204</v>
      </c>
      <c r="B7" s="2" t="str">
        <f t="shared" si="0"/>
        <v>qua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DATE(Configurações!$B$3,7,1)</f>
        <v>46204</v>
      </c>
      <c r="B8" s="2" t="str">
        <f t="shared" si="0"/>
        <v>qua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DATE(Configurações!$B$3,7,1)</f>
        <v>46204</v>
      </c>
      <c r="B9" s="2" t="str">
        <f t="shared" si="0"/>
        <v>qua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DATE(Configurações!$B$3,7,1)</f>
        <v>46204</v>
      </c>
      <c r="B10" s="2" t="str">
        <f t="shared" si="0"/>
        <v>qua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DATE(Configurações!$B$3,7,1)</f>
        <v>46204</v>
      </c>
      <c r="B11" s="2" t="str">
        <f t="shared" si="0"/>
        <v>qua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DATE(Configurações!$B$3,7,1)</f>
        <v>46204</v>
      </c>
      <c r="B12" s="2" t="str">
        <f t="shared" si="0"/>
        <v>qua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DATE(Configurações!$B$3,7,1)</f>
        <v>46204</v>
      </c>
      <c r="B13" s="2" t="str">
        <f t="shared" si="0"/>
        <v>qua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DATE(Configurações!$B$3,7,1)</f>
        <v>46204</v>
      </c>
      <c r="B14" s="2" t="str">
        <f t="shared" si="0"/>
        <v>qua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DATE(Configurações!$B$3,7,1)</f>
        <v>46204</v>
      </c>
      <c r="B15" s="2" t="str">
        <f t="shared" si="0"/>
        <v>qua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DATE(Configurações!$B$3,7,1)</f>
        <v>46204</v>
      </c>
      <c r="B16" s="2" t="str">
        <f t="shared" si="0"/>
        <v>qua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DATE(Configurações!$B$3,7,1)</f>
        <v>46204</v>
      </c>
      <c r="B17" s="2" t="str">
        <f t="shared" si="0"/>
        <v>qua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DATE(Configurações!$B$3,7,1)</f>
        <v>46204</v>
      </c>
      <c r="B18" s="2" t="str">
        <f t="shared" si="0"/>
        <v>qua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DATE(Configurações!$B$3,7,1)</f>
        <v>46204</v>
      </c>
      <c r="B19" s="2" t="str">
        <f t="shared" si="0"/>
        <v>qua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DATE(Configurações!$B$3,7,1)</f>
        <v>46204</v>
      </c>
      <c r="B20" s="2" t="str">
        <f t="shared" si="0"/>
        <v>qua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DATE(Configurações!$B$3,7,1)</f>
        <v>46204</v>
      </c>
      <c r="B21" s="2" t="str">
        <f t="shared" si="0"/>
        <v>qua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DATE(Configurações!$B$3,7,1)</f>
        <v>46204</v>
      </c>
      <c r="B22" s="2" t="str">
        <f t="shared" si="0"/>
        <v>qua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DATE(Configurações!$B$3,7,1)</f>
        <v>46204</v>
      </c>
      <c r="B23" s="2" t="str">
        <f t="shared" si="0"/>
        <v>qua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DATE(Configurações!$B$3,7,1)</f>
        <v>46204</v>
      </c>
      <c r="B24" s="2" t="str">
        <f t="shared" si="0"/>
        <v>qua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DATE(Configurações!$B$3,7,1)</f>
        <v>46204</v>
      </c>
      <c r="B25" s="2" t="str">
        <f t="shared" si="0"/>
        <v>qua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DATE(Configurações!$B$3,7,1)</f>
        <v>46204</v>
      </c>
      <c r="B26" s="2" t="str">
        <f t="shared" si="0"/>
        <v>qua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DATE(Configurações!$B$3,7,1)</f>
        <v>46204</v>
      </c>
      <c r="B27" s="2" t="str">
        <f t="shared" si="0"/>
        <v>qua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DATE(Configurações!$B$3,7,1)</f>
        <v>46204</v>
      </c>
      <c r="B28" s="2" t="str">
        <f t="shared" si="0"/>
        <v>qua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DATE(Configurações!$B$3,7,2)</f>
        <v>46205</v>
      </c>
      <c r="B29" s="2" t="str">
        <f t="shared" si="0"/>
        <v>qui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DATE(Configurações!$B$3,7,2)</f>
        <v>46205</v>
      </c>
      <c r="B30" s="2" t="str">
        <f t="shared" si="0"/>
        <v>qui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DATE(Configurações!$B$3,7,2)</f>
        <v>46205</v>
      </c>
      <c r="B31" s="2" t="str">
        <f t="shared" si="0"/>
        <v>qui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DATE(Configurações!$B$3,7,2)</f>
        <v>46205</v>
      </c>
      <c r="B32" s="2" t="str">
        <f t="shared" si="0"/>
        <v>qui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DATE(Configurações!$B$3,7,2)</f>
        <v>46205</v>
      </c>
      <c r="B33" s="2" t="str">
        <f t="shared" si="0"/>
        <v>qui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DATE(Configurações!$B$3,7,2)</f>
        <v>46205</v>
      </c>
      <c r="B34" s="2" t="str">
        <f t="shared" si="0"/>
        <v>qui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DATE(Configurações!$B$3,7,2)</f>
        <v>46205</v>
      </c>
      <c r="B35" s="2" t="str">
        <f t="shared" si="0"/>
        <v>qui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DATE(Configurações!$B$3,7,2)</f>
        <v>46205</v>
      </c>
      <c r="B36" s="2" t="str">
        <f t="shared" si="0"/>
        <v>qui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DATE(Configurações!$B$3,7,2)</f>
        <v>46205</v>
      </c>
      <c r="B37" s="2" t="str">
        <f t="shared" si="0"/>
        <v>qui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DATE(Configurações!$B$3,7,2)</f>
        <v>46205</v>
      </c>
      <c r="B38" s="2" t="str">
        <f t="shared" si="0"/>
        <v>qui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DATE(Configurações!$B$3,7,2)</f>
        <v>46205</v>
      </c>
      <c r="B39" s="2" t="str">
        <f t="shared" si="0"/>
        <v>qui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DATE(Configurações!$B$3,7,2)</f>
        <v>46205</v>
      </c>
      <c r="B40" s="2" t="str">
        <f t="shared" si="0"/>
        <v>qui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DATE(Configurações!$B$3,7,2)</f>
        <v>46205</v>
      </c>
      <c r="B41" s="2" t="str">
        <f t="shared" si="0"/>
        <v>qui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DATE(Configurações!$B$3,7,2)</f>
        <v>46205</v>
      </c>
      <c r="B42" s="2" t="str">
        <f t="shared" si="0"/>
        <v>qui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DATE(Configurações!$B$3,7,2)</f>
        <v>46205</v>
      </c>
      <c r="B43" s="2" t="str">
        <f t="shared" si="0"/>
        <v>qui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DATE(Configurações!$B$3,7,2)</f>
        <v>46205</v>
      </c>
      <c r="B44" s="2" t="str">
        <f t="shared" si="0"/>
        <v>qui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DATE(Configurações!$B$3,7,2)</f>
        <v>46205</v>
      </c>
      <c r="B45" s="2" t="str">
        <f t="shared" si="0"/>
        <v>qui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DATE(Configurações!$B$3,7,2)</f>
        <v>46205</v>
      </c>
      <c r="B46" s="2" t="str">
        <f t="shared" si="0"/>
        <v>qui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DATE(Configurações!$B$3,7,2)</f>
        <v>46205</v>
      </c>
      <c r="B47" s="2" t="str">
        <f t="shared" si="0"/>
        <v>qui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DATE(Configurações!$B$3,7,2)</f>
        <v>46205</v>
      </c>
      <c r="B48" s="2" t="str">
        <f t="shared" si="0"/>
        <v>qui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DATE(Configurações!$B$3,7,2)</f>
        <v>46205</v>
      </c>
      <c r="B49" s="2" t="str">
        <f t="shared" si="0"/>
        <v>qui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DATE(Configurações!$B$3,7,2)</f>
        <v>46205</v>
      </c>
      <c r="B50" s="2" t="str">
        <f t="shared" si="0"/>
        <v>qui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DATE(Configurações!$B$3,7,2)</f>
        <v>46205</v>
      </c>
      <c r="B51" s="2" t="str">
        <f t="shared" si="0"/>
        <v>qui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DATE(Configurações!$B$3,7,3)</f>
        <v>46206</v>
      </c>
      <c r="B52" s="2" t="str">
        <f t="shared" si="0"/>
        <v>sex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DATE(Configurações!$B$3,7,3)</f>
        <v>46206</v>
      </c>
      <c r="B53" s="2" t="str">
        <f t="shared" si="0"/>
        <v>sex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DATE(Configurações!$B$3,7,3)</f>
        <v>46206</v>
      </c>
      <c r="B54" s="2" t="str">
        <f t="shared" si="0"/>
        <v>sex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DATE(Configurações!$B$3,7,3)</f>
        <v>46206</v>
      </c>
      <c r="B55" s="2" t="str">
        <f t="shared" si="0"/>
        <v>sex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DATE(Configurações!$B$3,7,3)</f>
        <v>46206</v>
      </c>
      <c r="B56" s="2" t="str">
        <f t="shared" si="0"/>
        <v>sex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DATE(Configurações!$B$3,7,3)</f>
        <v>46206</v>
      </c>
      <c r="B57" s="2" t="str">
        <f t="shared" si="0"/>
        <v>sex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DATE(Configurações!$B$3,7,3)</f>
        <v>46206</v>
      </c>
      <c r="B58" s="2" t="str">
        <f t="shared" si="0"/>
        <v>sex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DATE(Configurações!$B$3,7,3)</f>
        <v>46206</v>
      </c>
      <c r="B59" s="2" t="str">
        <f t="shared" si="0"/>
        <v>sex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DATE(Configurações!$B$3,7,3)</f>
        <v>46206</v>
      </c>
      <c r="B60" s="2" t="str">
        <f t="shared" si="0"/>
        <v>sex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DATE(Configurações!$B$3,7,3)</f>
        <v>46206</v>
      </c>
      <c r="B61" s="2" t="str">
        <f t="shared" si="0"/>
        <v>sex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DATE(Configurações!$B$3,7,3)</f>
        <v>46206</v>
      </c>
      <c r="B62" s="2" t="str">
        <f t="shared" si="0"/>
        <v>sex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DATE(Configurações!$B$3,7,3)</f>
        <v>46206</v>
      </c>
      <c r="B63" s="2" t="str">
        <f t="shared" si="0"/>
        <v>sex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DATE(Configurações!$B$3,7,3)</f>
        <v>46206</v>
      </c>
      <c r="B64" s="2" t="str">
        <f t="shared" si="0"/>
        <v>sex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DATE(Configurações!$B$3,7,3)</f>
        <v>46206</v>
      </c>
      <c r="B65" s="2" t="str">
        <f t="shared" si="0"/>
        <v>sex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DATE(Configurações!$B$3,7,3)</f>
        <v>46206</v>
      </c>
      <c r="B66" s="2" t="str">
        <f t="shared" si="0"/>
        <v>sex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DATE(Configurações!$B$3,7,3)</f>
        <v>46206</v>
      </c>
      <c r="B67" s="2" t="str">
        <f t="shared" si="0"/>
        <v>sex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DATE(Configurações!$B$3,7,3)</f>
        <v>46206</v>
      </c>
      <c r="B68" s="2" t="str">
        <f t="shared" si="0"/>
        <v>sex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DATE(Configurações!$B$3,7,3)</f>
        <v>46206</v>
      </c>
      <c r="B69" s="2" t="str">
        <f t="shared" si="0"/>
        <v>sex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DATE(Configurações!$B$3,7,3)</f>
        <v>46206</v>
      </c>
      <c r="B70" s="2" t="str">
        <f t="shared" ref="B70:B133" si="1">TEXT(A70,"ddd")</f>
        <v>sex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DATE(Configurações!$B$3,7,3)</f>
        <v>46206</v>
      </c>
      <c r="B71" s="2" t="str">
        <f t="shared" si="1"/>
        <v>sex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DATE(Configurações!$B$3,7,3)</f>
        <v>46206</v>
      </c>
      <c r="B72" s="2" t="str">
        <f t="shared" si="1"/>
        <v>sex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DATE(Configurações!$B$3,7,3)</f>
        <v>46206</v>
      </c>
      <c r="B73" s="2" t="str">
        <f t="shared" si="1"/>
        <v>sex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DATE(Configurações!$B$3,7,3)</f>
        <v>46206</v>
      </c>
      <c r="B74" s="2" t="str">
        <f t="shared" si="1"/>
        <v>sex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DATE(Configurações!$B$3,7,4)</f>
        <v>46207</v>
      </c>
      <c r="B75" s="2" t="str">
        <f t="shared" si="1"/>
        <v>sáb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DATE(Configurações!$B$3,7,4)</f>
        <v>46207</v>
      </c>
      <c r="B76" s="2" t="str">
        <f t="shared" si="1"/>
        <v>sáb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DATE(Configurações!$B$3,7,4)</f>
        <v>46207</v>
      </c>
      <c r="B77" s="2" t="str">
        <f t="shared" si="1"/>
        <v>sáb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DATE(Configurações!$B$3,7,4)</f>
        <v>46207</v>
      </c>
      <c r="B78" s="2" t="str">
        <f t="shared" si="1"/>
        <v>sáb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DATE(Configurações!$B$3,7,4)</f>
        <v>46207</v>
      </c>
      <c r="B79" s="2" t="str">
        <f t="shared" si="1"/>
        <v>sáb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DATE(Configurações!$B$3,7,4)</f>
        <v>46207</v>
      </c>
      <c r="B80" s="2" t="str">
        <f t="shared" si="1"/>
        <v>sáb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DATE(Configurações!$B$3,7,4)</f>
        <v>46207</v>
      </c>
      <c r="B81" s="2" t="str">
        <f t="shared" si="1"/>
        <v>sáb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DATE(Configurações!$B$3,7,4)</f>
        <v>46207</v>
      </c>
      <c r="B82" s="2" t="str">
        <f t="shared" si="1"/>
        <v>sáb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DATE(Configurações!$B$3,7,4)</f>
        <v>46207</v>
      </c>
      <c r="B83" s="2" t="str">
        <f t="shared" si="1"/>
        <v>sáb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DATE(Configurações!$B$3,7,4)</f>
        <v>46207</v>
      </c>
      <c r="B84" s="2" t="str">
        <f t="shared" si="1"/>
        <v>sáb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DATE(Configurações!$B$3,7,4)</f>
        <v>46207</v>
      </c>
      <c r="B85" s="2" t="str">
        <f t="shared" si="1"/>
        <v>sáb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DATE(Configurações!$B$3,7,4)</f>
        <v>46207</v>
      </c>
      <c r="B86" s="2" t="str">
        <f t="shared" si="1"/>
        <v>sáb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DATE(Configurações!$B$3,7,4)</f>
        <v>46207</v>
      </c>
      <c r="B87" s="2" t="str">
        <f t="shared" si="1"/>
        <v>sáb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DATE(Configurações!$B$3,7,4)</f>
        <v>46207</v>
      </c>
      <c r="B88" s="2" t="str">
        <f t="shared" si="1"/>
        <v>sáb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DATE(Configurações!$B$3,7,4)</f>
        <v>46207</v>
      </c>
      <c r="B89" s="2" t="str">
        <f t="shared" si="1"/>
        <v>sáb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DATE(Configurações!$B$3,7,4)</f>
        <v>46207</v>
      </c>
      <c r="B90" s="2" t="str">
        <f t="shared" si="1"/>
        <v>sáb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DATE(Configurações!$B$3,7,4)</f>
        <v>46207</v>
      </c>
      <c r="B91" s="2" t="str">
        <f t="shared" si="1"/>
        <v>sáb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DATE(Configurações!$B$3,7,4)</f>
        <v>46207</v>
      </c>
      <c r="B92" s="2" t="str">
        <f t="shared" si="1"/>
        <v>sáb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DATE(Configurações!$B$3,7,4)</f>
        <v>46207</v>
      </c>
      <c r="B93" s="2" t="str">
        <f t="shared" si="1"/>
        <v>sáb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DATE(Configurações!$B$3,7,4)</f>
        <v>46207</v>
      </c>
      <c r="B94" s="2" t="str">
        <f t="shared" si="1"/>
        <v>sáb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DATE(Configurações!$B$3,7,4)</f>
        <v>46207</v>
      </c>
      <c r="B95" s="2" t="str">
        <f t="shared" si="1"/>
        <v>sáb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DATE(Configurações!$B$3,7,4)</f>
        <v>46207</v>
      </c>
      <c r="B96" s="2" t="str">
        <f t="shared" si="1"/>
        <v>sáb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DATE(Configurações!$B$3,7,4)</f>
        <v>46207</v>
      </c>
      <c r="B97" s="2" t="str">
        <f t="shared" si="1"/>
        <v>sáb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DATE(Configurações!$B$3,7,5)</f>
        <v>46208</v>
      </c>
      <c r="B98" s="2" t="str">
        <f t="shared" si="1"/>
        <v>dom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DATE(Configurações!$B$3,7,5)</f>
        <v>46208</v>
      </c>
      <c r="B99" s="2" t="str">
        <f t="shared" si="1"/>
        <v>dom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DATE(Configurações!$B$3,7,5)</f>
        <v>46208</v>
      </c>
      <c r="B100" s="2" t="str">
        <f t="shared" si="1"/>
        <v>dom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DATE(Configurações!$B$3,7,5)</f>
        <v>46208</v>
      </c>
      <c r="B101" s="2" t="str">
        <f t="shared" si="1"/>
        <v>dom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DATE(Configurações!$B$3,7,5)</f>
        <v>46208</v>
      </c>
      <c r="B102" s="2" t="str">
        <f t="shared" si="1"/>
        <v>dom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DATE(Configurações!$B$3,7,5)</f>
        <v>46208</v>
      </c>
      <c r="B103" s="2" t="str">
        <f t="shared" si="1"/>
        <v>dom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DATE(Configurações!$B$3,7,5)</f>
        <v>46208</v>
      </c>
      <c r="B104" s="2" t="str">
        <f t="shared" si="1"/>
        <v>dom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DATE(Configurações!$B$3,7,5)</f>
        <v>46208</v>
      </c>
      <c r="B105" s="2" t="str">
        <f t="shared" si="1"/>
        <v>dom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DATE(Configurações!$B$3,7,5)</f>
        <v>46208</v>
      </c>
      <c r="B106" s="2" t="str">
        <f t="shared" si="1"/>
        <v>dom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DATE(Configurações!$B$3,7,5)</f>
        <v>46208</v>
      </c>
      <c r="B107" s="2" t="str">
        <f t="shared" si="1"/>
        <v>dom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DATE(Configurações!$B$3,7,5)</f>
        <v>46208</v>
      </c>
      <c r="B108" s="2" t="str">
        <f t="shared" si="1"/>
        <v>dom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DATE(Configurações!$B$3,7,5)</f>
        <v>46208</v>
      </c>
      <c r="B109" s="2" t="str">
        <f t="shared" si="1"/>
        <v>dom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DATE(Configurações!$B$3,7,5)</f>
        <v>46208</v>
      </c>
      <c r="B110" s="2" t="str">
        <f t="shared" si="1"/>
        <v>dom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DATE(Configurações!$B$3,7,5)</f>
        <v>46208</v>
      </c>
      <c r="B111" s="2" t="str">
        <f t="shared" si="1"/>
        <v>dom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DATE(Configurações!$B$3,7,5)</f>
        <v>46208</v>
      </c>
      <c r="B112" s="2" t="str">
        <f t="shared" si="1"/>
        <v>dom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DATE(Configurações!$B$3,7,5)</f>
        <v>46208</v>
      </c>
      <c r="B113" s="2" t="str">
        <f t="shared" si="1"/>
        <v>dom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DATE(Configurações!$B$3,7,5)</f>
        <v>46208</v>
      </c>
      <c r="B114" s="2" t="str">
        <f t="shared" si="1"/>
        <v>dom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DATE(Configurações!$B$3,7,5)</f>
        <v>46208</v>
      </c>
      <c r="B115" s="2" t="str">
        <f t="shared" si="1"/>
        <v>dom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DATE(Configurações!$B$3,7,5)</f>
        <v>46208</v>
      </c>
      <c r="B116" s="2" t="str">
        <f t="shared" si="1"/>
        <v>dom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DATE(Configurações!$B$3,7,5)</f>
        <v>46208</v>
      </c>
      <c r="B117" s="2" t="str">
        <f t="shared" si="1"/>
        <v>dom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DATE(Configurações!$B$3,7,5)</f>
        <v>46208</v>
      </c>
      <c r="B118" s="2" t="str">
        <f t="shared" si="1"/>
        <v>dom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DATE(Configurações!$B$3,7,5)</f>
        <v>46208</v>
      </c>
      <c r="B119" s="2" t="str">
        <f t="shared" si="1"/>
        <v>dom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DATE(Configurações!$B$3,7,5)</f>
        <v>46208</v>
      </c>
      <c r="B120" s="2" t="str">
        <f t="shared" si="1"/>
        <v>dom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DATE(Configurações!$B$3,7,6)</f>
        <v>46209</v>
      </c>
      <c r="B121" s="2" t="str">
        <f t="shared" si="1"/>
        <v>seg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DATE(Configurações!$B$3,7,6)</f>
        <v>46209</v>
      </c>
      <c r="B122" s="2" t="str">
        <f t="shared" si="1"/>
        <v>seg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DATE(Configurações!$B$3,7,6)</f>
        <v>46209</v>
      </c>
      <c r="B123" s="2" t="str">
        <f t="shared" si="1"/>
        <v>seg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DATE(Configurações!$B$3,7,6)</f>
        <v>46209</v>
      </c>
      <c r="B124" s="2" t="str">
        <f t="shared" si="1"/>
        <v>seg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DATE(Configurações!$B$3,7,6)</f>
        <v>46209</v>
      </c>
      <c r="B125" s="2" t="str">
        <f t="shared" si="1"/>
        <v>seg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DATE(Configurações!$B$3,7,6)</f>
        <v>46209</v>
      </c>
      <c r="B126" s="2" t="str">
        <f t="shared" si="1"/>
        <v>seg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DATE(Configurações!$B$3,7,6)</f>
        <v>46209</v>
      </c>
      <c r="B127" s="2" t="str">
        <f t="shared" si="1"/>
        <v>seg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DATE(Configurações!$B$3,7,6)</f>
        <v>46209</v>
      </c>
      <c r="B128" s="2" t="str">
        <f t="shared" si="1"/>
        <v>seg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DATE(Configurações!$B$3,7,6)</f>
        <v>46209</v>
      </c>
      <c r="B129" s="2" t="str">
        <f t="shared" si="1"/>
        <v>seg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DATE(Configurações!$B$3,7,6)</f>
        <v>46209</v>
      </c>
      <c r="B130" s="2" t="str">
        <f t="shared" si="1"/>
        <v>seg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DATE(Configurações!$B$3,7,6)</f>
        <v>46209</v>
      </c>
      <c r="B131" s="2" t="str">
        <f t="shared" si="1"/>
        <v>seg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DATE(Configurações!$B$3,7,6)</f>
        <v>46209</v>
      </c>
      <c r="B132" s="2" t="str">
        <f t="shared" si="1"/>
        <v>seg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DATE(Configurações!$B$3,7,6)</f>
        <v>46209</v>
      </c>
      <c r="B133" s="2" t="str">
        <f t="shared" si="1"/>
        <v>seg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DATE(Configurações!$B$3,7,6)</f>
        <v>46209</v>
      </c>
      <c r="B134" s="2" t="str">
        <f t="shared" ref="B134:B197" si="2">TEXT(A134,"ddd")</f>
        <v>seg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DATE(Configurações!$B$3,7,6)</f>
        <v>46209</v>
      </c>
      <c r="B135" s="2" t="str">
        <f t="shared" si="2"/>
        <v>seg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DATE(Configurações!$B$3,7,6)</f>
        <v>46209</v>
      </c>
      <c r="B136" s="2" t="str">
        <f t="shared" si="2"/>
        <v>seg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DATE(Configurações!$B$3,7,6)</f>
        <v>46209</v>
      </c>
      <c r="B137" s="2" t="str">
        <f t="shared" si="2"/>
        <v>seg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DATE(Configurações!$B$3,7,6)</f>
        <v>46209</v>
      </c>
      <c r="B138" s="2" t="str">
        <f t="shared" si="2"/>
        <v>seg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DATE(Configurações!$B$3,7,6)</f>
        <v>46209</v>
      </c>
      <c r="B139" s="2" t="str">
        <f t="shared" si="2"/>
        <v>seg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DATE(Configurações!$B$3,7,6)</f>
        <v>46209</v>
      </c>
      <c r="B140" s="2" t="str">
        <f t="shared" si="2"/>
        <v>seg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DATE(Configurações!$B$3,7,6)</f>
        <v>46209</v>
      </c>
      <c r="B141" s="2" t="str">
        <f t="shared" si="2"/>
        <v>seg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DATE(Configurações!$B$3,7,6)</f>
        <v>46209</v>
      </c>
      <c r="B142" s="2" t="str">
        <f t="shared" si="2"/>
        <v>seg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DATE(Configurações!$B$3,7,6)</f>
        <v>46209</v>
      </c>
      <c r="B143" s="2" t="str">
        <f t="shared" si="2"/>
        <v>seg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DATE(Configurações!$B$3,7,7)</f>
        <v>46210</v>
      </c>
      <c r="B144" s="2" t="str">
        <f t="shared" si="2"/>
        <v>ter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DATE(Configurações!$B$3,7,7)</f>
        <v>46210</v>
      </c>
      <c r="B145" s="2" t="str">
        <f t="shared" si="2"/>
        <v>ter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DATE(Configurações!$B$3,7,7)</f>
        <v>46210</v>
      </c>
      <c r="B146" s="2" t="str">
        <f t="shared" si="2"/>
        <v>ter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DATE(Configurações!$B$3,7,7)</f>
        <v>46210</v>
      </c>
      <c r="B147" s="2" t="str">
        <f t="shared" si="2"/>
        <v>ter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DATE(Configurações!$B$3,7,7)</f>
        <v>46210</v>
      </c>
      <c r="B148" s="2" t="str">
        <f t="shared" si="2"/>
        <v>ter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DATE(Configurações!$B$3,7,7)</f>
        <v>46210</v>
      </c>
      <c r="B149" s="2" t="str">
        <f t="shared" si="2"/>
        <v>ter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DATE(Configurações!$B$3,7,7)</f>
        <v>46210</v>
      </c>
      <c r="B150" s="2" t="str">
        <f t="shared" si="2"/>
        <v>ter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DATE(Configurações!$B$3,7,7)</f>
        <v>46210</v>
      </c>
      <c r="B151" s="2" t="str">
        <f t="shared" si="2"/>
        <v>ter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DATE(Configurações!$B$3,7,7)</f>
        <v>46210</v>
      </c>
      <c r="B152" s="2" t="str">
        <f t="shared" si="2"/>
        <v>ter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DATE(Configurações!$B$3,7,7)</f>
        <v>46210</v>
      </c>
      <c r="B153" s="2" t="str">
        <f t="shared" si="2"/>
        <v>ter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DATE(Configurações!$B$3,7,7)</f>
        <v>46210</v>
      </c>
      <c r="B154" s="2" t="str">
        <f t="shared" si="2"/>
        <v>ter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DATE(Configurações!$B$3,7,7)</f>
        <v>46210</v>
      </c>
      <c r="B155" s="2" t="str">
        <f t="shared" si="2"/>
        <v>ter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DATE(Configurações!$B$3,7,7)</f>
        <v>46210</v>
      </c>
      <c r="B156" s="2" t="str">
        <f t="shared" si="2"/>
        <v>ter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DATE(Configurações!$B$3,7,7)</f>
        <v>46210</v>
      </c>
      <c r="B157" s="2" t="str">
        <f t="shared" si="2"/>
        <v>ter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DATE(Configurações!$B$3,7,7)</f>
        <v>46210</v>
      </c>
      <c r="B158" s="2" t="str">
        <f t="shared" si="2"/>
        <v>ter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DATE(Configurações!$B$3,7,7)</f>
        <v>46210</v>
      </c>
      <c r="B159" s="2" t="str">
        <f t="shared" si="2"/>
        <v>ter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DATE(Configurações!$B$3,7,7)</f>
        <v>46210</v>
      </c>
      <c r="B160" s="2" t="str">
        <f t="shared" si="2"/>
        <v>ter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DATE(Configurações!$B$3,7,7)</f>
        <v>46210</v>
      </c>
      <c r="B161" s="2" t="str">
        <f t="shared" si="2"/>
        <v>ter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DATE(Configurações!$B$3,7,7)</f>
        <v>46210</v>
      </c>
      <c r="B162" s="2" t="str">
        <f t="shared" si="2"/>
        <v>ter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DATE(Configurações!$B$3,7,7)</f>
        <v>46210</v>
      </c>
      <c r="B163" s="2" t="str">
        <f t="shared" si="2"/>
        <v>ter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DATE(Configurações!$B$3,7,7)</f>
        <v>46210</v>
      </c>
      <c r="B164" s="2" t="str">
        <f t="shared" si="2"/>
        <v>ter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DATE(Configurações!$B$3,7,7)</f>
        <v>46210</v>
      </c>
      <c r="B165" s="2" t="str">
        <f t="shared" si="2"/>
        <v>ter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DATE(Configurações!$B$3,7,7)</f>
        <v>46210</v>
      </c>
      <c r="B166" s="2" t="str">
        <f t="shared" si="2"/>
        <v>ter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DATE(Configurações!$B$3,7,8)</f>
        <v>46211</v>
      </c>
      <c r="B167" s="2" t="str">
        <f t="shared" si="2"/>
        <v>qua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DATE(Configurações!$B$3,7,8)</f>
        <v>46211</v>
      </c>
      <c r="B168" s="2" t="str">
        <f t="shared" si="2"/>
        <v>qua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DATE(Configurações!$B$3,7,8)</f>
        <v>46211</v>
      </c>
      <c r="B169" s="2" t="str">
        <f t="shared" si="2"/>
        <v>qua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DATE(Configurações!$B$3,7,8)</f>
        <v>46211</v>
      </c>
      <c r="B170" s="2" t="str">
        <f t="shared" si="2"/>
        <v>qua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DATE(Configurações!$B$3,7,8)</f>
        <v>46211</v>
      </c>
      <c r="B171" s="2" t="str">
        <f t="shared" si="2"/>
        <v>qua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DATE(Configurações!$B$3,7,8)</f>
        <v>46211</v>
      </c>
      <c r="B172" s="2" t="str">
        <f t="shared" si="2"/>
        <v>qua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DATE(Configurações!$B$3,7,8)</f>
        <v>46211</v>
      </c>
      <c r="B173" s="2" t="str">
        <f t="shared" si="2"/>
        <v>qua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DATE(Configurações!$B$3,7,8)</f>
        <v>46211</v>
      </c>
      <c r="B174" s="2" t="str">
        <f t="shared" si="2"/>
        <v>qua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DATE(Configurações!$B$3,7,8)</f>
        <v>46211</v>
      </c>
      <c r="B175" s="2" t="str">
        <f t="shared" si="2"/>
        <v>qua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DATE(Configurações!$B$3,7,8)</f>
        <v>46211</v>
      </c>
      <c r="B176" s="2" t="str">
        <f t="shared" si="2"/>
        <v>qua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DATE(Configurações!$B$3,7,8)</f>
        <v>46211</v>
      </c>
      <c r="B177" s="2" t="str">
        <f t="shared" si="2"/>
        <v>qua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DATE(Configurações!$B$3,7,8)</f>
        <v>46211</v>
      </c>
      <c r="B178" s="2" t="str">
        <f t="shared" si="2"/>
        <v>qua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DATE(Configurações!$B$3,7,8)</f>
        <v>46211</v>
      </c>
      <c r="B179" s="2" t="str">
        <f t="shared" si="2"/>
        <v>qua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DATE(Configurações!$B$3,7,8)</f>
        <v>46211</v>
      </c>
      <c r="B180" s="2" t="str">
        <f t="shared" si="2"/>
        <v>qua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DATE(Configurações!$B$3,7,8)</f>
        <v>46211</v>
      </c>
      <c r="B181" s="2" t="str">
        <f t="shared" si="2"/>
        <v>qua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DATE(Configurações!$B$3,7,8)</f>
        <v>46211</v>
      </c>
      <c r="B182" s="2" t="str">
        <f t="shared" si="2"/>
        <v>qua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DATE(Configurações!$B$3,7,8)</f>
        <v>46211</v>
      </c>
      <c r="B183" s="2" t="str">
        <f t="shared" si="2"/>
        <v>qua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DATE(Configurações!$B$3,7,8)</f>
        <v>46211</v>
      </c>
      <c r="B184" s="2" t="str">
        <f t="shared" si="2"/>
        <v>qua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DATE(Configurações!$B$3,7,8)</f>
        <v>46211</v>
      </c>
      <c r="B185" s="2" t="str">
        <f t="shared" si="2"/>
        <v>qua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DATE(Configurações!$B$3,7,8)</f>
        <v>46211</v>
      </c>
      <c r="B186" s="2" t="str">
        <f t="shared" si="2"/>
        <v>qua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DATE(Configurações!$B$3,7,8)</f>
        <v>46211</v>
      </c>
      <c r="B187" s="2" t="str">
        <f t="shared" si="2"/>
        <v>qua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DATE(Configurações!$B$3,7,8)</f>
        <v>46211</v>
      </c>
      <c r="B188" s="2" t="str">
        <f t="shared" si="2"/>
        <v>qua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DATE(Configurações!$B$3,7,8)</f>
        <v>46211</v>
      </c>
      <c r="B189" s="2" t="str">
        <f t="shared" si="2"/>
        <v>qua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DATE(Configurações!$B$3,7,9)</f>
        <v>46212</v>
      </c>
      <c r="B190" s="2" t="str">
        <f t="shared" si="2"/>
        <v>qui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DATE(Configurações!$B$3,7,9)</f>
        <v>46212</v>
      </c>
      <c r="B191" s="2" t="str">
        <f t="shared" si="2"/>
        <v>qui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DATE(Configurações!$B$3,7,9)</f>
        <v>46212</v>
      </c>
      <c r="B192" s="2" t="str">
        <f t="shared" si="2"/>
        <v>qui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DATE(Configurações!$B$3,7,9)</f>
        <v>46212</v>
      </c>
      <c r="B193" s="2" t="str">
        <f t="shared" si="2"/>
        <v>qui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DATE(Configurações!$B$3,7,9)</f>
        <v>46212</v>
      </c>
      <c r="B194" s="2" t="str">
        <f t="shared" si="2"/>
        <v>qui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DATE(Configurações!$B$3,7,9)</f>
        <v>46212</v>
      </c>
      <c r="B195" s="2" t="str">
        <f t="shared" si="2"/>
        <v>qui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DATE(Configurações!$B$3,7,9)</f>
        <v>46212</v>
      </c>
      <c r="B196" s="2" t="str">
        <f t="shared" si="2"/>
        <v>qui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DATE(Configurações!$B$3,7,9)</f>
        <v>46212</v>
      </c>
      <c r="B197" s="2" t="str">
        <f t="shared" si="2"/>
        <v>qui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DATE(Configurações!$B$3,7,9)</f>
        <v>46212</v>
      </c>
      <c r="B198" s="2" t="str">
        <f t="shared" ref="B198:B261" si="3">TEXT(A198,"ddd")</f>
        <v>qui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DATE(Configurações!$B$3,7,9)</f>
        <v>46212</v>
      </c>
      <c r="B199" s="2" t="str">
        <f t="shared" si="3"/>
        <v>qui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DATE(Configurações!$B$3,7,9)</f>
        <v>46212</v>
      </c>
      <c r="B200" s="2" t="str">
        <f t="shared" si="3"/>
        <v>qui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DATE(Configurações!$B$3,7,9)</f>
        <v>46212</v>
      </c>
      <c r="B201" s="2" t="str">
        <f t="shared" si="3"/>
        <v>qui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DATE(Configurações!$B$3,7,9)</f>
        <v>46212</v>
      </c>
      <c r="B202" s="2" t="str">
        <f t="shared" si="3"/>
        <v>qui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DATE(Configurações!$B$3,7,9)</f>
        <v>46212</v>
      </c>
      <c r="B203" s="2" t="str">
        <f t="shared" si="3"/>
        <v>qui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DATE(Configurações!$B$3,7,9)</f>
        <v>46212</v>
      </c>
      <c r="B204" s="2" t="str">
        <f t="shared" si="3"/>
        <v>qui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DATE(Configurações!$B$3,7,9)</f>
        <v>46212</v>
      </c>
      <c r="B205" s="2" t="str">
        <f t="shared" si="3"/>
        <v>qui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DATE(Configurações!$B$3,7,9)</f>
        <v>46212</v>
      </c>
      <c r="B206" s="2" t="str">
        <f t="shared" si="3"/>
        <v>qui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DATE(Configurações!$B$3,7,9)</f>
        <v>46212</v>
      </c>
      <c r="B207" s="2" t="str">
        <f t="shared" si="3"/>
        <v>qui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DATE(Configurações!$B$3,7,9)</f>
        <v>46212</v>
      </c>
      <c r="B208" s="2" t="str">
        <f t="shared" si="3"/>
        <v>qui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DATE(Configurações!$B$3,7,9)</f>
        <v>46212</v>
      </c>
      <c r="B209" s="2" t="str">
        <f t="shared" si="3"/>
        <v>qui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DATE(Configurações!$B$3,7,9)</f>
        <v>46212</v>
      </c>
      <c r="B210" s="2" t="str">
        <f t="shared" si="3"/>
        <v>qui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DATE(Configurações!$B$3,7,9)</f>
        <v>46212</v>
      </c>
      <c r="B211" s="2" t="str">
        <f t="shared" si="3"/>
        <v>qui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DATE(Configurações!$B$3,7,9)</f>
        <v>46212</v>
      </c>
      <c r="B212" s="2" t="str">
        <f t="shared" si="3"/>
        <v>qui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DATE(Configurações!$B$3,7,10)</f>
        <v>46213</v>
      </c>
      <c r="B213" s="2" t="str">
        <f t="shared" si="3"/>
        <v>sex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DATE(Configurações!$B$3,7,10)</f>
        <v>46213</v>
      </c>
      <c r="B214" s="2" t="str">
        <f t="shared" si="3"/>
        <v>sex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DATE(Configurações!$B$3,7,10)</f>
        <v>46213</v>
      </c>
      <c r="B215" s="2" t="str">
        <f t="shared" si="3"/>
        <v>sex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DATE(Configurações!$B$3,7,10)</f>
        <v>46213</v>
      </c>
      <c r="B216" s="2" t="str">
        <f t="shared" si="3"/>
        <v>sex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DATE(Configurações!$B$3,7,10)</f>
        <v>46213</v>
      </c>
      <c r="B217" s="2" t="str">
        <f t="shared" si="3"/>
        <v>sex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DATE(Configurações!$B$3,7,10)</f>
        <v>46213</v>
      </c>
      <c r="B218" s="2" t="str">
        <f t="shared" si="3"/>
        <v>sex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DATE(Configurações!$B$3,7,10)</f>
        <v>46213</v>
      </c>
      <c r="B219" s="2" t="str">
        <f t="shared" si="3"/>
        <v>sex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DATE(Configurações!$B$3,7,10)</f>
        <v>46213</v>
      </c>
      <c r="B220" s="2" t="str">
        <f t="shared" si="3"/>
        <v>sex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DATE(Configurações!$B$3,7,10)</f>
        <v>46213</v>
      </c>
      <c r="B221" s="2" t="str">
        <f t="shared" si="3"/>
        <v>sex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DATE(Configurações!$B$3,7,10)</f>
        <v>46213</v>
      </c>
      <c r="B222" s="2" t="str">
        <f t="shared" si="3"/>
        <v>sex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DATE(Configurações!$B$3,7,10)</f>
        <v>46213</v>
      </c>
      <c r="B223" s="2" t="str">
        <f t="shared" si="3"/>
        <v>sex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DATE(Configurações!$B$3,7,10)</f>
        <v>46213</v>
      </c>
      <c r="B224" s="2" t="str">
        <f t="shared" si="3"/>
        <v>sex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DATE(Configurações!$B$3,7,10)</f>
        <v>46213</v>
      </c>
      <c r="B225" s="2" t="str">
        <f t="shared" si="3"/>
        <v>sex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DATE(Configurações!$B$3,7,10)</f>
        <v>46213</v>
      </c>
      <c r="B226" s="2" t="str">
        <f t="shared" si="3"/>
        <v>sex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DATE(Configurações!$B$3,7,10)</f>
        <v>46213</v>
      </c>
      <c r="B227" s="2" t="str">
        <f t="shared" si="3"/>
        <v>sex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DATE(Configurações!$B$3,7,10)</f>
        <v>46213</v>
      </c>
      <c r="B228" s="2" t="str">
        <f t="shared" si="3"/>
        <v>sex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DATE(Configurações!$B$3,7,10)</f>
        <v>46213</v>
      </c>
      <c r="B229" s="2" t="str">
        <f t="shared" si="3"/>
        <v>sex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DATE(Configurações!$B$3,7,10)</f>
        <v>46213</v>
      </c>
      <c r="B230" s="2" t="str">
        <f t="shared" si="3"/>
        <v>sex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DATE(Configurações!$B$3,7,10)</f>
        <v>46213</v>
      </c>
      <c r="B231" s="2" t="str">
        <f t="shared" si="3"/>
        <v>sex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DATE(Configurações!$B$3,7,10)</f>
        <v>46213</v>
      </c>
      <c r="B232" s="2" t="str">
        <f t="shared" si="3"/>
        <v>sex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DATE(Configurações!$B$3,7,10)</f>
        <v>46213</v>
      </c>
      <c r="B233" s="2" t="str">
        <f t="shared" si="3"/>
        <v>sex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DATE(Configurações!$B$3,7,10)</f>
        <v>46213</v>
      </c>
      <c r="B234" s="2" t="str">
        <f t="shared" si="3"/>
        <v>sex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DATE(Configurações!$B$3,7,10)</f>
        <v>46213</v>
      </c>
      <c r="B235" s="2" t="str">
        <f t="shared" si="3"/>
        <v>sex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DATE(Configurações!$B$3,7,11)</f>
        <v>46214</v>
      </c>
      <c r="B236" s="2" t="str">
        <f t="shared" si="3"/>
        <v>sáb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DATE(Configurações!$B$3,7,11)</f>
        <v>46214</v>
      </c>
      <c r="B237" s="2" t="str">
        <f t="shared" si="3"/>
        <v>sáb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DATE(Configurações!$B$3,7,11)</f>
        <v>46214</v>
      </c>
      <c r="B238" s="2" t="str">
        <f t="shared" si="3"/>
        <v>sáb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DATE(Configurações!$B$3,7,11)</f>
        <v>46214</v>
      </c>
      <c r="B239" s="2" t="str">
        <f t="shared" si="3"/>
        <v>sáb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DATE(Configurações!$B$3,7,11)</f>
        <v>46214</v>
      </c>
      <c r="B240" s="2" t="str">
        <f t="shared" si="3"/>
        <v>sáb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DATE(Configurações!$B$3,7,11)</f>
        <v>46214</v>
      </c>
      <c r="B241" s="2" t="str">
        <f t="shared" si="3"/>
        <v>sáb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DATE(Configurações!$B$3,7,11)</f>
        <v>46214</v>
      </c>
      <c r="B242" s="2" t="str">
        <f t="shared" si="3"/>
        <v>sáb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DATE(Configurações!$B$3,7,11)</f>
        <v>46214</v>
      </c>
      <c r="B243" s="2" t="str">
        <f t="shared" si="3"/>
        <v>sáb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DATE(Configurações!$B$3,7,11)</f>
        <v>46214</v>
      </c>
      <c r="B244" s="2" t="str">
        <f t="shared" si="3"/>
        <v>sáb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DATE(Configurações!$B$3,7,11)</f>
        <v>46214</v>
      </c>
      <c r="B245" s="2" t="str">
        <f t="shared" si="3"/>
        <v>sáb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DATE(Configurações!$B$3,7,11)</f>
        <v>46214</v>
      </c>
      <c r="B246" s="2" t="str">
        <f t="shared" si="3"/>
        <v>sáb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DATE(Configurações!$B$3,7,11)</f>
        <v>46214</v>
      </c>
      <c r="B247" s="2" t="str">
        <f t="shared" si="3"/>
        <v>sáb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DATE(Configurações!$B$3,7,11)</f>
        <v>46214</v>
      </c>
      <c r="B248" s="2" t="str">
        <f t="shared" si="3"/>
        <v>sáb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DATE(Configurações!$B$3,7,11)</f>
        <v>46214</v>
      </c>
      <c r="B249" s="2" t="str">
        <f t="shared" si="3"/>
        <v>sáb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DATE(Configurações!$B$3,7,11)</f>
        <v>46214</v>
      </c>
      <c r="B250" s="2" t="str">
        <f t="shared" si="3"/>
        <v>sáb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DATE(Configurações!$B$3,7,11)</f>
        <v>46214</v>
      </c>
      <c r="B251" s="2" t="str">
        <f t="shared" si="3"/>
        <v>sáb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DATE(Configurações!$B$3,7,11)</f>
        <v>46214</v>
      </c>
      <c r="B252" s="2" t="str">
        <f t="shared" si="3"/>
        <v>sáb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DATE(Configurações!$B$3,7,11)</f>
        <v>46214</v>
      </c>
      <c r="B253" s="2" t="str">
        <f t="shared" si="3"/>
        <v>sáb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DATE(Configurações!$B$3,7,11)</f>
        <v>46214</v>
      </c>
      <c r="B254" s="2" t="str">
        <f t="shared" si="3"/>
        <v>sáb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DATE(Configurações!$B$3,7,11)</f>
        <v>46214</v>
      </c>
      <c r="B255" s="2" t="str">
        <f t="shared" si="3"/>
        <v>sáb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DATE(Configurações!$B$3,7,11)</f>
        <v>46214</v>
      </c>
      <c r="B256" s="2" t="str">
        <f t="shared" si="3"/>
        <v>sáb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DATE(Configurações!$B$3,7,11)</f>
        <v>46214</v>
      </c>
      <c r="B257" s="2" t="str">
        <f t="shared" si="3"/>
        <v>sáb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DATE(Configurações!$B$3,7,11)</f>
        <v>46214</v>
      </c>
      <c r="B258" s="2" t="str">
        <f t="shared" si="3"/>
        <v>sáb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DATE(Configurações!$B$3,7,12)</f>
        <v>46215</v>
      </c>
      <c r="B259" s="2" t="str">
        <f t="shared" si="3"/>
        <v>dom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DATE(Configurações!$B$3,7,12)</f>
        <v>46215</v>
      </c>
      <c r="B260" s="2" t="str">
        <f t="shared" si="3"/>
        <v>dom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DATE(Configurações!$B$3,7,12)</f>
        <v>46215</v>
      </c>
      <c r="B261" s="2" t="str">
        <f t="shared" si="3"/>
        <v>dom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DATE(Configurações!$B$3,7,12)</f>
        <v>46215</v>
      </c>
      <c r="B262" s="2" t="str">
        <f t="shared" ref="B262:B325" si="4">TEXT(A262,"ddd")</f>
        <v>dom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DATE(Configurações!$B$3,7,12)</f>
        <v>46215</v>
      </c>
      <c r="B263" s="2" t="str">
        <f t="shared" si="4"/>
        <v>dom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DATE(Configurações!$B$3,7,12)</f>
        <v>46215</v>
      </c>
      <c r="B264" s="2" t="str">
        <f t="shared" si="4"/>
        <v>dom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DATE(Configurações!$B$3,7,12)</f>
        <v>46215</v>
      </c>
      <c r="B265" s="2" t="str">
        <f t="shared" si="4"/>
        <v>dom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DATE(Configurações!$B$3,7,12)</f>
        <v>46215</v>
      </c>
      <c r="B266" s="2" t="str">
        <f t="shared" si="4"/>
        <v>dom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DATE(Configurações!$B$3,7,12)</f>
        <v>46215</v>
      </c>
      <c r="B267" s="2" t="str">
        <f t="shared" si="4"/>
        <v>dom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DATE(Configurações!$B$3,7,12)</f>
        <v>46215</v>
      </c>
      <c r="B268" s="2" t="str">
        <f t="shared" si="4"/>
        <v>dom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DATE(Configurações!$B$3,7,12)</f>
        <v>46215</v>
      </c>
      <c r="B269" s="2" t="str">
        <f t="shared" si="4"/>
        <v>dom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DATE(Configurações!$B$3,7,12)</f>
        <v>46215</v>
      </c>
      <c r="B270" s="2" t="str">
        <f t="shared" si="4"/>
        <v>dom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DATE(Configurações!$B$3,7,12)</f>
        <v>46215</v>
      </c>
      <c r="B271" s="2" t="str">
        <f t="shared" si="4"/>
        <v>dom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DATE(Configurações!$B$3,7,12)</f>
        <v>46215</v>
      </c>
      <c r="B272" s="2" t="str">
        <f t="shared" si="4"/>
        <v>dom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DATE(Configurações!$B$3,7,12)</f>
        <v>46215</v>
      </c>
      <c r="B273" s="2" t="str">
        <f t="shared" si="4"/>
        <v>dom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DATE(Configurações!$B$3,7,12)</f>
        <v>46215</v>
      </c>
      <c r="B274" s="2" t="str">
        <f t="shared" si="4"/>
        <v>dom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DATE(Configurações!$B$3,7,12)</f>
        <v>46215</v>
      </c>
      <c r="B275" s="2" t="str">
        <f t="shared" si="4"/>
        <v>dom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DATE(Configurações!$B$3,7,12)</f>
        <v>46215</v>
      </c>
      <c r="B276" s="2" t="str">
        <f t="shared" si="4"/>
        <v>dom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DATE(Configurações!$B$3,7,12)</f>
        <v>46215</v>
      </c>
      <c r="B277" s="2" t="str">
        <f t="shared" si="4"/>
        <v>dom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DATE(Configurações!$B$3,7,12)</f>
        <v>46215</v>
      </c>
      <c r="B278" s="2" t="str">
        <f t="shared" si="4"/>
        <v>dom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DATE(Configurações!$B$3,7,12)</f>
        <v>46215</v>
      </c>
      <c r="B279" s="2" t="str">
        <f t="shared" si="4"/>
        <v>dom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DATE(Configurações!$B$3,7,12)</f>
        <v>46215</v>
      </c>
      <c r="B280" s="2" t="str">
        <f t="shared" si="4"/>
        <v>dom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DATE(Configurações!$B$3,7,12)</f>
        <v>46215</v>
      </c>
      <c r="B281" s="2" t="str">
        <f t="shared" si="4"/>
        <v>dom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DATE(Configurações!$B$3,7,13)</f>
        <v>46216</v>
      </c>
      <c r="B282" s="2" t="str">
        <f t="shared" si="4"/>
        <v>seg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DATE(Configurações!$B$3,7,13)</f>
        <v>46216</v>
      </c>
      <c r="B283" s="2" t="str">
        <f t="shared" si="4"/>
        <v>seg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DATE(Configurações!$B$3,7,13)</f>
        <v>46216</v>
      </c>
      <c r="B284" s="2" t="str">
        <f t="shared" si="4"/>
        <v>seg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DATE(Configurações!$B$3,7,13)</f>
        <v>46216</v>
      </c>
      <c r="B285" s="2" t="str">
        <f t="shared" si="4"/>
        <v>seg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DATE(Configurações!$B$3,7,13)</f>
        <v>46216</v>
      </c>
      <c r="B286" s="2" t="str">
        <f t="shared" si="4"/>
        <v>seg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DATE(Configurações!$B$3,7,13)</f>
        <v>46216</v>
      </c>
      <c r="B287" s="2" t="str">
        <f t="shared" si="4"/>
        <v>seg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DATE(Configurações!$B$3,7,13)</f>
        <v>46216</v>
      </c>
      <c r="B288" s="2" t="str">
        <f t="shared" si="4"/>
        <v>seg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DATE(Configurações!$B$3,7,13)</f>
        <v>46216</v>
      </c>
      <c r="B289" s="2" t="str">
        <f t="shared" si="4"/>
        <v>seg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DATE(Configurações!$B$3,7,13)</f>
        <v>46216</v>
      </c>
      <c r="B290" s="2" t="str">
        <f t="shared" si="4"/>
        <v>seg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DATE(Configurações!$B$3,7,13)</f>
        <v>46216</v>
      </c>
      <c r="B291" s="2" t="str">
        <f t="shared" si="4"/>
        <v>seg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DATE(Configurações!$B$3,7,13)</f>
        <v>46216</v>
      </c>
      <c r="B292" s="2" t="str">
        <f t="shared" si="4"/>
        <v>seg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DATE(Configurações!$B$3,7,13)</f>
        <v>46216</v>
      </c>
      <c r="B293" s="2" t="str">
        <f t="shared" si="4"/>
        <v>seg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DATE(Configurações!$B$3,7,13)</f>
        <v>46216</v>
      </c>
      <c r="B294" s="2" t="str">
        <f t="shared" si="4"/>
        <v>seg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DATE(Configurações!$B$3,7,13)</f>
        <v>46216</v>
      </c>
      <c r="B295" s="2" t="str">
        <f t="shared" si="4"/>
        <v>seg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DATE(Configurações!$B$3,7,13)</f>
        <v>46216</v>
      </c>
      <c r="B296" s="2" t="str">
        <f t="shared" si="4"/>
        <v>seg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DATE(Configurações!$B$3,7,13)</f>
        <v>46216</v>
      </c>
      <c r="B297" s="2" t="str">
        <f t="shared" si="4"/>
        <v>seg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DATE(Configurações!$B$3,7,13)</f>
        <v>46216</v>
      </c>
      <c r="B298" s="2" t="str">
        <f t="shared" si="4"/>
        <v>seg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DATE(Configurações!$B$3,7,13)</f>
        <v>46216</v>
      </c>
      <c r="B299" s="2" t="str">
        <f t="shared" si="4"/>
        <v>seg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DATE(Configurações!$B$3,7,13)</f>
        <v>46216</v>
      </c>
      <c r="B300" s="2" t="str">
        <f t="shared" si="4"/>
        <v>seg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DATE(Configurações!$B$3,7,13)</f>
        <v>46216</v>
      </c>
      <c r="B301" s="2" t="str">
        <f t="shared" si="4"/>
        <v>seg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DATE(Configurações!$B$3,7,13)</f>
        <v>46216</v>
      </c>
      <c r="B302" s="2" t="str">
        <f t="shared" si="4"/>
        <v>seg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DATE(Configurações!$B$3,7,13)</f>
        <v>46216</v>
      </c>
      <c r="B303" s="2" t="str">
        <f t="shared" si="4"/>
        <v>seg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DATE(Configurações!$B$3,7,13)</f>
        <v>46216</v>
      </c>
      <c r="B304" s="2" t="str">
        <f t="shared" si="4"/>
        <v>seg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DATE(Configurações!$B$3,7,14)</f>
        <v>46217</v>
      </c>
      <c r="B305" s="2" t="str">
        <f t="shared" si="4"/>
        <v>ter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DATE(Configurações!$B$3,7,14)</f>
        <v>46217</v>
      </c>
      <c r="B306" s="2" t="str">
        <f t="shared" si="4"/>
        <v>ter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DATE(Configurações!$B$3,7,14)</f>
        <v>46217</v>
      </c>
      <c r="B307" s="2" t="str">
        <f t="shared" si="4"/>
        <v>ter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DATE(Configurações!$B$3,7,14)</f>
        <v>46217</v>
      </c>
      <c r="B308" s="2" t="str">
        <f t="shared" si="4"/>
        <v>ter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DATE(Configurações!$B$3,7,14)</f>
        <v>46217</v>
      </c>
      <c r="B309" s="2" t="str">
        <f t="shared" si="4"/>
        <v>ter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DATE(Configurações!$B$3,7,14)</f>
        <v>46217</v>
      </c>
      <c r="B310" s="2" t="str">
        <f t="shared" si="4"/>
        <v>ter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DATE(Configurações!$B$3,7,14)</f>
        <v>46217</v>
      </c>
      <c r="B311" s="2" t="str">
        <f t="shared" si="4"/>
        <v>ter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DATE(Configurações!$B$3,7,14)</f>
        <v>46217</v>
      </c>
      <c r="B312" s="2" t="str">
        <f t="shared" si="4"/>
        <v>ter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DATE(Configurações!$B$3,7,14)</f>
        <v>46217</v>
      </c>
      <c r="B313" s="2" t="str">
        <f t="shared" si="4"/>
        <v>ter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DATE(Configurações!$B$3,7,14)</f>
        <v>46217</v>
      </c>
      <c r="B314" s="2" t="str">
        <f t="shared" si="4"/>
        <v>ter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DATE(Configurações!$B$3,7,14)</f>
        <v>46217</v>
      </c>
      <c r="B315" s="2" t="str">
        <f t="shared" si="4"/>
        <v>ter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DATE(Configurações!$B$3,7,14)</f>
        <v>46217</v>
      </c>
      <c r="B316" s="2" t="str">
        <f t="shared" si="4"/>
        <v>ter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DATE(Configurações!$B$3,7,14)</f>
        <v>46217</v>
      </c>
      <c r="B317" s="2" t="str">
        <f t="shared" si="4"/>
        <v>ter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DATE(Configurações!$B$3,7,14)</f>
        <v>46217</v>
      </c>
      <c r="B318" s="2" t="str">
        <f t="shared" si="4"/>
        <v>ter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DATE(Configurações!$B$3,7,14)</f>
        <v>46217</v>
      </c>
      <c r="B319" s="2" t="str">
        <f t="shared" si="4"/>
        <v>ter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DATE(Configurações!$B$3,7,14)</f>
        <v>46217</v>
      </c>
      <c r="B320" s="2" t="str">
        <f t="shared" si="4"/>
        <v>ter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DATE(Configurações!$B$3,7,14)</f>
        <v>46217</v>
      </c>
      <c r="B321" s="2" t="str">
        <f t="shared" si="4"/>
        <v>ter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DATE(Configurações!$B$3,7,14)</f>
        <v>46217</v>
      </c>
      <c r="B322" s="2" t="str">
        <f t="shared" si="4"/>
        <v>ter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DATE(Configurações!$B$3,7,14)</f>
        <v>46217</v>
      </c>
      <c r="B323" s="2" t="str">
        <f t="shared" si="4"/>
        <v>ter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DATE(Configurações!$B$3,7,14)</f>
        <v>46217</v>
      </c>
      <c r="B324" s="2" t="str">
        <f t="shared" si="4"/>
        <v>ter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DATE(Configurações!$B$3,7,14)</f>
        <v>46217</v>
      </c>
      <c r="B325" s="2" t="str">
        <f t="shared" si="4"/>
        <v>ter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DATE(Configurações!$B$3,7,14)</f>
        <v>46217</v>
      </c>
      <c r="B326" s="2" t="str">
        <f t="shared" ref="B326:B389" si="5">TEXT(A326,"ddd")</f>
        <v>ter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DATE(Configurações!$B$3,7,14)</f>
        <v>46217</v>
      </c>
      <c r="B327" s="2" t="str">
        <f t="shared" si="5"/>
        <v>ter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DATE(Configurações!$B$3,7,15)</f>
        <v>46218</v>
      </c>
      <c r="B328" s="2" t="str">
        <f t="shared" si="5"/>
        <v>qua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DATE(Configurações!$B$3,7,15)</f>
        <v>46218</v>
      </c>
      <c r="B329" s="2" t="str">
        <f t="shared" si="5"/>
        <v>qua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DATE(Configurações!$B$3,7,15)</f>
        <v>46218</v>
      </c>
      <c r="B330" s="2" t="str">
        <f t="shared" si="5"/>
        <v>qua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DATE(Configurações!$B$3,7,15)</f>
        <v>46218</v>
      </c>
      <c r="B331" s="2" t="str">
        <f t="shared" si="5"/>
        <v>qua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DATE(Configurações!$B$3,7,15)</f>
        <v>46218</v>
      </c>
      <c r="B332" s="2" t="str">
        <f t="shared" si="5"/>
        <v>qua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DATE(Configurações!$B$3,7,15)</f>
        <v>46218</v>
      </c>
      <c r="B333" s="2" t="str">
        <f t="shared" si="5"/>
        <v>qua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DATE(Configurações!$B$3,7,15)</f>
        <v>46218</v>
      </c>
      <c r="B334" s="2" t="str">
        <f t="shared" si="5"/>
        <v>qua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DATE(Configurações!$B$3,7,15)</f>
        <v>46218</v>
      </c>
      <c r="B335" s="2" t="str">
        <f t="shared" si="5"/>
        <v>qua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DATE(Configurações!$B$3,7,15)</f>
        <v>46218</v>
      </c>
      <c r="B336" s="2" t="str">
        <f t="shared" si="5"/>
        <v>qua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DATE(Configurações!$B$3,7,15)</f>
        <v>46218</v>
      </c>
      <c r="B337" s="2" t="str">
        <f t="shared" si="5"/>
        <v>qua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DATE(Configurações!$B$3,7,15)</f>
        <v>46218</v>
      </c>
      <c r="B338" s="2" t="str">
        <f t="shared" si="5"/>
        <v>qua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DATE(Configurações!$B$3,7,15)</f>
        <v>46218</v>
      </c>
      <c r="B339" s="2" t="str">
        <f t="shared" si="5"/>
        <v>qua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DATE(Configurações!$B$3,7,15)</f>
        <v>46218</v>
      </c>
      <c r="B340" s="2" t="str">
        <f t="shared" si="5"/>
        <v>qua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DATE(Configurações!$B$3,7,15)</f>
        <v>46218</v>
      </c>
      <c r="B341" s="2" t="str">
        <f t="shared" si="5"/>
        <v>qua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DATE(Configurações!$B$3,7,15)</f>
        <v>46218</v>
      </c>
      <c r="B342" s="2" t="str">
        <f t="shared" si="5"/>
        <v>qua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DATE(Configurações!$B$3,7,15)</f>
        <v>46218</v>
      </c>
      <c r="B343" s="2" t="str">
        <f t="shared" si="5"/>
        <v>qua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DATE(Configurações!$B$3,7,15)</f>
        <v>46218</v>
      </c>
      <c r="B344" s="2" t="str">
        <f t="shared" si="5"/>
        <v>qua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DATE(Configurações!$B$3,7,15)</f>
        <v>46218</v>
      </c>
      <c r="B345" s="2" t="str">
        <f t="shared" si="5"/>
        <v>qua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DATE(Configurações!$B$3,7,15)</f>
        <v>46218</v>
      </c>
      <c r="B346" s="2" t="str">
        <f t="shared" si="5"/>
        <v>qua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DATE(Configurações!$B$3,7,15)</f>
        <v>46218</v>
      </c>
      <c r="B347" s="2" t="str">
        <f t="shared" si="5"/>
        <v>qua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DATE(Configurações!$B$3,7,15)</f>
        <v>46218</v>
      </c>
      <c r="B348" s="2" t="str">
        <f t="shared" si="5"/>
        <v>qua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DATE(Configurações!$B$3,7,15)</f>
        <v>46218</v>
      </c>
      <c r="B349" s="2" t="str">
        <f t="shared" si="5"/>
        <v>qua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DATE(Configurações!$B$3,7,15)</f>
        <v>46218</v>
      </c>
      <c r="B350" s="2" t="str">
        <f t="shared" si="5"/>
        <v>qua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DATE(Configurações!$B$3,7,16)</f>
        <v>46219</v>
      </c>
      <c r="B351" s="2" t="str">
        <f t="shared" si="5"/>
        <v>qui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DATE(Configurações!$B$3,7,16)</f>
        <v>46219</v>
      </c>
      <c r="B352" s="2" t="str">
        <f t="shared" si="5"/>
        <v>qui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DATE(Configurações!$B$3,7,16)</f>
        <v>46219</v>
      </c>
      <c r="B353" s="2" t="str">
        <f t="shared" si="5"/>
        <v>qui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DATE(Configurações!$B$3,7,16)</f>
        <v>46219</v>
      </c>
      <c r="B354" s="2" t="str">
        <f t="shared" si="5"/>
        <v>qui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DATE(Configurações!$B$3,7,16)</f>
        <v>46219</v>
      </c>
      <c r="B355" s="2" t="str">
        <f t="shared" si="5"/>
        <v>qui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DATE(Configurações!$B$3,7,16)</f>
        <v>46219</v>
      </c>
      <c r="B356" s="2" t="str">
        <f t="shared" si="5"/>
        <v>qui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DATE(Configurações!$B$3,7,16)</f>
        <v>46219</v>
      </c>
      <c r="B357" s="2" t="str">
        <f t="shared" si="5"/>
        <v>qui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DATE(Configurações!$B$3,7,16)</f>
        <v>46219</v>
      </c>
      <c r="B358" s="2" t="str">
        <f t="shared" si="5"/>
        <v>qui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DATE(Configurações!$B$3,7,16)</f>
        <v>46219</v>
      </c>
      <c r="B359" s="2" t="str">
        <f t="shared" si="5"/>
        <v>qui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DATE(Configurações!$B$3,7,16)</f>
        <v>46219</v>
      </c>
      <c r="B360" s="2" t="str">
        <f t="shared" si="5"/>
        <v>qui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DATE(Configurações!$B$3,7,16)</f>
        <v>46219</v>
      </c>
      <c r="B361" s="2" t="str">
        <f t="shared" si="5"/>
        <v>qui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DATE(Configurações!$B$3,7,16)</f>
        <v>46219</v>
      </c>
      <c r="B362" s="2" t="str">
        <f t="shared" si="5"/>
        <v>qui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DATE(Configurações!$B$3,7,16)</f>
        <v>46219</v>
      </c>
      <c r="B363" s="2" t="str">
        <f t="shared" si="5"/>
        <v>qui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DATE(Configurações!$B$3,7,16)</f>
        <v>46219</v>
      </c>
      <c r="B364" s="2" t="str">
        <f t="shared" si="5"/>
        <v>qui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DATE(Configurações!$B$3,7,16)</f>
        <v>46219</v>
      </c>
      <c r="B365" s="2" t="str">
        <f t="shared" si="5"/>
        <v>qui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DATE(Configurações!$B$3,7,16)</f>
        <v>46219</v>
      </c>
      <c r="B366" s="2" t="str">
        <f t="shared" si="5"/>
        <v>qui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DATE(Configurações!$B$3,7,16)</f>
        <v>46219</v>
      </c>
      <c r="B367" s="2" t="str">
        <f t="shared" si="5"/>
        <v>qui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DATE(Configurações!$B$3,7,16)</f>
        <v>46219</v>
      </c>
      <c r="B368" s="2" t="str">
        <f t="shared" si="5"/>
        <v>qui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DATE(Configurações!$B$3,7,16)</f>
        <v>46219</v>
      </c>
      <c r="B369" s="2" t="str">
        <f t="shared" si="5"/>
        <v>qui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DATE(Configurações!$B$3,7,16)</f>
        <v>46219</v>
      </c>
      <c r="B370" s="2" t="str">
        <f t="shared" si="5"/>
        <v>qui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DATE(Configurações!$B$3,7,16)</f>
        <v>46219</v>
      </c>
      <c r="B371" s="2" t="str">
        <f t="shared" si="5"/>
        <v>qui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DATE(Configurações!$B$3,7,16)</f>
        <v>46219</v>
      </c>
      <c r="B372" s="2" t="str">
        <f t="shared" si="5"/>
        <v>qui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DATE(Configurações!$B$3,7,16)</f>
        <v>46219</v>
      </c>
      <c r="B373" s="2" t="str">
        <f t="shared" si="5"/>
        <v>qui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DATE(Configurações!$B$3,7,17)</f>
        <v>46220</v>
      </c>
      <c r="B374" s="2" t="str">
        <f t="shared" si="5"/>
        <v>sex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DATE(Configurações!$B$3,7,17)</f>
        <v>46220</v>
      </c>
      <c r="B375" s="2" t="str">
        <f t="shared" si="5"/>
        <v>sex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DATE(Configurações!$B$3,7,17)</f>
        <v>46220</v>
      </c>
      <c r="B376" s="2" t="str">
        <f t="shared" si="5"/>
        <v>sex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DATE(Configurações!$B$3,7,17)</f>
        <v>46220</v>
      </c>
      <c r="B377" s="2" t="str">
        <f t="shared" si="5"/>
        <v>sex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DATE(Configurações!$B$3,7,17)</f>
        <v>46220</v>
      </c>
      <c r="B378" s="2" t="str">
        <f t="shared" si="5"/>
        <v>sex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DATE(Configurações!$B$3,7,17)</f>
        <v>46220</v>
      </c>
      <c r="B379" s="2" t="str">
        <f t="shared" si="5"/>
        <v>sex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DATE(Configurações!$B$3,7,17)</f>
        <v>46220</v>
      </c>
      <c r="B380" s="2" t="str">
        <f t="shared" si="5"/>
        <v>sex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DATE(Configurações!$B$3,7,17)</f>
        <v>46220</v>
      </c>
      <c r="B381" s="2" t="str">
        <f t="shared" si="5"/>
        <v>sex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DATE(Configurações!$B$3,7,17)</f>
        <v>46220</v>
      </c>
      <c r="B382" s="2" t="str">
        <f t="shared" si="5"/>
        <v>sex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DATE(Configurações!$B$3,7,17)</f>
        <v>46220</v>
      </c>
      <c r="B383" s="2" t="str">
        <f t="shared" si="5"/>
        <v>sex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DATE(Configurações!$B$3,7,17)</f>
        <v>46220</v>
      </c>
      <c r="B384" s="2" t="str">
        <f t="shared" si="5"/>
        <v>sex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DATE(Configurações!$B$3,7,17)</f>
        <v>46220</v>
      </c>
      <c r="B385" s="2" t="str">
        <f t="shared" si="5"/>
        <v>sex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DATE(Configurações!$B$3,7,17)</f>
        <v>46220</v>
      </c>
      <c r="B386" s="2" t="str">
        <f t="shared" si="5"/>
        <v>sex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DATE(Configurações!$B$3,7,17)</f>
        <v>46220</v>
      </c>
      <c r="B387" s="2" t="str">
        <f t="shared" si="5"/>
        <v>sex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DATE(Configurações!$B$3,7,17)</f>
        <v>46220</v>
      </c>
      <c r="B388" s="2" t="str">
        <f t="shared" si="5"/>
        <v>sex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DATE(Configurações!$B$3,7,17)</f>
        <v>46220</v>
      </c>
      <c r="B389" s="2" t="str">
        <f t="shared" si="5"/>
        <v>sex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DATE(Configurações!$B$3,7,17)</f>
        <v>46220</v>
      </c>
      <c r="B390" s="2" t="str">
        <f t="shared" ref="B390:B453" si="6">TEXT(A390,"ddd")</f>
        <v>sex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DATE(Configurações!$B$3,7,17)</f>
        <v>46220</v>
      </c>
      <c r="B391" s="2" t="str">
        <f t="shared" si="6"/>
        <v>sex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DATE(Configurações!$B$3,7,17)</f>
        <v>46220</v>
      </c>
      <c r="B392" s="2" t="str">
        <f t="shared" si="6"/>
        <v>sex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DATE(Configurações!$B$3,7,17)</f>
        <v>46220</v>
      </c>
      <c r="B393" s="2" t="str">
        <f t="shared" si="6"/>
        <v>sex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DATE(Configurações!$B$3,7,17)</f>
        <v>46220</v>
      </c>
      <c r="B394" s="2" t="str">
        <f t="shared" si="6"/>
        <v>sex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DATE(Configurações!$B$3,7,17)</f>
        <v>46220</v>
      </c>
      <c r="B395" s="2" t="str">
        <f t="shared" si="6"/>
        <v>sex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DATE(Configurações!$B$3,7,17)</f>
        <v>46220</v>
      </c>
      <c r="B396" s="2" t="str">
        <f t="shared" si="6"/>
        <v>sex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DATE(Configurações!$B$3,7,18)</f>
        <v>46221</v>
      </c>
      <c r="B397" s="2" t="str">
        <f t="shared" si="6"/>
        <v>sáb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DATE(Configurações!$B$3,7,18)</f>
        <v>46221</v>
      </c>
      <c r="B398" s="2" t="str">
        <f t="shared" si="6"/>
        <v>sáb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DATE(Configurações!$B$3,7,18)</f>
        <v>46221</v>
      </c>
      <c r="B399" s="2" t="str">
        <f t="shared" si="6"/>
        <v>sáb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DATE(Configurações!$B$3,7,18)</f>
        <v>46221</v>
      </c>
      <c r="B400" s="2" t="str">
        <f t="shared" si="6"/>
        <v>sáb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DATE(Configurações!$B$3,7,18)</f>
        <v>46221</v>
      </c>
      <c r="B401" s="2" t="str">
        <f t="shared" si="6"/>
        <v>sáb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DATE(Configurações!$B$3,7,18)</f>
        <v>46221</v>
      </c>
      <c r="B402" s="2" t="str">
        <f t="shared" si="6"/>
        <v>sáb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DATE(Configurações!$B$3,7,18)</f>
        <v>46221</v>
      </c>
      <c r="B403" s="2" t="str">
        <f t="shared" si="6"/>
        <v>sáb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DATE(Configurações!$B$3,7,18)</f>
        <v>46221</v>
      </c>
      <c r="B404" s="2" t="str">
        <f t="shared" si="6"/>
        <v>sáb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DATE(Configurações!$B$3,7,18)</f>
        <v>46221</v>
      </c>
      <c r="B405" s="2" t="str">
        <f t="shared" si="6"/>
        <v>sáb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DATE(Configurações!$B$3,7,18)</f>
        <v>46221</v>
      </c>
      <c r="B406" s="2" t="str">
        <f t="shared" si="6"/>
        <v>sáb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DATE(Configurações!$B$3,7,18)</f>
        <v>46221</v>
      </c>
      <c r="B407" s="2" t="str">
        <f t="shared" si="6"/>
        <v>sáb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DATE(Configurações!$B$3,7,18)</f>
        <v>46221</v>
      </c>
      <c r="B408" s="2" t="str">
        <f t="shared" si="6"/>
        <v>sáb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DATE(Configurações!$B$3,7,18)</f>
        <v>46221</v>
      </c>
      <c r="B409" s="2" t="str">
        <f t="shared" si="6"/>
        <v>sáb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DATE(Configurações!$B$3,7,18)</f>
        <v>46221</v>
      </c>
      <c r="B410" s="2" t="str">
        <f t="shared" si="6"/>
        <v>sáb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DATE(Configurações!$B$3,7,18)</f>
        <v>46221</v>
      </c>
      <c r="B411" s="2" t="str">
        <f t="shared" si="6"/>
        <v>sáb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DATE(Configurações!$B$3,7,18)</f>
        <v>46221</v>
      </c>
      <c r="B412" s="2" t="str">
        <f t="shared" si="6"/>
        <v>sáb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DATE(Configurações!$B$3,7,18)</f>
        <v>46221</v>
      </c>
      <c r="B413" s="2" t="str">
        <f t="shared" si="6"/>
        <v>sáb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DATE(Configurações!$B$3,7,18)</f>
        <v>46221</v>
      </c>
      <c r="B414" s="2" t="str">
        <f t="shared" si="6"/>
        <v>sáb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DATE(Configurações!$B$3,7,18)</f>
        <v>46221</v>
      </c>
      <c r="B415" s="2" t="str">
        <f t="shared" si="6"/>
        <v>sáb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DATE(Configurações!$B$3,7,18)</f>
        <v>46221</v>
      </c>
      <c r="B416" s="2" t="str">
        <f t="shared" si="6"/>
        <v>sáb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DATE(Configurações!$B$3,7,18)</f>
        <v>46221</v>
      </c>
      <c r="B417" s="2" t="str">
        <f t="shared" si="6"/>
        <v>sáb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DATE(Configurações!$B$3,7,18)</f>
        <v>46221</v>
      </c>
      <c r="B418" s="2" t="str">
        <f t="shared" si="6"/>
        <v>sáb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DATE(Configurações!$B$3,7,18)</f>
        <v>46221</v>
      </c>
      <c r="B419" s="2" t="str">
        <f t="shared" si="6"/>
        <v>sáb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DATE(Configurações!$B$3,7,19)</f>
        <v>46222</v>
      </c>
      <c r="B420" s="2" t="str">
        <f t="shared" si="6"/>
        <v>dom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DATE(Configurações!$B$3,7,19)</f>
        <v>46222</v>
      </c>
      <c r="B421" s="2" t="str">
        <f t="shared" si="6"/>
        <v>dom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DATE(Configurações!$B$3,7,19)</f>
        <v>46222</v>
      </c>
      <c r="B422" s="2" t="str">
        <f t="shared" si="6"/>
        <v>dom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DATE(Configurações!$B$3,7,19)</f>
        <v>46222</v>
      </c>
      <c r="B423" s="2" t="str">
        <f t="shared" si="6"/>
        <v>dom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DATE(Configurações!$B$3,7,19)</f>
        <v>46222</v>
      </c>
      <c r="B424" s="2" t="str">
        <f t="shared" si="6"/>
        <v>dom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DATE(Configurações!$B$3,7,19)</f>
        <v>46222</v>
      </c>
      <c r="B425" s="2" t="str">
        <f t="shared" si="6"/>
        <v>dom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DATE(Configurações!$B$3,7,19)</f>
        <v>46222</v>
      </c>
      <c r="B426" s="2" t="str">
        <f t="shared" si="6"/>
        <v>dom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DATE(Configurações!$B$3,7,19)</f>
        <v>46222</v>
      </c>
      <c r="B427" s="2" t="str">
        <f t="shared" si="6"/>
        <v>dom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DATE(Configurações!$B$3,7,19)</f>
        <v>46222</v>
      </c>
      <c r="B428" s="2" t="str">
        <f t="shared" si="6"/>
        <v>dom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DATE(Configurações!$B$3,7,19)</f>
        <v>46222</v>
      </c>
      <c r="B429" s="2" t="str">
        <f t="shared" si="6"/>
        <v>dom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DATE(Configurações!$B$3,7,19)</f>
        <v>46222</v>
      </c>
      <c r="B430" s="2" t="str">
        <f t="shared" si="6"/>
        <v>dom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DATE(Configurações!$B$3,7,19)</f>
        <v>46222</v>
      </c>
      <c r="B431" s="2" t="str">
        <f t="shared" si="6"/>
        <v>dom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DATE(Configurações!$B$3,7,19)</f>
        <v>46222</v>
      </c>
      <c r="B432" s="2" t="str">
        <f t="shared" si="6"/>
        <v>dom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DATE(Configurações!$B$3,7,19)</f>
        <v>46222</v>
      </c>
      <c r="B433" s="2" t="str">
        <f t="shared" si="6"/>
        <v>dom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DATE(Configurações!$B$3,7,19)</f>
        <v>46222</v>
      </c>
      <c r="B434" s="2" t="str">
        <f t="shared" si="6"/>
        <v>dom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DATE(Configurações!$B$3,7,19)</f>
        <v>46222</v>
      </c>
      <c r="B435" s="2" t="str">
        <f t="shared" si="6"/>
        <v>dom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DATE(Configurações!$B$3,7,19)</f>
        <v>46222</v>
      </c>
      <c r="B436" s="2" t="str">
        <f t="shared" si="6"/>
        <v>dom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DATE(Configurações!$B$3,7,19)</f>
        <v>46222</v>
      </c>
      <c r="B437" s="2" t="str">
        <f t="shared" si="6"/>
        <v>dom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DATE(Configurações!$B$3,7,19)</f>
        <v>46222</v>
      </c>
      <c r="B438" s="2" t="str">
        <f t="shared" si="6"/>
        <v>dom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DATE(Configurações!$B$3,7,19)</f>
        <v>46222</v>
      </c>
      <c r="B439" s="2" t="str">
        <f t="shared" si="6"/>
        <v>dom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DATE(Configurações!$B$3,7,19)</f>
        <v>46222</v>
      </c>
      <c r="B440" s="2" t="str">
        <f t="shared" si="6"/>
        <v>dom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DATE(Configurações!$B$3,7,19)</f>
        <v>46222</v>
      </c>
      <c r="B441" s="2" t="str">
        <f t="shared" si="6"/>
        <v>dom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DATE(Configurações!$B$3,7,19)</f>
        <v>46222</v>
      </c>
      <c r="B442" s="2" t="str">
        <f t="shared" si="6"/>
        <v>dom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DATE(Configurações!$B$3,7,20)</f>
        <v>46223</v>
      </c>
      <c r="B443" s="2" t="str">
        <f t="shared" si="6"/>
        <v>seg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DATE(Configurações!$B$3,7,20)</f>
        <v>46223</v>
      </c>
      <c r="B444" s="2" t="str">
        <f t="shared" si="6"/>
        <v>seg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DATE(Configurações!$B$3,7,20)</f>
        <v>46223</v>
      </c>
      <c r="B445" s="2" t="str">
        <f t="shared" si="6"/>
        <v>seg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DATE(Configurações!$B$3,7,20)</f>
        <v>46223</v>
      </c>
      <c r="B446" s="2" t="str">
        <f t="shared" si="6"/>
        <v>seg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DATE(Configurações!$B$3,7,20)</f>
        <v>46223</v>
      </c>
      <c r="B447" s="2" t="str">
        <f t="shared" si="6"/>
        <v>seg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DATE(Configurações!$B$3,7,20)</f>
        <v>46223</v>
      </c>
      <c r="B448" s="2" t="str">
        <f t="shared" si="6"/>
        <v>seg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DATE(Configurações!$B$3,7,20)</f>
        <v>46223</v>
      </c>
      <c r="B449" s="2" t="str">
        <f t="shared" si="6"/>
        <v>seg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DATE(Configurações!$B$3,7,20)</f>
        <v>46223</v>
      </c>
      <c r="B450" s="2" t="str">
        <f t="shared" si="6"/>
        <v>seg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DATE(Configurações!$B$3,7,20)</f>
        <v>46223</v>
      </c>
      <c r="B451" s="2" t="str">
        <f t="shared" si="6"/>
        <v>seg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DATE(Configurações!$B$3,7,20)</f>
        <v>46223</v>
      </c>
      <c r="B452" s="2" t="str">
        <f t="shared" si="6"/>
        <v>seg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DATE(Configurações!$B$3,7,20)</f>
        <v>46223</v>
      </c>
      <c r="B453" s="2" t="str">
        <f t="shared" si="6"/>
        <v>seg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DATE(Configurações!$B$3,7,20)</f>
        <v>46223</v>
      </c>
      <c r="B454" s="2" t="str">
        <f t="shared" ref="B454:B517" si="7">TEXT(A454,"ddd")</f>
        <v>seg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DATE(Configurações!$B$3,7,20)</f>
        <v>46223</v>
      </c>
      <c r="B455" s="2" t="str">
        <f t="shared" si="7"/>
        <v>seg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DATE(Configurações!$B$3,7,20)</f>
        <v>46223</v>
      </c>
      <c r="B456" s="2" t="str">
        <f t="shared" si="7"/>
        <v>seg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DATE(Configurações!$B$3,7,20)</f>
        <v>46223</v>
      </c>
      <c r="B457" s="2" t="str">
        <f t="shared" si="7"/>
        <v>seg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DATE(Configurações!$B$3,7,20)</f>
        <v>46223</v>
      </c>
      <c r="B458" s="2" t="str">
        <f t="shared" si="7"/>
        <v>seg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DATE(Configurações!$B$3,7,20)</f>
        <v>46223</v>
      </c>
      <c r="B459" s="2" t="str">
        <f t="shared" si="7"/>
        <v>seg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DATE(Configurações!$B$3,7,20)</f>
        <v>46223</v>
      </c>
      <c r="B460" s="2" t="str">
        <f t="shared" si="7"/>
        <v>seg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DATE(Configurações!$B$3,7,20)</f>
        <v>46223</v>
      </c>
      <c r="B461" s="2" t="str">
        <f t="shared" si="7"/>
        <v>seg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DATE(Configurações!$B$3,7,20)</f>
        <v>46223</v>
      </c>
      <c r="B462" s="2" t="str">
        <f t="shared" si="7"/>
        <v>seg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DATE(Configurações!$B$3,7,20)</f>
        <v>46223</v>
      </c>
      <c r="B463" s="2" t="str">
        <f t="shared" si="7"/>
        <v>seg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DATE(Configurações!$B$3,7,20)</f>
        <v>46223</v>
      </c>
      <c r="B464" s="2" t="str">
        <f t="shared" si="7"/>
        <v>seg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DATE(Configurações!$B$3,7,20)</f>
        <v>46223</v>
      </c>
      <c r="B465" s="2" t="str">
        <f t="shared" si="7"/>
        <v>seg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DATE(Configurações!$B$3,7,21)</f>
        <v>46224</v>
      </c>
      <c r="B466" s="2" t="str">
        <f t="shared" si="7"/>
        <v>ter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DATE(Configurações!$B$3,7,21)</f>
        <v>46224</v>
      </c>
      <c r="B467" s="2" t="str">
        <f t="shared" si="7"/>
        <v>ter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DATE(Configurações!$B$3,7,21)</f>
        <v>46224</v>
      </c>
      <c r="B468" s="2" t="str">
        <f t="shared" si="7"/>
        <v>ter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DATE(Configurações!$B$3,7,21)</f>
        <v>46224</v>
      </c>
      <c r="B469" s="2" t="str">
        <f t="shared" si="7"/>
        <v>ter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DATE(Configurações!$B$3,7,21)</f>
        <v>46224</v>
      </c>
      <c r="B470" s="2" t="str">
        <f t="shared" si="7"/>
        <v>ter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DATE(Configurações!$B$3,7,21)</f>
        <v>46224</v>
      </c>
      <c r="B471" s="2" t="str">
        <f t="shared" si="7"/>
        <v>ter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DATE(Configurações!$B$3,7,21)</f>
        <v>46224</v>
      </c>
      <c r="B472" s="2" t="str">
        <f t="shared" si="7"/>
        <v>ter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DATE(Configurações!$B$3,7,21)</f>
        <v>46224</v>
      </c>
      <c r="B473" s="2" t="str">
        <f t="shared" si="7"/>
        <v>ter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DATE(Configurações!$B$3,7,21)</f>
        <v>46224</v>
      </c>
      <c r="B474" s="2" t="str">
        <f t="shared" si="7"/>
        <v>ter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DATE(Configurações!$B$3,7,21)</f>
        <v>46224</v>
      </c>
      <c r="B475" s="2" t="str">
        <f t="shared" si="7"/>
        <v>ter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DATE(Configurações!$B$3,7,21)</f>
        <v>46224</v>
      </c>
      <c r="B476" s="2" t="str">
        <f t="shared" si="7"/>
        <v>ter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DATE(Configurações!$B$3,7,21)</f>
        <v>46224</v>
      </c>
      <c r="B477" s="2" t="str">
        <f t="shared" si="7"/>
        <v>ter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DATE(Configurações!$B$3,7,21)</f>
        <v>46224</v>
      </c>
      <c r="B478" s="2" t="str">
        <f t="shared" si="7"/>
        <v>ter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DATE(Configurações!$B$3,7,21)</f>
        <v>46224</v>
      </c>
      <c r="B479" s="2" t="str">
        <f t="shared" si="7"/>
        <v>ter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DATE(Configurações!$B$3,7,21)</f>
        <v>46224</v>
      </c>
      <c r="B480" s="2" t="str">
        <f t="shared" si="7"/>
        <v>ter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DATE(Configurações!$B$3,7,21)</f>
        <v>46224</v>
      </c>
      <c r="B481" s="2" t="str">
        <f t="shared" si="7"/>
        <v>ter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DATE(Configurações!$B$3,7,21)</f>
        <v>46224</v>
      </c>
      <c r="B482" s="2" t="str">
        <f t="shared" si="7"/>
        <v>ter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DATE(Configurações!$B$3,7,21)</f>
        <v>46224</v>
      </c>
      <c r="B483" s="2" t="str">
        <f t="shared" si="7"/>
        <v>ter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DATE(Configurações!$B$3,7,21)</f>
        <v>46224</v>
      </c>
      <c r="B484" s="2" t="str">
        <f t="shared" si="7"/>
        <v>ter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DATE(Configurações!$B$3,7,21)</f>
        <v>46224</v>
      </c>
      <c r="B485" s="2" t="str">
        <f t="shared" si="7"/>
        <v>ter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DATE(Configurações!$B$3,7,21)</f>
        <v>46224</v>
      </c>
      <c r="B486" s="2" t="str">
        <f t="shared" si="7"/>
        <v>ter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DATE(Configurações!$B$3,7,21)</f>
        <v>46224</v>
      </c>
      <c r="B487" s="2" t="str">
        <f t="shared" si="7"/>
        <v>ter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DATE(Configurações!$B$3,7,21)</f>
        <v>46224</v>
      </c>
      <c r="B488" s="2" t="str">
        <f t="shared" si="7"/>
        <v>ter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DATE(Configurações!$B$3,7,22)</f>
        <v>46225</v>
      </c>
      <c r="B489" s="2" t="str">
        <f t="shared" si="7"/>
        <v>qua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DATE(Configurações!$B$3,7,22)</f>
        <v>46225</v>
      </c>
      <c r="B490" s="2" t="str">
        <f t="shared" si="7"/>
        <v>qua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DATE(Configurações!$B$3,7,22)</f>
        <v>46225</v>
      </c>
      <c r="B491" s="2" t="str">
        <f t="shared" si="7"/>
        <v>qua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DATE(Configurações!$B$3,7,22)</f>
        <v>46225</v>
      </c>
      <c r="B492" s="2" t="str">
        <f t="shared" si="7"/>
        <v>qua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DATE(Configurações!$B$3,7,22)</f>
        <v>46225</v>
      </c>
      <c r="B493" s="2" t="str">
        <f t="shared" si="7"/>
        <v>qua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DATE(Configurações!$B$3,7,22)</f>
        <v>46225</v>
      </c>
      <c r="B494" s="2" t="str">
        <f t="shared" si="7"/>
        <v>qua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DATE(Configurações!$B$3,7,22)</f>
        <v>46225</v>
      </c>
      <c r="B495" s="2" t="str">
        <f t="shared" si="7"/>
        <v>qua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DATE(Configurações!$B$3,7,22)</f>
        <v>46225</v>
      </c>
      <c r="B496" s="2" t="str">
        <f t="shared" si="7"/>
        <v>qua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DATE(Configurações!$B$3,7,22)</f>
        <v>46225</v>
      </c>
      <c r="B497" s="2" t="str">
        <f t="shared" si="7"/>
        <v>qua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DATE(Configurações!$B$3,7,22)</f>
        <v>46225</v>
      </c>
      <c r="B498" s="2" t="str">
        <f t="shared" si="7"/>
        <v>qua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DATE(Configurações!$B$3,7,22)</f>
        <v>46225</v>
      </c>
      <c r="B499" s="2" t="str">
        <f t="shared" si="7"/>
        <v>qua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DATE(Configurações!$B$3,7,22)</f>
        <v>46225</v>
      </c>
      <c r="B500" s="2" t="str">
        <f t="shared" si="7"/>
        <v>qua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DATE(Configurações!$B$3,7,22)</f>
        <v>46225</v>
      </c>
      <c r="B501" s="2" t="str">
        <f t="shared" si="7"/>
        <v>qua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DATE(Configurações!$B$3,7,22)</f>
        <v>46225</v>
      </c>
      <c r="B502" s="2" t="str">
        <f t="shared" si="7"/>
        <v>qua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DATE(Configurações!$B$3,7,22)</f>
        <v>46225</v>
      </c>
      <c r="B503" s="2" t="str">
        <f t="shared" si="7"/>
        <v>qua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DATE(Configurações!$B$3,7,22)</f>
        <v>46225</v>
      </c>
      <c r="B504" s="2" t="str">
        <f t="shared" si="7"/>
        <v>qua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DATE(Configurações!$B$3,7,22)</f>
        <v>46225</v>
      </c>
      <c r="B505" s="2" t="str">
        <f t="shared" si="7"/>
        <v>qua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DATE(Configurações!$B$3,7,22)</f>
        <v>46225</v>
      </c>
      <c r="B506" s="2" t="str">
        <f t="shared" si="7"/>
        <v>qua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DATE(Configurações!$B$3,7,22)</f>
        <v>46225</v>
      </c>
      <c r="B507" s="2" t="str">
        <f t="shared" si="7"/>
        <v>qua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DATE(Configurações!$B$3,7,22)</f>
        <v>46225</v>
      </c>
      <c r="B508" s="2" t="str">
        <f t="shared" si="7"/>
        <v>qua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DATE(Configurações!$B$3,7,22)</f>
        <v>46225</v>
      </c>
      <c r="B509" s="2" t="str">
        <f t="shared" si="7"/>
        <v>qua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DATE(Configurações!$B$3,7,22)</f>
        <v>46225</v>
      </c>
      <c r="B510" s="2" t="str">
        <f t="shared" si="7"/>
        <v>qua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DATE(Configurações!$B$3,7,22)</f>
        <v>46225</v>
      </c>
      <c r="B511" s="2" t="str">
        <f t="shared" si="7"/>
        <v>qua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DATE(Configurações!$B$3,7,23)</f>
        <v>46226</v>
      </c>
      <c r="B512" s="2" t="str">
        <f t="shared" si="7"/>
        <v>qui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DATE(Configurações!$B$3,7,23)</f>
        <v>46226</v>
      </c>
      <c r="B513" s="2" t="str">
        <f t="shared" si="7"/>
        <v>qui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DATE(Configurações!$B$3,7,23)</f>
        <v>46226</v>
      </c>
      <c r="B514" s="2" t="str">
        <f t="shared" si="7"/>
        <v>qui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DATE(Configurações!$B$3,7,23)</f>
        <v>46226</v>
      </c>
      <c r="B515" s="2" t="str">
        <f t="shared" si="7"/>
        <v>qui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DATE(Configurações!$B$3,7,23)</f>
        <v>46226</v>
      </c>
      <c r="B516" s="2" t="str">
        <f t="shared" si="7"/>
        <v>qui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DATE(Configurações!$B$3,7,23)</f>
        <v>46226</v>
      </c>
      <c r="B517" s="2" t="str">
        <f t="shared" si="7"/>
        <v>qui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DATE(Configurações!$B$3,7,23)</f>
        <v>46226</v>
      </c>
      <c r="B518" s="2" t="str">
        <f t="shared" ref="B518:B581" si="8">TEXT(A518,"ddd")</f>
        <v>qui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DATE(Configurações!$B$3,7,23)</f>
        <v>46226</v>
      </c>
      <c r="B519" s="2" t="str">
        <f t="shared" si="8"/>
        <v>qui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DATE(Configurações!$B$3,7,23)</f>
        <v>46226</v>
      </c>
      <c r="B520" s="2" t="str">
        <f t="shared" si="8"/>
        <v>qui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DATE(Configurações!$B$3,7,23)</f>
        <v>46226</v>
      </c>
      <c r="B521" s="2" t="str">
        <f t="shared" si="8"/>
        <v>qui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DATE(Configurações!$B$3,7,23)</f>
        <v>46226</v>
      </c>
      <c r="B522" s="2" t="str">
        <f t="shared" si="8"/>
        <v>qui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DATE(Configurações!$B$3,7,23)</f>
        <v>46226</v>
      </c>
      <c r="B523" s="2" t="str">
        <f t="shared" si="8"/>
        <v>qui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DATE(Configurações!$B$3,7,23)</f>
        <v>46226</v>
      </c>
      <c r="B524" s="2" t="str">
        <f t="shared" si="8"/>
        <v>qui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DATE(Configurações!$B$3,7,23)</f>
        <v>46226</v>
      </c>
      <c r="B525" s="2" t="str">
        <f t="shared" si="8"/>
        <v>qui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DATE(Configurações!$B$3,7,23)</f>
        <v>46226</v>
      </c>
      <c r="B526" s="2" t="str">
        <f t="shared" si="8"/>
        <v>qui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DATE(Configurações!$B$3,7,23)</f>
        <v>46226</v>
      </c>
      <c r="B527" s="2" t="str">
        <f t="shared" si="8"/>
        <v>qui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DATE(Configurações!$B$3,7,23)</f>
        <v>46226</v>
      </c>
      <c r="B528" s="2" t="str">
        <f t="shared" si="8"/>
        <v>qui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DATE(Configurações!$B$3,7,23)</f>
        <v>46226</v>
      </c>
      <c r="B529" s="2" t="str">
        <f t="shared" si="8"/>
        <v>qui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DATE(Configurações!$B$3,7,23)</f>
        <v>46226</v>
      </c>
      <c r="B530" s="2" t="str">
        <f t="shared" si="8"/>
        <v>qui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DATE(Configurações!$B$3,7,23)</f>
        <v>46226</v>
      </c>
      <c r="B531" s="2" t="str">
        <f t="shared" si="8"/>
        <v>qui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DATE(Configurações!$B$3,7,23)</f>
        <v>46226</v>
      </c>
      <c r="B532" s="2" t="str">
        <f t="shared" si="8"/>
        <v>qui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DATE(Configurações!$B$3,7,23)</f>
        <v>46226</v>
      </c>
      <c r="B533" s="2" t="str">
        <f t="shared" si="8"/>
        <v>qui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DATE(Configurações!$B$3,7,23)</f>
        <v>46226</v>
      </c>
      <c r="B534" s="2" t="str">
        <f t="shared" si="8"/>
        <v>qui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DATE(Configurações!$B$3,7,24)</f>
        <v>46227</v>
      </c>
      <c r="B535" s="2" t="str">
        <f t="shared" si="8"/>
        <v>sex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DATE(Configurações!$B$3,7,24)</f>
        <v>46227</v>
      </c>
      <c r="B536" s="2" t="str">
        <f t="shared" si="8"/>
        <v>sex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DATE(Configurações!$B$3,7,24)</f>
        <v>46227</v>
      </c>
      <c r="B537" s="2" t="str">
        <f t="shared" si="8"/>
        <v>sex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DATE(Configurações!$B$3,7,24)</f>
        <v>46227</v>
      </c>
      <c r="B538" s="2" t="str">
        <f t="shared" si="8"/>
        <v>sex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DATE(Configurações!$B$3,7,24)</f>
        <v>46227</v>
      </c>
      <c r="B539" s="2" t="str">
        <f t="shared" si="8"/>
        <v>sex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DATE(Configurações!$B$3,7,24)</f>
        <v>46227</v>
      </c>
      <c r="B540" s="2" t="str">
        <f t="shared" si="8"/>
        <v>sex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DATE(Configurações!$B$3,7,24)</f>
        <v>46227</v>
      </c>
      <c r="B541" s="2" t="str">
        <f t="shared" si="8"/>
        <v>sex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DATE(Configurações!$B$3,7,24)</f>
        <v>46227</v>
      </c>
      <c r="B542" s="2" t="str">
        <f t="shared" si="8"/>
        <v>sex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DATE(Configurações!$B$3,7,24)</f>
        <v>46227</v>
      </c>
      <c r="B543" s="2" t="str">
        <f t="shared" si="8"/>
        <v>sex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DATE(Configurações!$B$3,7,24)</f>
        <v>46227</v>
      </c>
      <c r="B544" s="2" t="str">
        <f t="shared" si="8"/>
        <v>sex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DATE(Configurações!$B$3,7,24)</f>
        <v>46227</v>
      </c>
      <c r="B545" s="2" t="str">
        <f t="shared" si="8"/>
        <v>sex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DATE(Configurações!$B$3,7,24)</f>
        <v>46227</v>
      </c>
      <c r="B546" s="2" t="str">
        <f t="shared" si="8"/>
        <v>sex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DATE(Configurações!$B$3,7,24)</f>
        <v>46227</v>
      </c>
      <c r="B547" s="2" t="str">
        <f t="shared" si="8"/>
        <v>sex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DATE(Configurações!$B$3,7,24)</f>
        <v>46227</v>
      </c>
      <c r="B548" s="2" t="str">
        <f t="shared" si="8"/>
        <v>sex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DATE(Configurações!$B$3,7,24)</f>
        <v>46227</v>
      </c>
      <c r="B549" s="2" t="str">
        <f t="shared" si="8"/>
        <v>sex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DATE(Configurações!$B$3,7,24)</f>
        <v>46227</v>
      </c>
      <c r="B550" s="2" t="str">
        <f t="shared" si="8"/>
        <v>sex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DATE(Configurações!$B$3,7,24)</f>
        <v>46227</v>
      </c>
      <c r="B551" s="2" t="str">
        <f t="shared" si="8"/>
        <v>sex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DATE(Configurações!$B$3,7,24)</f>
        <v>46227</v>
      </c>
      <c r="B552" s="2" t="str">
        <f t="shared" si="8"/>
        <v>sex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DATE(Configurações!$B$3,7,24)</f>
        <v>46227</v>
      </c>
      <c r="B553" s="2" t="str">
        <f t="shared" si="8"/>
        <v>sex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DATE(Configurações!$B$3,7,24)</f>
        <v>46227</v>
      </c>
      <c r="B554" s="2" t="str">
        <f t="shared" si="8"/>
        <v>sex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DATE(Configurações!$B$3,7,24)</f>
        <v>46227</v>
      </c>
      <c r="B555" s="2" t="str">
        <f t="shared" si="8"/>
        <v>sex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DATE(Configurações!$B$3,7,24)</f>
        <v>46227</v>
      </c>
      <c r="B556" s="2" t="str">
        <f t="shared" si="8"/>
        <v>sex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DATE(Configurações!$B$3,7,24)</f>
        <v>46227</v>
      </c>
      <c r="B557" s="2" t="str">
        <f t="shared" si="8"/>
        <v>sex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DATE(Configurações!$B$3,7,25)</f>
        <v>46228</v>
      </c>
      <c r="B558" s="2" t="str">
        <f t="shared" si="8"/>
        <v>sáb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DATE(Configurações!$B$3,7,25)</f>
        <v>46228</v>
      </c>
      <c r="B559" s="2" t="str">
        <f t="shared" si="8"/>
        <v>sáb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DATE(Configurações!$B$3,7,25)</f>
        <v>46228</v>
      </c>
      <c r="B560" s="2" t="str">
        <f t="shared" si="8"/>
        <v>sáb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DATE(Configurações!$B$3,7,25)</f>
        <v>46228</v>
      </c>
      <c r="B561" s="2" t="str">
        <f t="shared" si="8"/>
        <v>sáb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DATE(Configurações!$B$3,7,25)</f>
        <v>46228</v>
      </c>
      <c r="B562" s="2" t="str">
        <f t="shared" si="8"/>
        <v>sáb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DATE(Configurações!$B$3,7,25)</f>
        <v>46228</v>
      </c>
      <c r="B563" s="2" t="str">
        <f t="shared" si="8"/>
        <v>sáb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DATE(Configurações!$B$3,7,25)</f>
        <v>46228</v>
      </c>
      <c r="B564" s="2" t="str">
        <f t="shared" si="8"/>
        <v>sáb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DATE(Configurações!$B$3,7,25)</f>
        <v>46228</v>
      </c>
      <c r="B565" s="2" t="str">
        <f t="shared" si="8"/>
        <v>sáb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DATE(Configurações!$B$3,7,25)</f>
        <v>46228</v>
      </c>
      <c r="B566" s="2" t="str">
        <f t="shared" si="8"/>
        <v>sáb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DATE(Configurações!$B$3,7,25)</f>
        <v>46228</v>
      </c>
      <c r="B567" s="2" t="str">
        <f t="shared" si="8"/>
        <v>sáb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DATE(Configurações!$B$3,7,25)</f>
        <v>46228</v>
      </c>
      <c r="B568" s="2" t="str">
        <f t="shared" si="8"/>
        <v>sáb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DATE(Configurações!$B$3,7,25)</f>
        <v>46228</v>
      </c>
      <c r="B569" s="2" t="str">
        <f t="shared" si="8"/>
        <v>sáb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DATE(Configurações!$B$3,7,25)</f>
        <v>46228</v>
      </c>
      <c r="B570" s="2" t="str">
        <f t="shared" si="8"/>
        <v>sáb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DATE(Configurações!$B$3,7,25)</f>
        <v>46228</v>
      </c>
      <c r="B571" s="2" t="str">
        <f t="shared" si="8"/>
        <v>sáb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DATE(Configurações!$B$3,7,25)</f>
        <v>46228</v>
      </c>
      <c r="B572" s="2" t="str">
        <f t="shared" si="8"/>
        <v>sáb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DATE(Configurações!$B$3,7,25)</f>
        <v>46228</v>
      </c>
      <c r="B573" s="2" t="str">
        <f t="shared" si="8"/>
        <v>sáb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DATE(Configurações!$B$3,7,25)</f>
        <v>46228</v>
      </c>
      <c r="B574" s="2" t="str">
        <f t="shared" si="8"/>
        <v>sáb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DATE(Configurações!$B$3,7,25)</f>
        <v>46228</v>
      </c>
      <c r="B575" s="2" t="str">
        <f t="shared" si="8"/>
        <v>sáb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DATE(Configurações!$B$3,7,25)</f>
        <v>46228</v>
      </c>
      <c r="B576" s="2" t="str">
        <f t="shared" si="8"/>
        <v>sáb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DATE(Configurações!$B$3,7,25)</f>
        <v>46228</v>
      </c>
      <c r="B577" s="2" t="str">
        <f t="shared" si="8"/>
        <v>sáb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DATE(Configurações!$B$3,7,25)</f>
        <v>46228</v>
      </c>
      <c r="B578" s="2" t="str">
        <f t="shared" si="8"/>
        <v>sáb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DATE(Configurações!$B$3,7,25)</f>
        <v>46228</v>
      </c>
      <c r="B579" s="2" t="str">
        <f t="shared" si="8"/>
        <v>sáb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DATE(Configurações!$B$3,7,25)</f>
        <v>46228</v>
      </c>
      <c r="B580" s="2" t="str">
        <f t="shared" si="8"/>
        <v>sáb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DATE(Configurações!$B$3,7,26)</f>
        <v>46229</v>
      </c>
      <c r="B581" s="2" t="str">
        <f t="shared" si="8"/>
        <v>dom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DATE(Configurações!$B$3,7,26)</f>
        <v>46229</v>
      </c>
      <c r="B582" s="2" t="str">
        <f t="shared" ref="B582:B645" si="9">TEXT(A582,"ddd")</f>
        <v>dom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DATE(Configurações!$B$3,7,26)</f>
        <v>46229</v>
      </c>
      <c r="B583" s="2" t="str">
        <f t="shared" si="9"/>
        <v>dom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DATE(Configurações!$B$3,7,26)</f>
        <v>46229</v>
      </c>
      <c r="B584" s="2" t="str">
        <f t="shared" si="9"/>
        <v>dom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DATE(Configurações!$B$3,7,26)</f>
        <v>46229</v>
      </c>
      <c r="B585" s="2" t="str">
        <f t="shared" si="9"/>
        <v>dom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DATE(Configurações!$B$3,7,26)</f>
        <v>46229</v>
      </c>
      <c r="B586" s="2" t="str">
        <f t="shared" si="9"/>
        <v>dom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DATE(Configurações!$B$3,7,26)</f>
        <v>46229</v>
      </c>
      <c r="B587" s="2" t="str">
        <f t="shared" si="9"/>
        <v>dom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DATE(Configurações!$B$3,7,26)</f>
        <v>46229</v>
      </c>
      <c r="B588" s="2" t="str">
        <f t="shared" si="9"/>
        <v>dom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DATE(Configurações!$B$3,7,26)</f>
        <v>46229</v>
      </c>
      <c r="B589" s="2" t="str">
        <f t="shared" si="9"/>
        <v>dom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DATE(Configurações!$B$3,7,26)</f>
        <v>46229</v>
      </c>
      <c r="B590" s="2" t="str">
        <f t="shared" si="9"/>
        <v>dom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DATE(Configurações!$B$3,7,26)</f>
        <v>46229</v>
      </c>
      <c r="B591" s="2" t="str">
        <f t="shared" si="9"/>
        <v>dom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DATE(Configurações!$B$3,7,26)</f>
        <v>46229</v>
      </c>
      <c r="B592" s="2" t="str">
        <f t="shared" si="9"/>
        <v>dom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DATE(Configurações!$B$3,7,26)</f>
        <v>46229</v>
      </c>
      <c r="B593" s="2" t="str">
        <f t="shared" si="9"/>
        <v>dom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DATE(Configurações!$B$3,7,26)</f>
        <v>46229</v>
      </c>
      <c r="B594" s="2" t="str">
        <f t="shared" si="9"/>
        <v>dom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DATE(Configurações!$B$3,7,26)</f>
        <v>46229</v>
      </c>
      <c r="B595" s="2" t="str">
        <f t="shared" si="9"/>
        <v>dom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DATE(Configurações!$B$3,7,26)</f>
        <v>46229</v>
      </c>
      <c r="B596" s="2" t="str">
        <f t="shared" si="9"/>
        <v>dom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DATE(Configurações!$B$3,7,26)</f>
        <v>46229</v>
      </c>
      <c r="B597" s="2" t="str">
        <f t="shared" si="9"/>
        <v>dom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DATE(Configurações!$B$3,7,26)</f>
        <v>46229</v>
      </c>
      <c r="B598" s="2" t="str">
        <f t="shared" si="9"/>
        <v>dom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DATE(Configurações!$B$3,7,26)</f>
        <v>46229</v>
      </c>
      <c r="B599" s="2" t="str">
        <f t="shared" si="9"/>
        <v>dom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DATE(Configurações!$B$3,7,26)</f>
        <v>46229</v>
      </c>
      <c r="B600" s="2" t="str">
        <f t="shared" si="9"/>
        <v>dom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DATE(Configurações!$B$3,7,26)</f>
        <v>46229</v>
      </c>
      <c r="B601" s="2" t="str">
        <f t="shared" si="9"/>
        <v>dom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DATE(Configurações!$B$3,7,26)</f>
        <v>46229</v>
      </c>
      <c r="B602" s="2" t="str">
        <f t="shared" si="9"/>
        <v>dom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DATE(Configurações!$B$3,7,26)</f>
        <v>46229</v>
      </c>
      <c r="B603" s="2" t="str">
        <f t="shared" si="9"/>
        <v>dom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DATE(Configurações!$B$3,7,27)</f>
        <v>46230</v>
      </c>
      <c r="B604" s="2" t="str">
        <f t="shared" si="9"/>
        <v>seg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DATE(Configurações!$B$3,7,27)</f>
        <v>46230</v>
      </c>
      <c r="B605" s="2" t="str">
        <f t="shared" si="9"/>
        <v>seg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DATE(Configurações!$B$3,7,27)</f>
        <v>46230</v>
      </c>
      <c r="B606" s="2" t="str">
        <f t="shared" si="9"/>
        <v>seg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DATE(Configurações!$B$3,7,27)</f>
        <v>46230</v>
      </c>
      <c r="B607" s="2" t="str">
        <f t="shared" si="9"/>
        <v>seg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DATE(Configurações!$B$3,7,27)</f>
        <v>46230</v>
      </c>
      <c r="B608" s="2" t="str">
        <f t="shared" si="9"/>
        <v>seg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DATE(Configurações!$B$3,7,27)</f>
        <v>46230</v>
      </c>
      <c r="B609" s="2" t="str">
        <f t="shared" si="9"/>
        <v>seg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DATE(Configurações!$B$3,7,27)</f>
        <v>46230</v>
      </c>
      <c r="B610" s="2" t="str">
        <f t="shared" si="9"/>
        <v>seg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DATE(Configurações!$B$3,7,27)</f>
        <v>46230</v>
      </c>
      <c r="B611" s="2" t="str">
        <f t="shared" si="9"/>
        <v>seg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DATE(Configurações!$B$3,7,27)</f>
        <v>46230</v>
      </c>
      <c r="B612" s="2" t="str">
        <f t="shared" si="9"/>
        <v>seg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DATE(Configurações!$B$3,7,27)</f>
        <v>46230</v>
      </c>
      <c r="B613" s="2" t="str">
        <f t="shared" si="9"/>
        <v>seg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DATE(Configurações!$B$3,7,27)</f>
        <v>46230</v>
      </c>
      <c r="B614" s="2" t="str">
        <f t="shared" si="9"/>
        <v>seg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DATE(Configurações!$B$3,7,27)</f>
        <v>46230</v>
      </c>
      <c r="B615" s="2" t="str">
        <f t="shared" si="9"/>
        <v>seg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DATE(Configurações!$B$3,7,27)</f>
        <v>46230</v>
      </c>
      <c r="B616" s="2" t="str">
        <f t="shared" si="9"/>
        <v>seg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DATE(Configurações!$B$3,7,27)</f>
        <v>46230</v>
      </c>
      <c r="B617" s="2" t="str">
        <f t="shared" si="9"/>
        <v>seg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DATE(Configurações!$B$3,7,27)</f>
        <v>46230</v>
      </c>
      <c r="B618" s="2" t="str">
        <f t="shared" si="9"/>
        <v>seg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DATE(Configurações!$B$3,7,27)</f>
        <v>46230</v>
      </c>
      <c r="B619" s="2" t="str">
        <f t="shared" si="9"/>
        <v>seg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DATE(Configurações!$B$3,7,27)</f>
        <v>46230</v>
      </c>
      <c r="B620" s="2" t="str">
        <f t="shared" si="9"/>
        <v>seg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DATE(Configurações!$B$3,7,27)</f>
        <v>46230</v>
      </c>
      <c r="B621" s="2" t="str">
        <f t="shared" si="9"/>
        <v>seg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DATE(Configurações!$B$3,7,27)</f>
        <v>46230</v>
      </c>
      <c r="B622" s="2" t="str">
        <f t="shared" si="9"/>
        <v>seg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DATE(Configurações!$B$3,7,27)</f>
        <v>46230</v>
      </c>
      <c r="B623" s="2" t="str">
        <f t="shared" si="9"/>
        <v>seg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DATE(Configurações!$B$3,7,27)</f>
        <v>46230</v>
      </c>
      <c r="B624" s="2" t="str">
        <f t="shared" si="9"/>
        <v>seg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DATE(Configurações!$B$3,7,27)</f>
        <v>46230</v>
      </c>
      <c r="B625" s="2" t="str">
        <f t="shared" si="9"/>
        <v>seg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DATE(Configurações!$B$3,7,27)</f>
        <v>46230</v>
      </c>
      <c r="B626" s="2" t="str">
        <f t="shared" si="9"/>
        <v>seg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DATE(Configurações!$B$3,7,28)</f>
        <v>46231</v>
      </c>
      <c r="B627" s="2" t="str">
        <f t="shared" si="9"/>
        <v>ter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DATE(Configurações!$B$3,7,28)</f>
        <v>46231</v>
      </c>
      <c r="B628" s="2" t="str">
        <f t="shared" si="9"/>
        <v>ter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DATE(Configurações!$B$3,7,28)</f>
        <v>46231</v>
      </c>
      <c r="B629" s="2" t="str">
        <f t="shared" si="9"/>
        <v>ter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DATE(Configurações!$B$3,7,28)</f>
        <v>46231</v>
      </c>
      <c r="B630" s="2" t="str">
        <f t="shared" si="9"/>
        <v>ter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DATE(Configurações!$B$3,7,28)</f>
        <v>46231</v>
      </c>
      <c r="B631" s="2" t="str">
        <f t="shared" si="9"/>
        <v>ter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DATE(Configurações!$B$3,7,28)</f>
        <v>46231</v>
      </c>
      <c r="B632" s="2" t="str">
        <f t="shared" si="9"/>
        <v>ter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DATE(Configurações!$B$3,7,28)</f>
        <v>46231</v>
      </c>
      <c r="B633" s="2" t="str">
        <f t="shared" si="9"/>
        <v>ter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DATE(Configurações!$B$3,7,28)</f>
        <v>46231</v>
      </c>
      <c r="B634" s="2" t="str">
        <f t="shared" si="9"/>
        <v>ter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DATE(Configurações!$B$3,7,28)</f>
        <v>46231</v>
      </c>
      <c r="B635" s="2" t="str">
        <f t="shared" si="9"/>
        <v>ter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DATE(Configurações!$B$3,7,28)</f>
        <v>46231</v>
      </c>
      <c r="B636" s="2" t="str">
        <f t="shared" si="9"/>
        <v>ter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DATE(Configurações!$B$3,7,28)</f>
        <v>46231</v>
      </c>
      <c r="B637" s="2" t="str">
        <f t="shared" si="9"/>
        <v>ter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DATE(Configurações!$B$3,7,28)</f>
        <v>46231</v>
      </c>
      <c r="B638" s="2" t="str">
        <f t="shared" si="9"/>
        <v>ter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DATE(Configurações!$B$3,7,28)</f>
        <v>46231</v>
      </c>
      <c r="B639" s="2" t="str">
        <f t="shared" si="9"/>
        <v>ter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DATE(Configurações!$B$3,7,28)</f>
        <v>46231</v>
      </c>
      <c r="B640" s="2" t="str">
        <f t="shared" si="9"/>
        <v>ter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DATE(Configurações!$B$3,7,28)</f>
        <v>46231</v>
      </c>
      <c r="B641" s="2" t="str">
        <f t="shared" si="9"/>
        <v>ter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DATE(Configurações!$B$3,7,28)</f>
        <v>46231</v>
      </c>
      <c r="B642" s="2" t="str">
        <f t="shared" si="9"/>
        <v>ter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DATE(Configurações!$B$3,7,28)</f>
        <v>46231</v>
      </c>
      <c r="B643" s="2" t="str">
        <f t="shared" si="9"/>
        <v>ter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DATE(Configurações!$B$3,7,28)</f>
        <v>46231</v>
      </c>
      <c r="B644" s="2" t="str">
        <f t="shared" si="9"/>
        <v>ter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DATE(Configurações!$B$3,7,28)</f>
        <v>46231</v>
      </c>
      <c r="B645" s="2" t="str">
        <f t="shared" si="9"/>
        <v>ter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DATE(Configurações!$B$3,7,28)</f>
        <v>46231</v>
      </c>
      <c r="B646" s="2" t="str">
        <f t="shared" ref="B646:B709" si="10">TEXT(A646,"ddd")</f>
        <v>ter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DATE(Configurações!$B$3,7,28)</f>
        <v>46231</v>
      </c>
      <c r="B647" s="2" t="str">
        <f t="shared" si="10"/>
        <v>ter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DATE(Configurações!$B$3,7,28)</f>
        <v>46231</v>
      </c>
      <c r="B648" s="2" t="str">
        <f t="shared" si="10"/>
        <v>ter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DATE(Configurações!$B$3,7,28)</f>
        <v>46231</v>
      </c>
      <c r="B649" s="2" t="str">
        <f t="shared" si="10"/>
        <v>ter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DATE(Configurações!$B$3,7,29)</f>
        <v>46232</v>
      </c>
      <c r="B650" s="2" t="str">
        <f t="shared" si="10"/>
        <v>qua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DATE(Configurações!$B$3,7,29)</f>
        <v>46232</v>
      </c>
      <c r="B651" s="2" t="str">
        <f t="shared" si="10"/>
        <v>qua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DATE(Configurações!$B$3,7,29)</f>
        <v>46232</v>
      </c>
      <c r="B652" s="2" t="str">
        <f t="shared" si="10"/>
        <v>qua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DATE(Configurações!$B$3,7,29)</f>
        <v>46232</v>
      </c>
      <c r="B653" s="2" t="str">
        <f t="shared" si="10"/>
        <v>qua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DATE(Configurações!$B$3,7,29)</f>
        <v>46232</v>
      </c>
      <c r="B654" s="2" t="str">
        <f t="shared" si="10"/>
        <v>qua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DATE(Configurações!$B$3,7,29)</f>
        <v>46232</v>
      </c>
      <c r="B655" s="2" t="str">
        <f t="shared" si="10"/>
        <v>qua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DATE(Configurações!$B$3,7,29)</f>
        <v>46232</v>
      </c>
      <c r="B656" s="2" t="str">
        <f t="shared" si="10"/>
        <v>qua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DATE(Configurações!$B$3,7,29)</f>
        <v>46232</v>
      </c>
      <c r="B657" s="2" t="str">
        <f t="shared" si="10"/>
        <v>qua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DATE(Configurações!$B$3,7,29)</f>
        <v>46232</v>
      </c>
      <c r="B658" s="2" t="str">
        <f t="shared" si="10"/>
        <v>qua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DATE(Configurações!$B$3,7,29)</f>
        <v>46232</v>
      </c>
      <c r="B659" s="2" t="str">
        <f t="shared" si="10"/>
        <v>qua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DATE(Configurações!$B$3,7,29)</f>
        <v>46232</v>
      </c>
      <c r="B660" s="2" t="str">
        <f t="shared" si="10"/>
        <v>qua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DATE(Configurações!$B$3,7,29)</f>
        <v>46232</v>
      </c>
      <c r="B661" s="2" t="str">
        <f t="shared" si="10"/>
        <v>qua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DATE(Configurações!$B$3,7,29)</f>
        <v>46232</v>
      </c>
      <c r="B662" s="2" t="str">
        <f t="shared" si="10"/>
        <v>qua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DATE(Configurações!$B$3,7,29)</f>
        <v>46232</v>
      </c>
      <c r="B663" s="2" t="str">
        <f t="shared" si="10"/>
        <v>qua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DATE(Configurações!$B$3,7,29)</f>
        <v>46232</v>
      </c>
      <c r="B664" s="2" t="str">
        <f t="shared" si="10"/>
        <v>qua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DATE(Configurações!$B$3,7,29)</f>
        <v>46232</v>
      </c>
      <c r="B665" s="2" t="str">
        <f t="shared" si="10"/>
        <v>qua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DATE(Configurações!$B$3,7,29)</f>
        <v>46232</v>
      </c>
      <c r="B666" s="2" t="str">
        <f t="shared" si="10"/>
        <v>qua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DATE(Configurações!$B$3,7,29)</f>
        <v>46232</v>
      </c>
      <c r="B667" s="2" t="str">
        <f t="shared" si="10"/>
        <v>qua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DATE(Configurações!$B$3,7,29)</f>
        <v>46232</v>
      </c>
      <c r="B668" s="2" t="str">
        <f t="shared" si="10"/>
        <v>qua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DATE(Configurações!$B$3,7,29)</f>
        <v>46232</v>
      </c>
      <c r="B669" s="2" t="str">
        <f t="shared" si="10"/>
        <v>qua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DATE(Configurações!$B$3,7,29)</f>
        <v>46232</v>
      </c>
      <c r="B670" s="2" t="str">
        <f t="shared" si="10"/>
        <v>qua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DATE(Configurações!$B$3,7,29)</f>
        <v>46232</v>
      </c>
      <c r="B671" s="2" t="str">
        <f t="shared" si="10"/>
        <v>qua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DATE(Configurações!$B$3,7,29)</f>
        <v>46232</v>
      </c>
      <c r="B672" s="2" t="str">
        <f t="shared" si="10"/>
        <v>qua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DATE(Configurações!$B$3,7,30)</f>
        <v>46233</v>
      </c>
      <c r="B673" s="2" t="str">
        <f t="shared" si="10"/>
        <v>qui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DATE(Configurações!$B$3,7,30)</f>
        <v>46233</v>
      </c>
      <c r="B674" s="2" t="str">
        <f t="shared" si="10"/>
        <v>qui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DATE(Configurações!$B$3,7,30)</f>
        <v>46233</v>
      </c>
      <c r="B675" s="2" t="str">
        <f t="shared" si="10"/>
        <v>qui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DATE(Configurações!$B$3,7,30)</f>
        <v>46233</v>
      </c>
      <c r="B676" s="2" t="str">
        <f t="shared" si="10"/>
        <v>qui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DATE(Configurações!$B$3,7,30)</f>
        <v>46233</v>
      </c>
      <c r="B677" s="2" t="str">
        <f t="shared" si="10"/>
        <v>qui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DATE(Configurações!$B$3,7,30)</f>
        <v>46233</v>
      </c>
      <c r="B678" s="2" t="str">
        <f t="shared" si="10"/>
        <v>qui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DATE(Configurações!$B$3,7,30)</f>
        <v>46233</v>
      </c>
      <c r="B679" s="2" t="str">
        <f t="shared" si="10"/>
        <v>qui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DATE(Configurações!$B$3,7,30)</f>
        <v>46233</v>
      </c>
      <c r="B680" s="2" t="str">
        <f t="shared" si="10"/>
        <v>qui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DATE(Configurações!$B$3,7,30)</f>
        <v>46233</v>
      </c>
      <c r="B681" s="2" t="str">
        <f t="shared" si="10"/>
        <v>qui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DATE(Configurações!$B$3,7,30)</f>
        <v>46233</v>
      </c>
      <c r="B682" s="2" t="str">
        <f t="shared" si="10"/>
        <v>qui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DATE(Configurações!$B$3,7,30)</f>
        <v>46233</v>
      </c>
      <c r="B683" s="2" t="str">
        <f t="shared" si="10"/>
        <v>qui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DATE(Configurações!$B$3,7,30)</f>
        <v>46233</v>
      </c>
      <c r="B684" s="2" t="str">
        <f t="shared" si="10"/>
        <v>qui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DATE(Configurações!$B$3,7,30)</f>
        <v>46233</v>
      </c>
      <c r="B685" s="2" t="str">
        <f t="shared" si="10"/>
        <v>qui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DATE(Configurações!$B$3,7,30)</f>
        <v>46233</v>
      </c>
      <c r="B686" s="2" t="str">
        <f t="shared" si="10"/>
        <v>qui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DATE(Configurações!$B$3,7,30)</f>
        <v>46233</v>
      </c>
      <c r="B687" s="2" t="str">
        <f t="shared" si="10"/>
        <v>qui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DATE(Configurações!$B$3,7,30)</f>
        <v>46233</v>
      </c>
      <c r="B688" s="2" t="str">
        <f t="shared" si="10"/>
        <v>qui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DATE(Configurações!$B$3,7,30)</f>
        <v>46233</v>
      </c>
      <c r="B689" s="2" t="str">
        <f t="shared" si="10"/>
        <v>qui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DATE(Configurações!$B$3,7,30)</f>
        <v>46233</v>
      </c>
      <c r="B690" s="2" t="str">
        <f t="shared" si="10"/>
        <v>qui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DATE(Configurações!$B$3,7,30)</f>
        <v>46233</v>
      </c>
      <c r="B691" s="2" t="str">
        <f t="shared" si="10"/>
        <v>qui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DATE(Configurações!$B$3,7,30)</f>
        <v>46233</v>
      </c>
      <c r="B692" s="2" t="str">
        <f t="shared" si="10"/>
        <v>qui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DATE(Configurações!$B$3,7,30)</f>
        <v>46233</v>
      </c>
      <c r="B693" s="2" t="str">
        <f t="shared" si="10"/>
        <v>qui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DATE(Configurações!$B$3,7,30)</f>
        <v>46233</v>
      </c>
      <c r="B694" s="2" t="str">
        <f t="shared" si="10"/>
        <v>qui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DATE(Configurações!$B$3,7,30)</f>
        <v>46233</v>
      </c>
      <c r="B695" s="2" t="str">
        <f t="shared" si="10"/>
        <v>qui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DATE(Configurações!$B$3,7,31)</f>
        <v>46234</v>
      </c>
      <c r="B696" s="2" t="str">
        <f t="shared" si="10"/>
        <v>sex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DATE(Configurações!$B$3,7,31)</f>
        <v>46234</v>
      </c>
      <c r="B697" s="2" t="str">
        <f t="shared" si="10"/>
        <v>sex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DATE(Configurações!$B$3,7,31)</f>
        <v>46234</v>
      </c>
      <c r="B698" s="2" t="str">
        <f t="shared" si="10"/>
        <v>sex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DATE(Configurações!$B$3,7,31)</f>
        <v>46234</v>
      </c>
      <c r="B699" s="2" t="str">
        <f t="shared" si="10"/>
        <v>sex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DATE(Configurações!$B$3,7,31)</f>
        <v>46234</v>
      </c>
      <c r="B700" s="2" t="str">
        <f t="shared" si="10"/>
        <v>sex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DATE(Configurações!$B$3,7,31)</f>
        <v>46234</v>
      </c>
      <c r="B701" s="2" t="str">
        <f t="shared" si="10"/>
        <v>sex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DATE(Configurações!$B$3,7,31)</f>
        <v>46234</v>
      </c>
      <c r="B702" s="2" t="str">
        <f t="shared" si="10"/>
        <v>sex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DATE(Configurações!$B$3,7,31)</f>
        <v>46234</v>
      </c>
      <c r="B703" s="2" t="str">
        <f t="shared" si="10"/>
        <v>sex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DATE(Configurações!$B$3,7,31)</f>
        <v>46234</v>
      </c>
      <c r="B704" s="2" t="str">
        <f t="shared" si="10"/>
        <v>sex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DATE(Configurações!$B$3,7,31)</f>
        <v>46234</v>
      </c>
      <c r="B705" s="2" t="str">
        <f t="shared" si="10"/>
        <v>sex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DATE(Configurações!$B$3,7,31)</f>
        <v>46234</v>
      </c>
      <c r="B706" s="2" t="str">
        <f t="shared" si="10"/>
        <v>sex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DATE(Configurações!$B$3,7,31)</f>
        <v>46234</v>
      </c>
      <c r="B707" s="2" t="str">
        <f t="shared" si="10"/>
        <v>sex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DATE(Configurações!$B$3,7,31)</f>
        <v>46234</v>
      </c>
      <c r="B708" s="2" t="str">
        <f t="shared" si="10"/>
        <v>sex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DATE(Configurações!$B$3,7,31)</f>
        <v>46234</v>
      </c>
      <c r="B709" s="2" t="str">
        <f t="shared" si="10"/>
        <v>sex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DATE(Configurações!$B$3,7,31)</f>
        <v>46234</v>
      </c>
      <c r="B710" s="2" t="str">
        <f t="shared" ref="B710:B773" si="11">TEXT(A710,"ddd")</f>
        <v>sex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DATE(Configurações!$B$3,7,31)</f>
        <v>46234</v>
      </c>
      <c r="B711" s="2" t="str">
        <f t="shared" si="11"/>
        <v>sex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DATE(Configurações!$B$3,7,31)</f>
        <v>46234</v>
      </c>
      <c r="B712" s="2" t="str">
        <f t="shared" si="11"/>
        <v>sex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DATE(Configurações!$B$3,7,31)</f>
        <v>46234</v>
      </c>
      <c r="B713" s="2" t="str">
        <f t="shared" si="11"/>
        <v>sex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DATE(Configurações!$B$3,7,31)</f>
        <v>46234</v>
      </c>
      <c r="B714" s="2" t="str">
        <f t="shared" si="11"/>
        <v>sex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DATE(Configurações!$B$3,7,31)</f>
        <v>46234</v>
      </c>
      <c r="B715" s="2" t="str">
        <f t="shared" si="11"/>
        <v>sex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DATE(Configurações!$B$3,7,31)</f>
        <v>46234</v>
      </c>
      <c r="B716" s="2" t="str">
        <f t="shared" si="11"/>
        <v>sex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DATE(Configurações!$B$3,7,31)</f>
        <v>46234</v>
      </c>
      <c r="B717" s="2" t="str">
        <f t="shared" si="11"/>
        <v>sex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DATE(Configurações!$B$3,7,31)</f>
        <v>46234</v>
      </c>
      <c r="B718" s="2" t="str">
        <f t="shared" si="11"/>
        <v>sex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23" priority="1">
      <formula>F6="Online"</formula>
    </cfRule>
    <cfRule type="expression" dxfId="22" priority="2">
      <formula>F6="Offline"</formula>
    </cfRule>
    <cfRule type="expression" dxfId="21" priority="3">
      <formula>F6="Manutenção"</formula>
    </cfRule>
    <cfRule type="expression" dxfId="20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8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114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DATE(Configurações!$B$3,8,1)</f>
        <v>46235</v>
      </c>
      <c r="B6" s="2" t="str">
        <f t="shared" ref="B6:B69" si="0">TEXT(A6,"ddd")</f>
        <v>sáb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DATE(Configurações!$B$3,8,1)</f>
        <v>46235</v>
      </c>
      <c r="B7" s="2" t="str">
        <f t="shared" si="0"/>
        <v>sáb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DATE(Configurações!$B$3,8,1)</f>
        <v>46235</v>
      </c>
      <c r="B8" s="2" t="str">
        <f t="shared" si="0"/>
        <v>sáb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DATE(Configurações!$B$3,8,1)</f>
        <v>46235</v>
      </c>
      <c r="B9" s="2" t="str">
        <f t="shared" si="0"/>
        <v>sáb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DATE(Configurações!$B$3,8,1)</f>
        <v>46235</v>
      </c>
      <c r="B10" s="2" t="str">
        <f t="shared" si="0"/>
        <v>sáb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DATE(Configurações!$B$3,8,1)</f>
        <v>46235</v>
      </c>
      <c r="B11" s="2" t="str">
        <f t="shared" si="0"/>
        <v>sáb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DATE(Configurações!$B$3,8,1)</f>
        <v>46235</v>
      </c>
      <c r="B12" s="2" t="str">
        <f t="shared" si="0"/>
        <v>sáb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DATE(Configurações!$B$3,8,1)</f>
        <v>46235</v>
      </c>
      <c r="B13" s="2" t="str">
        <f t="shared" si="0"/>
        <v>sáb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DATE(Configurações!$B$3,8,1)</f>
        <v>46235</v>
      </c>
      <c r="B14" s="2" t="str">
        <f t="shared" si="0"/>
        <v>sáb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DATE(Configurações!$B$3,8,1)</f>
        <v>46235</v>
      </c>
      <c r="B15" s="2" t="str">
        <f t="shared" si="0"/>
        <v>sáb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DATE(Configurações!$B$3,8,1)</f>
        <v>46235</v>
      </c>
      <c r="B16" s="2" t="str">
        <f t="shared" si="0"/>
        <v>sáb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DATE(Configurações!$B$3,8,1)</f>
        <v>46235</v>
      </c>
      <c r="B17" s="2" t="str">
        <f t="shared" si="0"/>
        <v>sáb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DATE(Configurações!$B$3,8,1)</f>
        <v>46235</v>
      </c>
      <c r="B18" s="2" t="str">
        <f t="shared" si="0"/>
        <v>sáb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DATE(Configurações!$B$3,8,1)</f>
        <v>46235</v>
      </c>
      <c r="B19" s="2" t="str">
        <f t="shared" si="0"/>
        <v>sáb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DATE(Configurações!$B$3,8,1)</f>
        <v>46235</v>
      </c>
      <c r="B20" s="2" t="str">
        <f t="shared" si="0"/>
        <v>sáb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DATE(Configurações!$B$3,8,1)</f>
        <v>46235</v>
      </c>
      <c r="B21" s="2" t="str">
        <f t="shared" si="0"/>
        <v>sáb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DATE(Configurações!$B$3,8,1)</f>
        <v>46235</v>
      </c>
      <c r="B22" s="2" t="str">
        <f t="shared" si="0"/>
        <v>sáb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DATE(Configurações!$B$3,8,1)</f>
        <v>46235</v>
      </c>
      <c r="B23" s="2" t="str">
        <f t="shared" si="0"/>
        <v>sáb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DATE(Configurações!$B$3,8,1)</f>
        <v>46235</v>
      </c>
      <c r="B24" s="2" t="str">
        <f t="shared" si="0"/>
        <v>sáb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DATE(Configurações!$B$3,8,1)</f>
        <v>46235</v>
      </c>
      <c r="B25" s="2" t="str">
        <f t="shared" si="0"/>
        <v>sáb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DATE(Configurações!$B$3,8,1)</f>
        <v>46235</v>
      </c>
      <c r="B26" s="2" t="str">
        <f t="shared" si="0"/>
        <v>sáb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DATE(Configurações!$B$3,8,1)</f>
        <v>46235</v>
      </c>
      <c r="B27" s="2" t="str">
        <f t="shared" si="0"/>
        <v>sáb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DATE(Configurações!$B$3,8,1)</f>
        <v>46235</v>
      </c>
      <c r="B28" s="2" t="str">
        <f t="shared" si="0"/>
        <v>sáb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DATE(Configurações!$B$3,8,2)</f>
        <v>46236</v>
      </c>
      <c r="B29" s="2" t="str">
        <f t="shared" si="0"/>
        <v>dom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DATE(Configurações!$B$3,8,2)</f>
        <v>46236</v>
      </c>
      <c r="B30" s="2" t="str">
        <f t="shared" si="0"/>
        <v>dom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DATE(Configurações!$B$3,8,2)</f>
        <v>46236</v>
      </c>
      <c r="B31" s="2" t="str">
        <f t="shared" si="0"/>
        <v>dom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DATE(Configurações!$B$3,8,2)</f>
        <v>46236</v>
      </c>
      <c r="B32" s="2" t="str">
        <f t="shared" si="0"/>
        <v>dom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DATE(Configurações!$B$3,8,2)</f>
        <v>46236</v>
      </c>
      <c r="B33" s="2" t="str">
        <f t="shared" si="0"/>
        <v>dom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DATE(Configurações!$B$3,8,2)</f>
        <v>46236</v>
      </c>
      <c r="B34" s="2" t="str">
        <f t="shared" si="0"/>
        <v>dom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DATE(Configurações!$B$3,8,2)</f>
        <v>46236</v>
      </c>
      <c r="B35" s="2" t="str">
        <f t="shared" si="0"/>
        <v>dom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DATE(Configurações!$B$3,8,2)</f>
        <v>46236</v>
      </c>
      <c r="B36" s="2" t="str">
        <f t="shared" si="0"/>
        <v>dom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DATE(Configurações!$B$3,8,2)</f>
        <v>46236</v>
      </c>
      <c r="B37" s="2" t="str">
        <f t="shared" si="0"/>
        <v>dom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DATE(Configurações!$B$3,8,2)</f>
        <v>46236</v>
      </c>
      <c r="B38" s="2" t="str">
        <f t="shared" si="0"/>
        <v>dom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DATE(Configurações!$B$3,8,2)</f>
        <v>46236</v>
      </c>
      <c r="B39" s="2" t="str">
        <f t="shared" si="0"/>
        <v>dom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DATE(Configurações!$B$3,8,2)</f>
        <v>46236</v>
      </c>
      <c r="B40" s="2" t="str">
        <f t="shared" si="0"/>
        <v>dom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DATE(Configurações!$B$3,8,2)</f>
        <v>46236</v>
      </c>
      <c r="B41" s="2" t="str">
        <f t="shared" si="0"/>
        <v>dom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DATE(Configurações!$B$3,8,2)</f>
        <v>46236</v>
      </c>
      <c r="B42" s="2" t="str">
        <f t="shared" si="0"/>
        <v>dom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DATE(Configurações!$B$3,8,2)</f>
        <v>46236</v>
      </c>
      <c r="B43" s="2" t="str">
        <f t="shared" si="0"/>
        <v>dom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DATE(Configurações!$B$3,8,2)</f>
        <v>46236</v>
      </c>
      <c r="B44" s="2" t="str">
        <f t="shared" si="0"/>
        <v>dom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DATE(Configurações!$B$3,8,2)</f>
        <v>46236</v>
      </c>
      <c r="B45" s="2" t="str">
        <f t="shared" si="0"/>
        <v>dom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DATE(Configurações!$B$3,8,2)</f>
        <v>46236</v>
      </c>
      <c r="B46" s="2" t="str">
        <f t="shared" si="0"/>
        <v>dom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DATE(Configurações!$B$3,8,2)</f>
        <v>46236</v>
      </c>
      <c r="B47" s="2" t="str">
        <f t="shared" si="0"/>
        <v>dom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DATE(Configurações!$B$3,8,2)</f>
        <v>46236</v>
      </c>
      <c r="B48" s="2" t="str">
        <f t="shared" si="0"/>
        <v>dom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DATE(Configurações!$B$3,8,2)</f>
        <v>46236</v>
      </c>
      <c r="B49" s="2" t="str">
        <f t="shared" si="0"/>
        <v>dom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DATE(Configurações!$B$3,8,2)</f>
        <v>46236</v>
      </c>
      <c r="B50" s="2" t="str">
        <f t="shared" si="0"/>
        <v>dom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DATE(Configurações!$B$3,8,2)</f>
        <v>46236</v>
      </c>
      <c r="B51" s="2" t="str">
        <f t="shared" si="0"/>
        <v>dom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DATE(Configurações!$B$3,8,3)</f>
        <v>46237</v>
      </c>
      <c r="B52" s="2" t="str">
        <f t="shared" si="0"/>
        <v>seg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DATE(Configurações!$B$3,8,3)</f>
        <v>46237</v>
      </c>
      <c r="B53" s="2" t="str">
        <f t="shared" si="0"/>
        <v>seg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DATE(Configurações!$B$3,8,3)</f>
        <v>46237</v>
      </c>
      <c r="B54" s="2" t="str">
        <f t="shared" si="0"/>
        <v>seg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DATE(Configurações!$B$3,8,3)</f>
        <v>46237</v>
      </c>
      <c r="B55" s="2" t="str">
        <f t="shared" si="0"/>
        <v>seg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DATE(Configurações!$B$3,8,3)</f>
        <v>46237</v>
      </c>
      <c r="B56" s="2" t="str">
        <f t="shared" si="0"/>
        <v>seg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DATE(Configurações!$B$3,8,3)</f>
        <v>46237</v>
      </c>
      <c r="B57" s="2" t="str">
        <f t="shared" si="0"/>
        <v>seg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DATE(Configurações!$B$3,8,3)</f>
        <v>46237</v>
      </c>
      <c r="B58" s="2" t="str">
        <f t="shared" si="0"/>
        <v>seg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DATE(Configurações!$B$3,8,3)</f>
        <v>46237</v>
      </c>
      <c r="B59" s="2" t="str">
        <f t="shared" si="0"/>
        <v>seg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DATE(Configurações!$B$3,8,3)</f>
        <v>46237</v>
      </c>
      <c r="B60" s="2" t="str">
        <f t="shared" si="0"/>
        <v>seg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DATE(Configurações!$B$3,8,3)</f>
        <v>46237</v>
      </c>
      <c r="B61" s="2" t="str">
        <f t="shared" si="0"/>
        <v>seg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DATE(Configurações!$B$3,8,3)</f>
        <v>46237</v>
      </c>
      <c r="B62" s="2" t="str">
        <f t="shared" si="0"/>
        <v>seg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DATE(Configurações!$B$3,8,3)</f>
        <v>46237</v>
      </c>
      <c r="B63" s="2" t="str">
        <f t="shared" si="0"/>
        <v>seg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DATE(Configurações!$B$3,8,3)</f>
        <v>46237</v>
      </c>
      <c r="B64" s="2" t="str">
        <f t="shared" si="0"/>
        <v>seg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DATE(Configurações!$B$3,8,3)</f>
        <v>46237</v>
      </c>
      <c r="B65" s="2" t="str">
        <f t="shared" si="0"/>
        <v>seg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DATE(Configurações!$B$3,8,3)</f>
        <v>46237</v>
      </c>
      <c r="B66" s="2" t="str">
        <f t="shared" si="0"/>
        <v>seg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DATE(Configurações!$B$3,8,3)</f>
        <v>46237</v>
      </c>
      <c r="B67" s="2" t="str">
        <f t="shared" si="0"/>
        <v>seg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DATE(Configurações!$B$3,8,3)</f>
        <v>46237</v>
      </c>
      <c r="B68" s="2" t="str">
        <f t="shared" si="0"/>
        <v>seg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DATE(Configurações!$B$3,8,3)</f>
        <v>46237</v>
      </c>
      <c r="B69" s="2" t="str">
        <f t="shared" si="0"/>
        <v>seg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DATE(Configurações!$B$3,8,3)</f>
        <v>46237</v>
      </c>
      <c r="B70" s="2" t="str">
        <f t="shared" ref="B70:B133" si="1">TEXT(A70,"ddd")</f>
        <v>seg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DATE(Configurações!$B$3,8,3)</f>
        <v>46237</v>
      </c>
      <c r="B71" s="2" t="str">
        <f t="shared" si="1"/>
        <v>seg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DATE(Configurações!$B$3,8,3)</f>
        <v>46237</v>
      </c>
      <c r="B72" s="2" t="str">
        <f t="shared" si="1"/>
        <v>seg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DATE(Configurações!$B$3,8,3)</f>
        <v>46237</v>
      </c>
      <c r="B73" s="2" t="str">
        <f t="shared" si="1"/>
        <v>seg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DATE(Configurações!$B$3,8,3)</f>
        <v>46237</v>
      </c>
      <c r="B74" s="2" t="str">
        <f t="shared" si="1"/>
        <v>seg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DATE(Configurações!$B$3,8,4)</f>
        <v>46238</v>
      </c>
      <c r="B75" s="2" t="str">
        <f t="shared" si="1"/>
        <v>ter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DATE(Configurações!$B$3,8,4)</f>
        <v>46238</v>
      </c>
      <c r="B76" s="2" t="str">
        <f t="shared" si="1"/>
        <v>ter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DATE(Configurações!$B$3,8,4)</f>
        <v>46238</v>
      </c>
      <c r="B77" s="2" t="str">
        <f t="shared" si="1"/>
        <v>ter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DATE(Configurações!$B$3,8,4)</f>
        <v>46238</v>
      </c>
      <c r="B78" s="2" t="str">
        <f t="shared" si="1"/>
        <v>ter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DATE(Configurações!$B$3,8,4)</f>
        <v>46238</v>
      </c>
      <c r="B79" s="2" t="str">
        <f t="shared" si="1"/>
        <v>ter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DATE(Configurações!$B$3,8,4)</f>
        <v>46238</v>
      </c>
      <c r="B80" s="2" t="str">
        <f t="shared" si="1"/>
        <v>ter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DATE(Configurações!$B$3,8,4)</f>
        <v>46238</v>
      </c>
      <c r="B81" s="2" t="str">
        <f t="shared" si="1"/>
        <v>ter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DATE(Configurações!$B$3,8,4)</f>
        <v>46238</v>
      </c>
      <c r="B82" s="2" t="str">
        <f t="shared" si="1"/>
        <v>ter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DATE(Configurações!$B$3,8,4)</f>
        <v>46238</v>
      </c>
      <c r="B83" s="2" t="str">
        <f t="shared" si="1"/>
        <v>ter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DATE(Configurações!$B$3,8,4)</f>
        <v>46238</v>
      </c>
      <c r="B84" s="2" t="str">
        <f t="shared" si="1"/>
        <v>ter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DATE(Configurações!$B$3,8,4)</f>
        <v>46238</v>
      </c>
      <c r="B85" s="2" t="str">
        <f t="shared" si="1"/>
        <v>ter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DATE(Configurações!$B$3,8,4)</f>
        <v>46238</v>
      </c>
      <c r="B86" s="2" t="str">
        <f t="shared" si="1"/>
        <v>ter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DATE(Configurações!$B$3,8,4)</f>
        <v>46238</v>
      </c>
      <c r="B87" s="2" t="str">
        <f t="shared" si="1"/>
        <v>ter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DATE(Configurações!$B$3,8,4)</f>
        <v>46238</v>
      </c>
      <c r="B88" s="2" t="str">
        <f t="shared" si="1"/>
        <v>ter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DATE(Configurações!$B$3,8,4)</f>
        <v>46238</v>
      </c>
      <c r="B89" s="2" t="str">
        <f t="shared" si="1"/>
        <v>ter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DATE(Configurações!$B$3,8,4)</f>
        <v>46238</v>
      </c>
      <c r="B90" s="2" t="str">
        <f t="shared" si="1"/>
        <v>ter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DATE(Configurações!$B$3,8,4)</f>
        <v>46238</v>
      </c>
      <c r="B91" s="2" t="str">
        <f t="shared" si="1"/>
        <v>ter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DATE(Configurações!$B$3,8,4)</f>
        <v>46238</v>
      </c>
      <c r="B92" s="2" t="str">
        <f t="shared" si="1"/>
        <v>ter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DATE(Configurações!$B$3,8,4)</f>
        <v>46238</v>
      </c>
      <c r="B93" s="2" t="str">
        <f t="shared" si="1"/>
        <v>ter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DATE(Configurações!$B$3,8,4)</f>
        <v>46238</v>
      </c>
      <c r="B94" s="2" t="str">
        <f t="shared" si="1"/>
        <v>ter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DATE(Configurações!$B$3,8,4)</f>
        <v>46238</v>
      </c>
      <c r="B95" s="2" t="str">
        <f t="shared" si="1"/>
        <v>ter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DATE(Configurações!$B$3,8,4)</f>
        <v>46238</v>
      </c>
      <c r="B96" s="2" t="str">
        <f t="shared" si="1"/>
        <v>ter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DATE(Configurações!$B$3,8,4)</f>
        <v>46238</v>
      </c>
      <c r="B97" s="2" t="str">
        <f t="shared" si="1"/>
        <v>ter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DATE(Configurações!$B$3,8,5)</f>
        <v>46239</v>
      </c>
      <c r="B98" s="2" t="str">
        <f t="shared" si="1"/>
        <v>qua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DATE(Configurações!$B$3,8,5)</f>
        <v>46239</v>
      </c>
      <c r="B99" s="2" t="str">
        <f t="shared" si="1"/>
        <v>qua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DATE(Configurações!$B$3,8,5)</f>
        <v>46239</v>
      </c>
      <c r="B100" s="2" t="str">
        <f t="shared" si="1"/>
        <v>qua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DATE(Configurações!$B$3,8,5)</f>
        <v>46239</v>
      </c>
      <c r="B101" s="2" t="str">
        <f t="shared" si="1"/>
        <v>qua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DATE(Configurações!$B$3,8,5)</f>
        <v>46239</v>
      </c>
      <c r="B102" s="2" t="str">
        <f t="shared" si="1"/>
        <v>qua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DATE(Configurações!$B$3,8,5)</f>
        <v>46239</v>
      </c>
      <c r="B103" s="2" t="str">
        <f t="shared" si="1"/>
        <v>qua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DATE(Configurações!$B$3,8,5)</f>
        <v>46239</v>
      </c>
      <c r="B104" s="2" t="str">
        <f t="shared" si="1"/>
        <v>qua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DATE(Configurações!$B$3,8,5)</f>
        <v>46239</v>
      </c>
      <c r="B105" s="2" t="str">
        <f t="shared" si="1"/>
        <v>qua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DATE(Configurações!$B$3,8,5)</f>
        <v>46239</v>
      </c>
      <c r="B106" s="2" t="str">
        <f t="shared" si="1"/>
        <v>qua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DATE(Configurações!$B$3,8,5)</f>
        <v>46239</v>
      </c>
      <c r="B107" s="2" t="str">
        <f t="shared" si="1"/>
        <v>qua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DATE(Configurações!$B$3,8,5)</f>
        <v>46239</v>
      </c>
      <c r="B108" s="2" t="str">
        <f t="shared" si="1"/>
        <v>qua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DATE(Configurações!$B$3,8,5)</f>
        <v>46239</v>
      </c>
      <c r="B109" s="2" t="str">
        <f t="shared" si="1"/>
        <v>qua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DATE(Configurações!$B$3,8,5)</f>
        <v>46239</v>
      </c>
      <c r="B110" s="2" t="str">
        <f t="shared" si="1"/>
        <v>qua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DATE(Configurações!$B$3,8,5)</f>
        <v>46239</v>
      </c>
      <c r="B111" s="2" t="str">
        <f t="shared" si="1"/>
        <v>qua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DATE(Configurações!$B$3,8,5)</f>
        <v>46239</v>
      </c>
      <c r="B112" s="2" t="str">
        <f t="shared" si="1"/>
        <v>qua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DATE(Configurações!$B$3,8,5)</f>
        <v>46239</v>
      </c>
      <c r="B113" s="2" t="str">
        <f t="shared" si="1"/>
        <v>qua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DATE(Configurações!$B$3,8,5)</f>
        <v>46239</v>
      </c>
      <c r="B114" s="2" t="str">
        <f t="shared" si="1"/>
        <v>qua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DATE(Configurações!$B$3,8,5)</f>
        <v>46239</v>
      </c>
      <c r="B115" s="2" t="str">
        <f t="shared" si="1"/>
        <v>qua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DATE(Configurações!$B$3,8,5)</f>
        <v>46239</v>
      </c>
      <c r="B116" s="2" t="str">
        <f t="shared" si="1"/>
        <v>qua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DATE(Configurações!$B$3,8,5)</f>
        <v>46239</v>
      </c>
      <c r="B117" s="2" t="str">
        <f t="shared" si="1"/>
        <v>qua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DATE(Configurações!$B$3,8,5)</f>
        <v>46239</v>
      </c>
      <c r="B118" s="2" t="str">
        <f t="shared" si="1"/>
        <v>qua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DATE(Configurações!$B$3,8,5)</f>
        <v>46239</v>
      </c>
      <c r="B119" s="2" t="str">
        <f t="shared" si="1"/>
        <v>qua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DATE(Configurações!$B$3,8,5)</f>
        <v>46239</v>
      </c>
      <c r="B120" s="2" t="str">
        <f t="shared" si="1"/>
        <v>qua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DATE(Configurações!$B$3,8,6)</f>
        <v>46240</v>
      </c>
      <c r="B121" s="2" t="str">
        <f t="shared" si="1"/>
        <v>qui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DATE(Configurações!$B$3,8,6)</f>
        <v>46240</v>
      </c>
      <c r="B122" s="2" t="str">
        <f t="shared" si="1"/>
        <v>qui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DATE(Configurações!$B$3,8,6)</f>
        <v>46240</v>
      </c>
      <c r="B123" s="2" t="str">
        <f t="shared" si="1"/>
        <v>qui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DATE(Configurações!$B$3,8,6)</f>
        <v>46240</v>
      </c>
      <c r="B124" s="2" t="str">
        <f t="shared" si="1"/>
        <v>qui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DATE(Configurações!$B$3,8,6)</f>
        <v>46240</v>
      </c>
      <c r="B125" s="2" t="str">
        <f t="shared" si="1"/>
        <v>qui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DATE(Configurações!$B$3,8,6)</f>
        <v>46240</v>
      </c>
      <c r="B126" s="2" t="str">
        <f t="shared" si="1"/>
        <v>qui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DATE(Configurações!$B$3,8,6)</f>
        <v>46240</v>
      </c>
      <c r="B127" s="2" t="str">
        <f t="shared" si="1"/>
        <v>qui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DATE(Configurações!$B$3,8,6)</f>
        <v>46240</v>
      </c>
      <c r="B128" s="2" t="str">
        <f t="shared" si="1"/>
        <v>qui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DATE(Configurações!$B$3,8,6)</f>
        <v>46240</v>
      </c>
      <c r="B129" s="2" t="str">
        <f t="shared" si="1"/>
        <v>qui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DATE(Configurações!$B$3,8,6)</f>
        <v>46240</v>
      </c>
      <c r="B130" s="2" t="str">
        <f t="shared" si="1"/>
        <v>qui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DATE(Configurações!$B$3,8,6)</f>
        <v>46240</v>
      </c>
      <c r="B131" s="2" t="str">
        <f t="shared" si="1"/>
        <v>qui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DATE(Configurações!$B$3,8,6)</f>
        <v>46240</v>
      </c>
      <c r="B132" s="2" t="str">
        <f t="shared" si="1"/>
        <v>qui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DATE(Configurações!$B$3,8,6)</f>
        <v>46240</v>
      </c>
      <c r="B133" s="2" t="str">
        <f t="shared" si="1"/>
        <v>qui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DATE(Configurações!$B$3,8,6)</f>
        <v>46240</v>
      </c>
      <c r="B134" s="2" t="str">
        <f t="shared" ref="B134:B197" si="2">TEXT(A134,"ddd")</f>
        <v>qui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DATE(Configurações!$B$3,8,6)</f>
        <v>46240</v>
      </c>
      <c r="B135" s="2" t="str">
        <f t="shared" si="2"/>
        <v>qui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DATE(Configurações!$B$3,8,6)</f>
        <v>46240</v>
      </c>
      <c r="B136" s="2" t="str">
        <f t="shared" si="2"/>
        <v>qui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DATE(Configurações!$B$3,8,6)</f>
        <v>46240</v>
      </c>
      <c r="B137" s="2" t="str">
        <f t="shared" si="2"/>
        <v>qui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DATE(Configurações!$B$3,8,6)</f>
        <v>46240</v>
      </c>
      <c r="B138" s="2" t="str">
        <f t="shared" si="2"/>
        <v>qui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DATE(Configurações!$B$3,8,6)</f>
        <v>46240</v>
      </c>
      <c r="B139" s="2" t="str">
        <f t="shared" si="2"/>
        <v>qui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DATE(Configurações!$B$3,8,6)</f>
        <v>46240</v>
      </c>
      <c r="B140" s="2" t="str">
        <f t="shared" si="2"/>
        <v>qui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DATE(Configurações!$B$3,8,6)</f>
        <v>46240</v>
      </c>
      <c r="B141" s="2" t="str">
        <f t="shared" si="2"/>
        <v>qui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DATE(Configurações!$B$3,8,6)</f>
        <v>46240</v>
      </c>
      <c r="B142" s="2" t="str">
        <f t="shared" si="2"/>
        <v>qui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DATE(Configurações!$B$3,8,6)</f>
        <v>46240</v>
      </c>
      <c r="B143" s="2" t="str">
        <f t="shared" si="2"/>
        <v>qui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DATE(Configurações!$B$3,8,7)</f>
        <v>46241</v>
      </c>
      <c r="B144" s="2" t="str">
        <f t="shared" si="2"/>
        <v>sex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DATE(Configurações!$B$3,8,7)</f>
        <v>46241</v>
      </c>
      <c r="B145" s="2" t="str">
        <f t="shared" si="2"/>
        <v>sex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DATE(Configurações!$B$3,8,7)</f>
        <v>46241</v>
      </c>
      <c r="B146" s="2" t="str">
        <f t="shared" si="2"/>
        <v>sex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DATE(Configurações!$B$3,8,7)</f>
        <v>46241</v>
      </c>
      <c r="B147" s="2" t="str">
        <f t="shared" si="2"/>
        <v>sex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DATE(Configurações!$B$3,8,7)</f>
        <v>46241</v>
      </c>
      <c r="B148" s="2" t="str">
        <f t="shared" si="2"/>
        <v>sex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DATE(Configurações!$B$3,8,7)</f>
        <v>46241</v>
      </c>
      <c r="B149" s="2" t="str">
        <f t="shared" si="2"/>
        <v>sex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DATE(Configurações!$B$3,8,7)</f>
        <v>46241</v>
      </c>
      <c r="B150" s="2" t="str">
        <f t="shared" si="2"/>
        <v>sex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DATE(Configurações!$B$3,8,7)</f>
        <v>46241</v>
      </c>
      <c r="B151" s="2" t="str">
        <f t="shared" si="2"/>
        <v>sex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DATE(Configurações!$B$3,8,7)</f>
        <v>46241</v>
      </c>
      <c r="B152" s="2" t="str">
        <f t="shared" si="2"/>
        <v>sex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DATE(Configurações!$B$3,8,7)</f>
        <v>46241</v>
      </c>
      <c r="B153" s="2" t="str">
        <f t="shared" si="2"/>
        <v>sex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DATE(Configurações!$B$3,8,7)</f>
        <v>46241</v>
      </c>
      <c r="B154" s="2" t="str">
        <f t="shared" si="2"/>
        <v>sex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DATE(Configurações!$B$3,8,7)</f>
        <v>46241</v>
      </c>
      <c r="B155" s="2" t="str">
        <f t="shared" si="2"/>
        <v>sex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DATE(Configurações!$B$3,8,7)</f>
        <v>46241</v>
      </c>
      <c r="B156" s="2" t="str">
        <f t="shared" si="2"/>
        <v>sex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DATE(Configurações!$B$3,8,7)</f>
        <v>46241</v>
      </c>
      <c r="B157" s="2" t="str">
        <f t="shared" si="2"/>
        <v>sex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DATE(Configurações!$B$3,8,7)</f>
        <v>46241</v>
      </c>
      <c r="B158" s="2" t="str">
        <f t="shared" si="2"/>
        <v>sex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DATE(Configurações!$B$3,8,7)</f>
        <v>46241</v>
      </c>
      <c r="B159" s="2" t="str">
        <f t="shared" si="2"/>
        <v>sex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DATE(Configurações!$B$3,8,7)</f>
        <v>46241</v>
      </c>
      <c r="B160" s="2" t="str">
        <f t="shared" si="2"/>
        <v>sex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DATE(Configurações!$B$3,8,7)</f>
        <v>46241</v>
      </c>
      <c r="B161" s="2" t="str">
        <f t="shared" si="2"/>
        <v>sex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DATE(Configurações!$B$3,8,7)</f>
        <v>46241</v>
      </c>
      <c r="B162" s="2" t="str">
        <f t="shared" si="2"/>
        <v>sex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DATE(Configurações!$B$3,8,7)</f>
        <v>46241</v>
      </c>
      <c r="B163" s="2" t="str">
        <f t="shared" si="2"/>
        <v>sex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DATE(Configurações!$B$3,8,7)</f>
        <v>46241</v>
      </c>
      <c r="B164" s="2" t="str">
        <f t="shared" si="2"/>
        <v>sex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DATE(Configurações!$B$3,8,7)</f>
        <v>46241</v>
      </c>
      <c r="B165" s="2" t="str">
        <f t="shared" si="2"/>
        <v>sex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DATE(Configurações!$B$3,8,7)</f>
        <v>46241</v>
      </c>
      <c r="B166" s="2" t="str">
        <f t="shared" si="2"/>
        <v>sex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DATE(Configurações!$B$3,8,8)</f>
        <v>46242</v>
      </c>
      <c r="B167" s="2" t="str">
        <f t="shared" si="2"/>
        <v>sáb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DATE(Configurações!$B$3,8,8)</f>
        <v>46242</v>
      </c>
      <c r="B168" s="2" t="str">
        <f t="shared" si="2"/>
        <v>sáb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DATE(Configurações!$B$3,8,8)</f>
        <v>46242</v>
      </c>
      <c r="B169" s="2" t="str">
        <f t="shared" si="2"/>
        <v>sáb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DATE(Configurações!$B$3,8,8)</f>
        <v>46242</v>
      </c>
      <c r="B170" s="2" t="str">
        <f t="shared" si="2"/>
        <v>sáb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DATE(Configurações!$B$3,8,8)</f>
        <v>46242</v>
      </c>
      <c r="B171" s="2" t="str">
        <f t="shared" si="2"/>
        <v>sáb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DATE(Configurações!$B$3,8,8)</f>
        <v>46242</v>
      </c>
      <c r="B172" s="2" t="str">
        <f t="shared" si="2"/>
        <v>sáb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DATE(Configurações!$B$3,8,8)</f>
        <v>46242</v>
      </c>
      <c r="B173" s="2" t="str">
        <f t="shared" si="2"/>
        <v>sáb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DATE(Configurações!$B$3,8,8)</f>
        <v>46242</v>
      </c>
      <c r="B174" s="2" t="str">
        <f t="shared" si="2"/>
        <v>sáb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DATE(Configurações!$B$3,8,8)</f>
        <v>46242</v>
      </c>
      <c r="B175" s="2" t="str">
        <f t="shared" si="2"/>
        <v>sáb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DATE(Configurações!$B$3,8,8)</f>
        <v>46242</v>
      </c>
      <c r="B176" s="2" t="str">
        <f t="shared" si="2"/>
        <v>sáb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DATE(Configurações!$B$3,8,8)</f>
        <v>46242</v>
      </c>
      <c r="B177" s="2" t="str">
        <f t="shared" si="2"/>
        <v>sáb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DATE(Configurações!$B$3,8,8)</f>
        <v>46242</v>
      </c>
      <c r="B178" s="2" t="str">
        <f t="shared" si="2"/>
        <v>sáb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DATE(Configurações!$B$3,8,8)</f>
        <v>46242</v>
      </c>
      <c r="B179" s="2" t="str">
        <f t="shared" si="2"/>
        <v>sáb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DATE(Configurações!$B$3,8,8)</f>
        <v>46242</v>
      </c>
      <c r="B180" s="2" t="str">
        <f t="shared" si="2"/>
        <v>sáb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DATE(Configurações!$B$3,8,8)</f>
        <v>46242</v>
      </c>
      <c r="B181" s="2" t="str">
        <f t="shared" si="2"/>
        <v>sáb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DATE(Configurações!$B$3,8,8)</f>
        <v>46242</v>
      </c>
      <c r="B182" s="2" t="str">
        <f t="shared" si="2"/>
        <v>sáb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DATE(Configurações!$B$3,8,8)</f>
        <v>46242</v>
      </c>
      <c r="B183" s="2" t="str">
        <f t="shared" si="2"/>
        <v>sáb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DATE(Configurações!$B$3,8,8)</f>
        <v>46242</v>
      </c>
      <c r="B184" s="2" t="str">
        <f t="shared" si="2"/>
        <v>sáb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DATE(Configurações!$B$3,8,8)</f>
        <v>46242</v>
      </c>
      <c r="B185" s="2" t="str">
        <f t="shared" si="2"/>
        <v>sáb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DATE(Configurações!$B$3,8,8)</f>
        <v>46242</v>
      </c>
      <c r="B186" s="2" t="str">
        <f t="shared" si="2"/>
        <v>sáb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DATE(Configurações!$B$3,8,8)</f>
        <v>46242</v>
      </c>
      <c r="B187" s="2" t="str">
        <f t="shared" si="2"/>
        <v>sáb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DATE(Configurações!$B$3,8,8)</f>
        <v>46242</v>
      </c>
      <c r="B188" s="2" t="str">
        <f t="shared" si="2"/>
        <v>sáb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DATE(Configurações!$B$3,8,8)</f>
        <v>46242</v>
      </c>
      <c r="B189" s="2" t="str">
        <f t="shared" si="2"/>
        <v>sáb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DATE(Configurações!$B$3,8,9)</f>
        <v>46243</v>
      </c>
      <c r="B190" s="2" t="str">
        <f t="shared" si="2"/>
        <v>dom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DATE(Configurações!$B$3,8,9)</f>
        <v>46243</v>
      </c>
      <c r="B191" s="2" t="str">
        <f t="shared" si="2"/>
        <v>dom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DATE(Configurações!$B$3,8,9)</f>
        <v>46243</v>
      </c>
      <c r="B192" s="2" t="str">
        <f t="shared" si="2"/>
        <v>dom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DATE(Configurações!$B$3,8,9)</f>
        <v>46243</v>
      </c>
      <c r="B193" s="2" t="str">
        <f t="shared" si="2"/>
        <v>dom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DATE(Configurações!$B$3,8,9)</f>
        <v>46243</v>
      </c>
      <c r="B194" s="2" t="str">
        <f t="shared" si="2"/>
        <v>dom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DATE(Configurações!$B$3,8,9)</f>
        <v>46243</v>
      </c>
      <c r="B195" s="2" t="str">
        <f t="shared" si="2"/>
        <v>dom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DATE(Configurações!$B$3,8,9)</f>
        <v>46243</v>
      </c>
      <c r="B196" s="2" t="str">
        <f t="shared" si="2"/>
        <v>dom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DATE(Configurações!$B$3,8,9)</f>
        <v>46243</v>
      </c>
      <c r="B197" s="2" t="str">
        <f t="shared" si="2"/>
        <v>dom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DATE(Configurações!$B$3,8,9)</f>
        <v>46243</v>
      </c>
      <c r="B198" s="2" t="str">
        <f t="shared" ref="B198:B261" si="3">TEXT(A198,"ddd")</f>
        <v>dom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DATE(Configurações!$B$3,8,9)</f>
        <v>46243</v>
      </c>
      <c r="B199" s="2" t="str">
        <f t="shared" si="3"/>
        <v>dom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DATE(Configurações!$B$3,8,9)</f>
        <v>46243</v>
      </c>
      <c r="B200" s="2" t="str">
        <f t="shared" si="3"/>
        <v>dom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DATE(Configurações!$B$3,8,9)</f>
        <v>46243</v>
      </c>
      <c r="B201" s="2" t="str">
        <f t="shared" si="3"/>
        <v>dom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DATE(Configurações!$B$3,8,9)</f>
        <v>46243</v>
      </c>
      <c r="B202" s="2" t="str">
        <f t="shared" si="3"/>
        <v>dom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DATE(Configurações!$B$3,8,9)</f>
        <v>46243</v>
      </c>
      <c r="B203" s="2" t="str">
        <f t="shared" si="3"/>
        <v>dom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DATE(Configurações!$B$3,8,9)</f>
        <v>46243</v>
      </c>
      <c r="B204" s="2" t="str">
        <f t="shared" si="3"/>
        <v>dom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DATE(Configurações!$B$3,8,9)</f>
        <v>46243</v>
      </c>
      <c r="B205" s="2" t="str">
        <f t="shared" si="3"/>
        <v>dom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DATE(Configurações!$B$3,8,9)</f>
        <v>46243</v>
      </c>
      <c r="B206" s="2" t="str">
        <f t="shared" si="3"/>
        <v>dom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DATE(Configurações!$B$3,8,9)</f>
        <v>46243</v>
      </c>
      <c r="B207" s="2" t="str">
        <f t="shared" si="3"/>
        <v>dom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DATE(Configurações!$B$3,8,9)</f>
        <v>46243</v>
      </c>
      <c r="B208" s="2" t="str">
        <f t="shared" si="3"/>
        <v>dom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DATE(Configurações!$B$3,8,9)</f>
        <v>46243</v>
      </c>
      <c r="B209" s="2" t="str">
        <f t="shared" si="3"/>
        <v>dom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DATE(Configurações!$B$3,8,9)</f>
        <v>46243</v>
      </c>
      <c r="B210" s="2" t="str">
        <f t="shared" si="3"/>
        <v>dom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DATE(Configurações!$B$3,8,9)</f>
        <v>46243</v>
      </c>
      <c r="B211" s="2" t="str">
        <f t="shared" si="3"/>
        <v>dom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DATE(Configurações!$B$3,8,9)</f>
        <v>46243</v>
      </c>
      <c r="B212" s="2" t="str">
        <f t="shared" si="3"/>
        <v>dom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DATE(Configurações!$B$3,8,10)</f>
        <v>46244</v>
      </c>
      <c r="B213" s="2" t="str">
        <f t="shared" si="3"/>
        <v>seg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DATE(Configurações!$B$3,8,10)</f>
        <v>46244</v>
      </c>
      <c r="B214" s="2" t="str">
        <f t="shared" si="3"/>
        <v>seg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DATE(Configurações!$B$3,8,10)</f>
        <v>46244</v>
      </c>
      <c r="B215" s="2" t="str">
        <f t="shared" si="3"/>
        <v>seg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DATE(Configurações!$B$3,8,10)</f>
        <v>46244</v>
      </c>
      <c r="B216" s="2" t="str">
        <f t="shared" si="3"/>
        <v>seg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DATE(Configurações!$B$3,8,10)</f>
        <v>46244</v>
      </c>
      <c r="B217" s="2" t="str">
        <f t="shared" si="3"/>
        <v>seg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DATE(Configurações!$B$3,8,10)</f>
        <v>46244</v>
      </c>
      <c r="B218" s="2" t="str">
        <f t="shared" si="3"/>
        <v>seg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DATE(Configurações!$B$3,8,10)</f>
        <v>46244</v>
      </c>
      <c r="B219" s="2" t="str">
        <f t="shared" si="3"/>
        <v>seg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DATE(Configurações!$B$3,8,10)</f>
        <v>46244</v>
      </c>
      <c r="B220" s="2" t="str">
        <f t="shared" si="3"/>
        <v>seg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DATE(Configurações!$B$3,8,10)</f>
        <v>46244</v>
      </c>
      <c r="B221" s="2" t="str">
        <f t="shared" si="3"/>
        <v>seg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DATE(Configurações!$B$3,8,10)</f>
        <v>46244</v>
      </c>
      <c r="B222" s="2" t="str">
        <f t="shared" si="3"/>
        <v>seg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DATE(Configurações!$B$3,8,10)</f>
        <v>46244</v>
      </c>
      <c r="B223" s="2" t="str">
        <f t="shared" si="3"/>
        <v>seg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DATE(Configurações!$B$3,8,10)</f>
        <v>46244</v>
      </c>
      <c r="B224" s="2" t="str">
        <f t="shared" si="3"/>
        <v>seg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DATE(Configurações!$B$3,8,10)</f>
        <v>46244</v>
      </c>
      <c r="B225" s="2" t="str">
        <f t="shared" si="3"/>
        <v>seg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DATE(Configurações!$B$3,8,10)</f>
        <v>46244</v>
      </c>
      <c r="B226" s="2" t="str">
        <f t="shared" si="3"/>
        <v>seg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DATE(Configurações!$B$3,8,10)</f>
        <v>46244</v>
      </c>
      <c r="B227" s="2" t="str">
        <f t="shared" si="3"/>
        <v>seg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DATE(Configurações!$B$3,8,10)</f>
        <v>46244</v>
      </c>
      <c r="B228" s="2" t="str">
        <f t="shared" si="3"/>
        <v>seg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DATE(Configurações!$B$3,8,10)</f>
        <v>46244</v>
      </c>
      <c r="B229" s="2" t="str">
        <f t="shared" si="3"/>
        <v>seg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DATE(Configurações!$B$3,8,10)</f>
        <v>46244</v>
      </c>
      <c r="B230" s="2" t="str">
        <f t="shared" si="3"/>
        <v>seg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DATE(Configurações!$B$3,8,10)</f>
        <v>46244</v>
      </c>
      <c r="B231" s="2" t="str">
        <f t="shared" si="3"/>
        <v>seg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DATE(Configurações!$B$3,8,10)</f>
        <v>46244</v>
      </c>
      <c r="B232" s="2" t="str">
        <f t="shared" si="3"/>
        <v>seg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DATE(Configurações!$B$3,8,10)</f>
        <v>46244</v>
      </c>
      <c r="B233" s="2" t="str">
        <f t="shared" si="3"/>
        <v>seg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DATE(Configurações!$B$3,8,10)</f>
        <v>46244</v>
      </c>
      <c r="B234" s="2" t="str">
        <f t="shared" si="3"/>
        <v>seg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DATE(Configurações!$B$3,8,10)</f>
        <v>46244</v>
      </c>
      <c r="B235" s="2" t="str">
        <f t="shared" si="3"/>
        <v>seg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DATE(Configurações!$B$3,8,11)</f>
        <v>46245</v>
      </c>
      <c r="B236" s="2" t="str">
        <f t="shared" si="3"/>
        <v>ter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DATE(Configurações!$B$3,8,11)</f>
        <v>46245</v>
      </c>
      <c r="B237" s="2" t="str">
        <f t="shared" si="3"/>
        <v>ter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DATE(Configurações!$B$3,8,11)</f>
        <v>46245</v>
      </c>
      <c r="B238" s="2" t="str">
        <f t="shared" si="3"/>
        <v>ter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DATE(Configurações!$B$3,8,11)</f>
        <v>46245</v>
      </c>
      <c r="B239" s="2" t="str">
        <f t="shared" si="3"/>
        <v>ter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DATE(Configurações!$B$3,8,11)</f>
        <v>46245</v>
      </c>
      <c r="B240" s="2" t="str">
        <f t="shared" si="3"/>
        <v>ter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DATE(Configurações!$B$3,8,11)</f>
        <v>46245</v>
      </c>
      <c r="B241" s="2" t="str">
        <f t="shared" si="3"/>
        <v>ter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DATE(Configurações!$B$3,8,11)</f>
        <v>46245</v>
      </c>
      <c r="B242" s="2" t="str">
        <f t="shared" si="3"/>
        <v>ter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DATE(Configurações!$B$3,8,11)</f>
        <v>46245</v>
      </c>
      <c r="B243" s="2" t="str">
        <f t="shared" si="3"/>
        <v>ter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DATE(Configurações!$B$3,8,11)</f>
        <v>46245</v>
      </c>
      <c r="B244" s="2" t="str">
        <f t="shared" si="3"/>
        <v>ter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DATE(Configurações!$B$3,8,11)</f>
        <v>46245</v>
      </c>
      <c r="B245" s="2" t="str">
        <f t="shared" si="3"/>
        <v>ter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DATE(Configurações!$B$3,8,11)</f>
        <v>46245</v>
      </c>
      <c r="B246" s="2" t="str">
        <f t="shared" si="3"/>
        <v>ter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DATE(Configurações!$B$3,8,11)</f>
        <v>46245</v>
      </c>
      <c r="B247" s="2" t="str">
        <f t="shared" si="3"/>
        <v>ter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DATE(Configurações!$B$3,8,11)</f>
        <v>46245</v>
      </c>
      <c r="B248" s="2" t="str">
        <f t="shared" si="3"/>
        <v>ter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DATE(Configurações!$B$3,8,11)</f>
        <v>46245</v>
      </c>
      <c r="B249" s="2" t="str">
        <f t="shared" si="3"/>
        <v>ter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DATE(Configurações!$B$3,8,11)</f>
        <v>46245</v>
      </c>
      <c r="B250" s="2" t="str">
        <f t="shared" si="3"/>
        <v>ter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DATE(Configurações!$B$3,8,11)</f>
        <v>46245</v>
      </c>
      <c r="B251" s="2" t="str">
        <f t="shared" si="3"/>
        <v>ter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DATE(Configurações!$B$3,8,11)</f>
        <v>46245</v>
      </c>
      <c r="B252" s="2" t="str">
        <f t="shared" si="3"/>
        <v>ter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DATE(Configurações!$B$3,8,11)</f>
        <v>46245</v>
      </c>
      <c r="B253" s="2" t="str">
        <f t="shared" si="3"/>
        <v>ter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DATE(Configurações!$B$3,8,11)</f>
        <v>46245</v>
      </c>
      <c r="B254" s="2" t="str">
        <f t="shared" si="3"/>
        <v>ter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DATE(Configurações!$B$3,8,11)</f>
        <v>46245</v>
      </c>
      <c r="B255" s="2" t="str">
        <f t="shared" si="3"/>
        <v>ter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DATE(Configurações!$B$3,8,11)</f>
        <v>46245</v>
      </c>
      <c r="B256" s="2" t="str">
        <f t="shared" si="3"/>
        <v>ter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DATE(Configurações!$B$3,8,11)</f>
        <v>46245</v>
      </c>
      <c r="B257" s="2" t="str">
        <f t="shared" si="3"/>
        <v>ter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DATE(Configurações!$B$3,8,11)</f>
        <v>46245</v>
      </c>
      <c r="B258" s="2" t="str">
        <f t="shared" si="3"/>
        <v>ter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DATE(Configurações!$B$3,8,12)</f>
        <v>46246</v>
      </c>
      <c r="B259" s="2" t="str">
        <f t="shared" si="3"/>
        <v>qua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DATE(Configurações!$B$3,8,12)</f>
        <v>46246</v>
      </c>
      <c r="B260" s="2" t="str">
        <f t="shared" si="3"/>
        <v>qua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DATE(Configurações!$B$3,8,12)</f>
        <v>46246</v>
      </c>
      <c r="B261" s="2" t="str">
        <f t="shared" si="3"/>
        <v>qua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DATE(Configurações!$B$3,8,12)</f>
        <v>46246</v>
      </c>
      <c r="B262" s="2" t="str">
        <f t="shared" ref="B262:B325" si="4">TEXT(A262,"ddd")</f>
        <v>qua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DATE(Configurações!$B$3,8,12)</f>
        <v>46246</v>
      </c>
      <c r="B263" s="2" t="str">
        <f t="shared" si="4"/>
        <v>qua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DATE(Configurações!$B$3,8,12)</f>
        <v>46246</v>
      </c>
      <c r="B264" s="2" t="str">
        <f t="shared" si="4"/>
        <v>qua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DATE(Configurações!$B$3,8,12)</f>
        <v>46246</v>
      </c>
      <c r="B265" s="2" t="str">
        <f t="shared" si="4"/>
        <v>qua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DATE(Configurações!$B$3,8,12)</f>
        <v>46246</v>
      </c>
      <c r="B266" s="2" t="str">
        <f t="shared" si="4"/>
        <v>qua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DATE(Configurações!$B$3,8,12)</f>
        <v>46246</v>
      </c>
      <c r="B267" s="2" t="str">
        <f t="shared" si="4"/>
        <v>qua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DATE(Configurações!$B$3,8,12)</f>
        <v>46246</v>
      </c>
      <c r="B268" s="2" t="str">
        <f t="shared" si="4"/>
        <v>qua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DATE(Configurações!$B$3,8,12)</f>
        <v>46246</v>
      </c>
      <c r="B269" s="2" t="str">
        <f t="shared" si="4"/>
        <v>qua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DATE(Configurações!$B$3,8,12)</f>
        <v>46246</v>
      </c>
      <c r="B270" s="2" t="str">
        <f t="shared" si="4"/>
        <v>qua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DATE(Configurações!$B$3,8,12)</f>
        <v>46246</v>
      </c>
      <c r="B271" s="2" t="str">
        <f t="shared" si="4"/>
        <v>qua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DATE(Configurações!$B$3,8,12)</f>
        <v>46246</v>
      </c>
      <c r="B272" s="2" t="str">
        <f t="shared" si="4"/>
        <v>qua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DATE(Configurações!$B$3,8,12)</f>
        <v>46246</v>
      </c>
      <c r="B273" s="2" t="str">
        <f t="shared" si="4"/>
        <v>qua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DATE(Configurações!$B$3,8,12)</f>
        <v>46246</v>
      </c>
      <c r="B274" s="2" t="str">
        <f t="shared" si="4"/>
        <v>qua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DATE(Configurações!$B$3,8,12)</f>
        <v>46246</v>
      </c>
      <c r="B275" s="2" t="str">
        <f t="shared" si="4"/>
        <v>qua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DATE(Configurações!$B$3,8,12)</f>
        <v>46246</v>
      </c>
      <c r="B276" s="2" t="str">
        <f t="shared" si="4"/>
        <v>qua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DATE(Configurações!$B$3,8,12)</f>
        <v>46246</v>
      </c>
      <c r="B277" s="2" t="str">
        <f t="shared" si="4"/>
        <v>qua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DATE(Configurações!$B$3,8,12)</f>
        <v>46246</v>
      </c>
      <c r="B278" s="2" t="str">
        <f t="shared" si="4"/>
        <v>qua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DATE(Configurações!$B$3,8,12)</f>
        <v>46246</v>
      </c>
      <c r="B279" s="2" t="str">
        <f t="shared" si="4"/>
        <v>qua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DATE(Configurações!$B$3,8,12)</f>
        <v>46246</v>
      </c>
      <c r="B280" s="2" t="str">
        <f t="shared" si="4"/>
        <v>qua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DATE(Configurações!$B$3,8,12)</f>
        <v>46246</v>
      </c>
      <c r="B281" s="2" t="str">
        <f t="shared" si="4"/>
        <v>qua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DATE(Configurações!$B$3,8,13)</f>
        <v>46247</v>
      </c>
      <c r="B282" s="2" t="str">
        <f t="shared" si="4"/>
        <v>qui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DATE(Configurações!$B$3,8,13)</f>
        <v>46247</v>
      </c>
      <c r="B283" s="2" t="str">
        <f t="shared" si="4"/>
        <v>qui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DATE(Configurações!$B$3,8,13)</f>
        <v>46247</v>
      </c>
      <c r="B284" s="2" t="str">
        <f t="shared" si="4"/>
        <v>qui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DATE(Configurações!$B$3,8,13)</f>
        <v>46247</v>
      </c>
      <c r="B285" s="2" t="str">
        <f t="shared" si="4"/>
        <v>qui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DATE(Configurações!$B$3,8,13)</f>
        <v>46247</v>
      </c>
      <c r="B286" s="2" t="str">
        <f t="shared" si="4"/>
        <v>qui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DATE(Configurações!$B$3,8,13)</f>
        <v>46247</v>
      </c>
      <c r="B287" s="2" t="str">
        <f t="shared" si="4"/>
        <v>qui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DATE(Configurações!$B$3,8,13)</f>
        <v>46247</v>
      </c>
      <c r="B288" s="2" t="str">
        <f t="shared" si="4"/>
        <v>qui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DATE(Configurações!$B$3,8,13)</f>
        <v>46247</v>
      </c>
      <c r="B289" s="2" t="str">
        <f t="shared" si="4"/>
        <v>qui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DATE(Configurações!$B$3,8,13)</f>
        <v>46247</v>
      </c>
      <c r="B290" s="2" t="str">
        <f t="shared" si="4"/>
        <v>qui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DATE(Configurações!$B$3,8,13)</f>
        <v>46247</v>
      </c>
      <c r="B291" s="2" t="str">
        <f t="shared" si="4"/>
        <v>qui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DATE(Configurações!$B$3,8,13)</f>
        <v>46247</v>
      </c>
      <c r="B292" s="2" t="str">
        <f t="shared" si="4"/>
        <v>qui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DATE(Configurações!$B$3,8,13)</f>
        <v>46247</v>
      </c>
      <c r="B293" s="2" t="str">
        <f t="shared" si="4"/>
        <v>qui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DATE(Configurações!$B$3,8,13)</f>
        <v>46247</v>
      </c>
      <c r="B294" s="2" t="str">
        <f t="shared" si="4"/>
        <v>qui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DATE(Configurações!$B$3,8,13)</f>
        <v>46247</v>
      </c>
      <c r="B295" s="2" t="str">
        <f t="shared" si="4"/>
        <v>qui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DATE(Configurações!$B$3,8,13)</f>
        <v>46247</v>
      </c>
      <c r="B296" s="2" t="str">
        <f t="shared" si="4"/>
        <v>qui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DATE(Configurações!$B$3,8,13)</f>
        <v>46247</v>
      </c>
      <c r="B297" s="2" t="str">
        <f t="shared" si="4"/>
        <v>qui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DATE(Configurações!$B$3,8,13)</f>
        <v>46247</v>
      </c>
      <c r="B298" s="2" t="str">
        <f t="shared" si="4"/>
        <v>qui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DATE(Configurações!$B$3,8,13)</f>
        <v>46247</v>
      </c>
      <c r="B299" s="2" t="str">
        <f t="shared" si="4"/>
        <v>qui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DATE(Configurações!$B$3,8,13)</f>
        <v>46247</v>
      </c>
      <c r="B300" s="2" t="str">
        <f t="shared" si="4"/>
        <v>qui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DATE(Configurações!$B$3,8,13)</f>
        <v>46247</v>
      </c>
      <c r="B301" s="2" t="str">
        <f t="shared" si="4"/>
        <v>qui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DATE(Configurações!$B$3,8,13)</f>
        <v>46247</v>
      </c>
      <c r="B302" s="2" t="str">
        <f t="shared" si="4"/>
        <v>qui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DATE(Configurações!$B$3,8,13)</f>
        <v>46247</v>
      </c>
      <c r="B303" s="2" t="str">
        <f t="shared" si="4"/>
        <v>qui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DATE(Configurações!$B$3,8,13)</f>
        <v>46247</v>
      </c>
      <c r="B304" s="2" t="str">
        <f t="shared" si="4"/>
        <v>qui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DATE(Configurações!$B$3,8,14)</f>
        <v>46248</v>
      </c>
      <c r="B305" s="2" t="str">
        <f t="shared" si="4"/>
        <v>sex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DATE(Configurações!$B$3,8,14)</f>
        <v>46248</v>
      </c>
      <c r="B306" s="2" t="str">
        <f t="shared" si="4"/>
        <v>sex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DATE(Configurações!$B$3,8,14)</f>
        <v>46248</v>
      </c>
      <c r="B307" s="2" t="str">
        <f t="shared" si="4"/>
        <v>sex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DATE(Configurações!$B$3,8,14)</f>
        <v>46248</v>
      </c>
      <c r="B308" s="2" t="str">
        <f t="shared" si="4"/>
        <v>sex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DATE(Configurações!$B$3,8,14)</f>
        <v>46248</v>
      </c>
      <c r="B309" s="2" t="str">
        <f t="shared" si="4"/>
        <v>sex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DATE(Configurações!$B$3,8,14)</f>
        <v>46248</v>
      </c>
      <c r="B310" s="2" t="str">
        <f t="shared" si="4"/>
        <v>sex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DATE(Configurações!$B$3,8,14)</f>
        <v>46248</v>
      </c>
      <c r="B311" s="2" t="str">
        <f t="shared" si="4"/>
        <v>sex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DATE(Configurações!$B$3,8,14)</f>
        <v>46248</v>
      </c>
      <c r="B312" s="2" t="str">
        <f t="shared" si="4"/>
        <v>sex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DATE(Configurações!$B$3,8,14)</f>
        <v>46248</v>
      </c>
      <c r="B313" s="2" t="str">
        <f t="shared" si="4"/>
        <v>sex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DATE(Configurações!$B$3,8,14)</f>
        <v>46248</v>
      </c>
      <c r="B314" s="2" t="str">
        <f t="shared" si="4"/>
        <v>sex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DATE(Configurações!$B$3,8,14)</f>
        <v>46248</v>
      </c>
      <c r="B315" s="2" t="str">
        <f t="shared" si="4"/>
        <v>sex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DATE(Configurações!$B$3,8,14)</f>
        <v>46248</v>
      </c>
      <c r="B316" s="2" t="str">
        <f t="shared" si="4"/>
        <v>sex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DATE(Configurações!$B$3,8,14)</f>
        <v>46248</v>
      </c>
      <c r="B317" s="2" t="str">
        <f t="shared" si="4"/>
        <v>sex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DATE(Configurações!$B$3,8,14)</f>
        <v>46248</v>
      </c>
      <c r="B318" s="2" t="str">
        <f t="shared" si="4"/>
        <v>sex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DATE(Configurações!$B$3,8,14)</f>
        <v>46248</v>
      </c>
      <c r="B319" s="2" t="str">
        <f t="shared" si="4"/>
        <v>sex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DATE(Configurações!$B$3,8,14)</f>
        <v>46248</v>
      </c>
      <c r="B320" s="2" t="str">
        <f t="shared" si="4"/>
        <v>sex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DATE(Configurações!$B$3,8,14)</f>
        <v>46248</v>
      </c>
      <c r="B321" s="2" t="str">
        <f t="shared" si="4"/>
        <v>sex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DATE(Configurações!$B$3,8,14)</f>
        <v>46248</v>
      </c>
      <c r="B322" s="2" t="str">
        <f t="shared" si="4"/>
        <v>sex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DATE(Configurações!$B$3,8,14)</f>
        <v>46248</v>
      </c>
      <c r="B323" s="2" t="str">
        <f t="shared" si="4"/>
        <v>sex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DATE(Configurações!$B$3,8,14)</f>
        <v>46248</v>
      </c>
      <c r="B324" s="2" t="str">
        <f t="shared" si="4"/>
        <v>sex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DATE(Configurações!$B$3,8,14)</f>
        <v>46248</v>
      </c>
      <c r="B325" s="2" t="str">
        <f t="shared" si="4"/>
        <v>sex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DATE(Configurações!$B$3,8,14)</f>
        <v>46248</v>
      </c>
      <c r="B326" s="2" t="str">
        <f t="shared" ref="B326:B389" si="5">TEXT(A326,"ddd")</f>
        <v>sex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DATE(Configurações!$B$3,8,14)</f>
        <v>46248</v>
      </c>
      <c r="B327" s="2" t="str">
        <f t="shared" si="5"/>
        <v>sex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DATE(Configurações!$B$3,8,15)</f>
        <v>46249</v>
      </c>
      <c r="B328" s="2" t="str">
        <f t="shared" si="5"/>
        <v>sáb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DATE(Configurações!$B$3,8,15)</f>
        <v>46249</v>
      </c>
      <c r="B329" s="2" t="str">
        <f t="shared" si="5"/>
        <v>sáb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DATE(Configurações!$B$3,8,15)</f>
        <v>46249</v>
      </c>
      <c r="B330" s="2" t="str">
        <f t="shared" si="5"/>
        <v>sáb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DATE(Configurações!$B$3,8,15)</f>
        <v>46249</v>
      </c>
      <c r="B331" s="2" t="str">
        <f t="shared" si="5"/>
        <v>sáb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DATE(Configurações!$B$3,8,15)</f>
        <v>46249</v>
      </c>
      <c r="B332" s="2" t="str">
        <f t="shared" si="5"/>
        <v>sáb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DATE(Configurações!$B$3,8,15)</f>
        <v>46249</v>
      </c>
      <c r="B333" s="2" t="str">
        <f t="shared" si="5"/>
        <v>sáb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DATE(Configurações!$B$3,8,15)</f>
        <v>46249</v>
      </c>
      <c r="B334" s="2" t="str">
        <f t="shared" si="5"/>
        <v>sáb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DATE(Configurações!$B$3,8,15)</f>
        <v>46249</v>
      </c>
      <c r="B335" s="2" t="str">
        <f t="shared" si="5"/>
        <v>sáb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DATE(Configurações!$B$3,8,15)</f>
        <v>46249</v>
      </c>
      <c r="B336" s="2" t="str">
        <f t="shared" si="5"/>
        <v>sáb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DATE(Configurações!$B$3,8,15)</f>
        <v>46249</v>
      </c>
      <c r="B337" s="2" t="str">
        <f t="shared" si="5"/>
        <v>sáb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DATE(Configurações!$B$3,8,15)</f>
        <v>46249</v>
      </c>
      <c r="B338" s="2" t="str">
        <f t="shared" si="5"/>
        <v>sáb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DATE(Configurações!$B$3,8,15)</f>
        <v>46249</v>
      </c>
      <c r="B339" s="2" t="str">
        <f t="shared" si="5"/>
        <v>sáb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DATE(Configurações!$B$3,8,15)</f>
        <v>46249</v>
      </c>
      <c r="B340" s="2" t="str">
        <f t="shared" si="5"/>
        <v>sáb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DATE(Configurações!$B$3,8,15)</f>
        <v>46249</v>
      </c>
      <c r="B341" s="2" t="str">
        <f t="shared" si="5"/>
        <v>sáb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DATE(Configurações!$B$3,8,15)</f>
        <v>46249</v>
      </c>
      <c r="B342" s="2" t="str">
        <f t="shared" si="5"/>
        <v>sáb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DATE(Configurações!$B$3,8,15)</f>
        <v>46249</v>
      </c>
      <c r="B343" s="2" t="str">
        <f t="shared" si="5"/>
        <v>sáb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DATE(Configurações!$B$3,8,15)</f>
        <v>46249</v>
      </c>
      <c r="B344" s="2" t="str">
        <f t="shared" si="5"/>
        <v>sáb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DATE(Configurações!$B$3,8,15)</f>
        <v>46249</v>
      </c>
      <c r="B345" s="2" t="str">
        <f t="shared" si="5"/>
        <v>sáb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DATE(Configurações!$B$3,8,15)</f>
        <v>46249</v>
      </c>
      <c r="B346" s="2" t="str">
        <f t="shared" si="5"/>
        <v>sáb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DATE(Configurações!$B$3,8,15)</f>
        <v>46249</v>
      </c>
      <c r="B347" s="2" t="str">
        <f t="shared" si="5"/>
        <v>sáb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DATE(Configurações!$B$3,8,15)</f>
        <v>46249</v>
      </c>
      <c r="B348" s="2" t="str">
        <f t="shared" si="5"/>
        <v>sáb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DATE(Configurações!$B$3,8,15)</f>
        <v>46249</v>
      </c>
      <c r="B349" s="2" t="str">
        <f t="shared" si="5"/>
        <v>sáb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DATE(Configurações!$B$3,8,15)</f>
        <v>46249</v>
      </c>
      <c r="B350" s="2" t="str">
        <f t="shared" si="5"/>
        <v>sáb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DATE(Configurações!$B$3,8,16)</f>
        <v>46250</v>
      </c>
      <c r="B351" s="2" t="str">
        <f t="shared" si="5"/>
        <v>dom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DATE(Configurações!$B$3,8,16)</f>
        <v>46250</v>
      </c>
      <c r="B352" s="2" t="str">
        <f t="shared" si="5"/>
        <v>dom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DATE(Configurações!$B$3,8,16)</f>
        <v>46250</v>
      </c>
      <c r="B353" s="2" t="str">
        <f t="shared" si="5"/>
        <v>dom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DATE(Configurações!$B$3,8,16)</f>
        <v>46250</v>
      </c>
      <c r="B354" s="2" t="str">
        <f t="shared" si="5"/>
        <v>dom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DATE(Configurações!$B$3,8,16)</f>
        <v>46250</v>
      </c>
      <c r="B355" s="2" t="str">
        <f t="shared" si="5"/>
        <v>dom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DATE(Configurações!$B$3,8,16)</f>
        <v>46250</v>
      </c>
      <c r="B356" s="2" t="str">
        <f t="shared" si="5"/>
        <v>dom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DATE(Configurações!$B$3,8,16)</f>
        <v>46250</v>
      </c>
      <c r="B357" s="2" t="str">
        <f t="shared" si="5"/>
        <v>dom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DATE(Configurações!$B$3,8,16)</f>
        <v>46250</v>
      </c>
      <c r="B358" s="2" t="str">
        <f t="shared" si="5"/>
        <v>dom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DATE(Configurações!$B$3,8,16)</f>
        <v>46250</v>
      </c>
      <c r="B359" s="2" t="str">
        <f t="shared" si="5"/>
        <v>dom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DATE(Configurações!$B$3,8,16)</f>
        <v>46250</v>
      </c>
      <c r="B360" s="2" t="str">
        <f t="shared" si="5"/>
        <v>dom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DATE(Configurações!$B$3,8,16)</f>
        <v>46250</v>
      </c>
      <c r="B361" s="2" t="str">
        <f t="shared" si="5"/>
        <v>dom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DATE(Configurações!$B$3,8,16)</f>
        <v>46250</v>
      </c>
      <c r="B362" s="2" t="str">
        <f t="shared" si="5"/>
        <v>dom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DATE(Configurações!$B$3,8,16)</f>
        <v>46250</v>
      </c>
      <c r="B363" s="2" t="str">
        <f t="shared" si="5"/>
        <v>dom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DATE(Configurações!$B$3,8,16)</f>
        <v>46250</v>
      </c>
      <c r="B364" s="2" t="str">
        <f t="shared" si="5"/>
        <v>dom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DATE(Configurações!$B$3,8,16)</f>
        <v>46250</v>
      </c>
      <c r="B365" s="2" t="str">
        <f t="shared" si="5"/>
        <v>dom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DATE(Configurações!$B$3,8,16)</f>
        <v>46250</v>
      </c>
      <c r="B366" s="2" t="str">
        <f t="shared" si="5"/>
        <v>dom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DATE(Configurações!$B$3,8,16)</f>
        <v>46250</v>
      </c>
      <c r="B367" s="2" t="str">
        <f t="shared" si="5"/>
        <v>dom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DATE(Configurações!$B$3,8,16)</f>
        <v>46250</v>
      </c>
      <c r="B368" s="2" t="str">
        <f t="shared" si="5"/>
        <v>dom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DATE(Configurações!$B$3,8,16)</f>
        <v>46250</v>
      </c>
      <c r="B369" s="2" t="str">
        <f t="shared" si="5"/>
        <v>dom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DATE(Configurações!$B$3,8,16)</f>
        <v>46250</v>
      </c>
      <c r="B370" s="2" t="str">
        <f t="shared" si="5"/>
        <v>dom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DATE(Configurações!$B$3,8,16)</f>
        <v>46250</v>
      </c>
      <c r="B371" s="2" t="str">
        <f t="shared" si="5"/>
        <v>dom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DATE(Configurações!$B$3,8,16)</f>
        <v>46250</v>
      </c>
      <c r="B372" s="2" t="str">
        <f t="shared" si="5"/>
        <v>dom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DATE(Configurações!$B$3,8,16)</f>
        <v>46250</v>
      </c>
      <c r="B373" s="2" t="str">
        <f t="shared" si="5"/>
        <v>dom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DATE(Configurações!$B$3,8,17)</f>
        <v>46251</v>
      </c>
      <c r="B374" s="2" t="str">
        <f t="shared" si="5"/>
        <v>seg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DATE(Configurações!$B$3,8,17)</f>
        <v>46251</v>
      </c>
      <c r="B375" s="2" t="str">
        <f t="shared" si="5"/>
        <v>seg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DATE(Configurações!$B$3,8,17)</f>
        <v>46251</v>
      </c>
      <c r="B376" s="2" t="str">
        <f t="shared" si="5"/>
        <v>seg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DATE(Configurações!$B$3,8,17)</f>
        <v>46251</v>
      </c>
      <c r="B377" s="2" t="str">
        <f t="shared" si="5"/>
        <v>seg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DATE(Configurações!$B$3,8,17)</f>
        <v>46251</v>
      </c>
      <c r="B378" s="2" t="str">
        <f t="shared" si="5"/>
        <v>seg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DATE(Configurações!$B$3,8,17)</f>
        <v>46251</v>
      </c>
      <c r="B379" s="2" t="str">
        <f t="shared" si="5"/>
        <v>seg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DATE(Configurações!$B$3,8,17)</f>
        <v>46251</v>
      </c>
      <c r="B380" s="2" t="str">
        <f t="shared" si="5"/>
        <v>seg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DATE(Configurações!$B$3,8,17)</f>
        <v>46251</v>
      </c>
      <c r="B381" s="2" t="str">
        <f t="shared" si="5"/>
        <v>seg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DATE(Configurações!$B$3,8,17)</f>
        <v>46251</v>
      </c>
      <c r="B382" s="2" t="str">
        <f t="shared" si="5"/>
        <v>seg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DATE(Configurações!$B$3,8,17)</f>
        <v>46251</v>
      </c>
      <c r="B383" s="2" t="str">
        <f t="shared" si="5"/>
        <v>seg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DATE(Configurações!$B$3,8,17)</f>
        <v>46251</v>
      </c>
      <c r="B384" s="2" t="str">
        <f t="shared" si="5"/>
        <v>seg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DATE(Configurações!$B$3,8,17)</f>
        <v>46251</v>
      </c>
      <c r="B385" s="2" t="str">
        <f t="shared" si="5"/>
        <v>seg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DATE(Configurações!$B$3,8,17)</f>
        <v>46251</v>
      </c>
      <c r="B386" s="2" t="str">
        <f t="shared" si="5"/>
        <v>seg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DATE(Configurações!$B$3,8,17)</f>
        <v>46251</v>
      </c>
      <c r="B387" s="2" t="str">
        <f t="shared" si="5"/>
        <v>seg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DATE(Configurações!$B$3,8,17)</f>
        <v>46251</v>
      </c>
      <c r="B388" s="2" t="str">
        <f t="shared" si="5"/>
        <v>seg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DATE(Configurações!$B$3,8,17)</f>
        <v>46251</v>
      </c>
      <c r="B389" s="2" t="str">
        <f t="shared" si="5"/>
        <v>seg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DATE(Configurações!$B$3,8,17)</f>
        <v>46251</v>
      </c>
      <c r="B390" s="2" t="str">
        <f t="shared" ref="B390:B453" si="6">TEXT(A390,"ddd")</f>
        <v>seg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DATE(Configurações!$B$3,8,17)</f>
        <v>46251</v>
      </c>
      <c r="B391" s="2" t="str">
        <f t="shared" si="6"/>
        <v>seg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DATE(Configurações!$B$3,8,17)</f>
        <v>46251</v>
      </c>
      <c r="B392" s="2" t="str">
        <f t="shared" si="6"/>
        <v>seg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DATE(Configurações!$B$3,8,17)</f>
        <v>46251</v>
      </c>
      <c r="B393" s="2" t="str">
        <f t="shared" si="6"/>
        <v>seg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DATE(Configurações!$B$3,8,17)</f>
        <v>46251</v>
      </c>
      <c r="B394" s="2" t="str">
        <f t="shared" si="6"/>
        <v>seg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DATE(Configurações!$B$3,8,17)</f>
        <v>46251</v>
      </c>
      <c r="B395" s="2" t="str">
        <f t="shared" si="6"/>
        <v>seg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DATE(Configurações!$B$3,8,17)</f>
        <v>46251</v>
      </c>
      <c r="B396" s="2" t="str">
        <f t="shared" si="6"/>
        <v>seg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DATE(Configurações!$B$3,8,18)</f>
        <v>46252</v>
      </c>
      <c r="B397" s="2" t="str">
        <f t="shared" si="6"/>
        <v>ter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DATE(Configurações!$B$3,8,18)</f>
        <v>46252</v>
      </c>
      <c r="B398" s="2" t="str">
        <f t="shared" si="6"/>
        <v>ter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DATE(Configurações!$B$3,8,18)</f>
        <v>46252</v>
      </c>
      <c r="B399" s="2" t="str">
        <f t="shared" si="6"/>
        <v>ter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DATE(Configurações!$B$3,8,18)</f>
        <v>46252</v>
      </c>
      <c r="B400" s="2" t="str">
        <f t="shared" si="6"/>
        <v>ter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DATE(Configurações!$B$3,8,18)</f>
        <v>46252</v>
      </c>
      <c r="B401" s="2" t="str">
        <f t="shared" si="6"/>
        <v>ter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DATE(Configurações!$B$3,8,18)</f>
        <v>46252</v>
      </c>
      <c r="B402" s="2" t="str">
        <f t="shared" si="6"/>
        <v>ter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DATE(Configurações!$B$3,8,18)</f>
        <v>46252</v>
      </c>
      <c r="B403" s="2" t="str">
        <f t="shared" si="6"/>
        <v>ter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DATE(Configurações!$B$3,8,18)</f>
        <v>46252</v>
      </c>
      <c r="B404" s="2" t="str">
        <f t="shared" si="6"/>
        <v>ter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DATE(Configurações!$B$3,8,18)</f>
        <v>46252</v>
      </c>
      <c r="B405" s="2" t="str">
        <f t="shared" si="6"/>
        <v>ter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DATE(Configurações!$B$3,8,18)</f>
        <v>46252</v>
      </c>
      <c r="B406" s="2" t="str">
        <f t="shared" si="6"/>
        <v>ter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DATE(Configurações!$B$3,8,18)</f>
        <v>46252</v>
      </c>
      <c r="B407" s="2" t="str">
        <f t="shared" si="6"/>
        <v>ter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DATE(Configurações!$B$3,8,18)</f>
        <v>46252</v>
      </c>
      <c r="B408" s="2" t="str">
        <f t="shared" si="6"/>
        <v>ter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DATE(Configurações!$B$3,8,18)</f>
        <v>46252</v>
      </c>
      <c r="B409" s="2" t="str">
        <f t="shared" si="6"/>
        <v>ter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DATE(Configurações!$B$3,8,18)</f>
        <v>46252</v>
      </c>
      <c r="B410" s="2" t="str">
        <f t="shared" si="6"/>
        <v>ter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DATE(Configurações!$B$3,8,18)</f>
        <v>46252</v>
      </c>
      <c r="B411" s="2" t="str">
        <f t="shared" si="6"/>
        <v>ter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DATE(Configurações!$B$3,8,18)</f>
        <v>46252</v>
      </c>
      <c r="B412" s="2" t="str">
        <f t="shared" si="6"/>
        <v>ter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DATE(Configurações!$B$3,8,18)</f>
        <v>46252</v>
      </c>
      <c r="B413" s="2" t="str">
        <f t="shared" si="6"/>
        <v>ter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DATE(Configurações!$B$3,8,18)</f>
        <v>46252</v>
      </c>
      <c r="B414" s="2" t="str">
        <f t="shared" si="6"/>
        <v>ter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DATE(Configurações!$B$3,8,18)</f>
        <v>46252</v>
      </c>
      <c r="B415" s="2" t="str">
        <f t="shared" si="6"/>
        <v>ter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DATE(Configurações!$B$3,8,18)</f>
        <v>46252</v>
      </c>
      <c r="B416" s="2" t="str">
        <f t="shared" si="6"/>
        <v>ter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DATE(Configurações!$B$3,8,18)</f>
        <v>46252</v>
      </c>
      <c r="B417" s="2" t="str">
        <f t="shared" si="6"/>
        <v>ter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DATE(Configurações!$B$3,8,18)</f>
        <v>46252</v>
      </c>
      <c r="B418" s="2" t="str">
        <f t="shared" si="6"/>
        <v>ter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DATE(Configurações!$B$3,8,18)</f>
        <v>46252</v>
      </c>
      <c r="B419" s="2" t="str">
        <f t="shared" si="6"/>
        <v>ter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DATE(Configurações!$B$3,8,19)</f>
        <v>46253</v>
      </c>
      <c r="B420" s="2" t="str">
        <f t="shared" si="6"/>
        <v>qua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DATE(Configurações!$B$3,8,19)</f>
        <v>46253</v>
      </c>
      <c r="B421" s="2" t="str">
        <f t="shared" si="6"/>
        <v>qua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DATE(Configurações!$B$3,8,19)</f>
        <v>46253</v>
      </c>
      <c r="B422" s="2" t="str">
        <f t="shared" si="6"/>
        <v>qua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DATE(Configurações!$B$3,8,19)</f>
        <v>46253</v>
      </c>
      <c r="B423" s="2" t="str">
        <f t="shared" si="6"/>
        <v>qua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DATE(Configurações!$B$3,8,19)</f>
        <v>46253</v>
      </c>
      <c r="B424" s="2" t="str">
        <f t="shared" si="6"/>
        <v>qua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DATE(Configurações!$B$3,8,19)</f>
        <v>46253</v>
      </c>
      <c r="B425" s="2" t="str">
        <f t="shared" si="6"/>
        <v>qua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DATE(Configurações!$B$3,8,19)</f>
        <v>46253</v>
      </c>
      <c r="B426" s="2" t="str">
        <f t="shared" si="6"/>
        <v>qua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DATE(Configurações!$B$3,8,19)</f>
        <v>46253</v>
      </c>
      <c r="B427" s="2" t="str">
        <f t="shared" si="6"/>
        <v>qua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DATE(Configurações!$B$3,8,19)</f>
        <v>46253</v>
      </c>
      <c r="B428" s="2" t="str">
        <f t="shared" si="6"/>
        <v>qua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DATE(Configurações!$B$3,8,19)</f>
        <v>46253</v>
      </c>
      <c r="B429" s="2" t="str">
        <f t="shared" si="6"/>
        <v>qua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DATE(Configurações!$B$3,8,19)</f>
        <v>46253</v>
      </c>
      <c r="B430" s="2" t="str">
        <f t="shared" si="6"/>
        <v>qua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DATE(Configurações!$B$3,8,19)</f>
        <v>46253</v>
      </c>
      <c r="B431" s="2" t="str">
        <f t="shared" si="6"/>
        <v>qua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DATE(Configurações!$B$3,8,19)</f>
        <v>46253</v>
      </c>
      <c r="B432" s="2" t="str">
        <f t="shared" si="6"/>
        <v>qua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DATE(Configurações!$B$3,8,19)</f>
        <v>46253</v>
      </c>
      <c r="B433" s="2" t="str">
        <f t="shared" si="6"/>
        <v>qua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DATE(Configurações!$B$3,8,19)</f>
        <v>46253</v>
      </c>
      <c r="B434" s="2" t="str">
        <f t="shared" si="6"/>
        <v>qua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DATE(Configurações!$B$3,8,19)</f>
        <v>46253</v>
      </c>
      <c r="B435" s="2" t="str">
        <f t="shared" si="6"/>
        <v>qua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DATE(Configurações!$B$3,8,19)</f>
        <v>46253</v>
      </c>
      <c r="B436" s="2" t="str">
        <f t="shared" si="6"/>
        <v>qua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DATE(Configurações!$B$3,8,19)</f>
        <v>46253</v>
      </c>
      <c r="B437" s="2" t="str">
        <f t="shared" si="6"/>
        <v>qua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DATE(Configurações!$B$3,8,19)</f>
        <v>46253</v>
      </c>
      <c r="B438" s="2" t="str">
        <f t="shared" si="6"/>
        <v>qua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DATE(Configurações!$B$3,8,19)</f>
        <v>46253</v>
      </c>
      <c r="B439" s="2" t="str">
        <f t="shared" si="6"/>
        <v>qua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DATE(Configurações!$B$3,8,19)</f>
        <v>46253</v>
      </c>
      <c r="B440" s="2" t="str">
        <f t="shared" si="6"/>
        <v>qua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DATE(Configurações!$B$3,8,19)</f>
        <v>46253</v>
      </c>
      <c r="B441" s="2" t="str">
        <f t="shared" si="6"/>
        <v>qua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DATE(Configurações!$B$3,8,19)</f>
        <v>46253</v>
      </c>
      <c r="B442" s="2" t="str">
        <f t="shared" si="6"/>
        <v>qua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DATE(Configurações!$B$3,8,20)</f>
        <v>46254</v>
      </c>
      <c r="B443" s="2" t="str">
        <f t="shared" si="6"/>
        <v>qui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DATE(Configurações!$B$3,8,20)</f>
        <v>46254</v>
      </c>
      <c r="B444" s="2" t="str">
        <f t="shared" si="6"/>
        <v>qui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DATE(Configurações!$B$3,8,20)</f>
        <v>46254</v>
      </c>
      <c r="B445" s="2" t="str">
        <f t="shared" si="6"/>
        <v>qui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DATE(Configurações!$B$3,8,20)</f>
        <v>46254</v>
      </c>
      <c r="B446" s="2" t="str">
        <f t="shared" si="6"/>
        <v>qui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DATE(Configurações!$B$3,8,20)</f>
        <v>46254</v>
      </c>
      <c r="B447" s="2" t="str">
        <f t="shared" si="6"/>
        <v>qui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DATE(Configurações!$B$3,8,20)</f>
        <v>46254</v>
      </c>
      <c r="B448" s="2" t="str">
        <f t="shared" si="6"/>
        <v>qui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DATE(Configurações!$B$3,8,20)</f>
        <v>46254</v>
      </c>
      <c r="B449" s="2" t="str">
        <f t="shared" si="6"/>
        <v>qui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DATE(Configurações!$B$3,8,20)</f>
        <v>46254</v>
      </c>
      <c r="B450" s="2" t="str">
        <f t="shared" si="6"/>
        <v>qui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DATE(Configurações!$B$3,8,20)</f>
        <v>46254</v>
      </c>
      <c r="B451" s="2" t="str">
        <f t="shared" si="6"/>
        <v>qui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DATE(Configurações!$B$3,8,20)</f>
        <v>46254</v>
      </c>
      <c r="B452" s="2" t="str">
        <f t="shared" si="6"/>
        <v>qui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DATE(Configurações!$B$3,8,20)</f>
        <v>46254</v>
      </c>
      <c r="B453" s="2" t="str">
        <f t="shared" si="6"/>
        <v>qui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DATE(Configurações!$B$3,8,20)</f>
        <v>46254</v>
      </c>
      <c r="B454" s="2" t="str">
        <f t="shared" ref="B454:B517" si="7">TEXT(A454,"ddd")</f>
        <v>qui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DATE(Configurações!$B$3,8,20)</f>
        <v>46254</v>
      </c>
      <c r="B455" s="2" t="str">
        <f t="shared" si="7"/>
        <v>qui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DATE(Configurações!$B$3,8,20)</f>
        <v>46254</v>
      </c>
      <c r="B456" s="2" t="str">
        <f t="shared" si="7"/>
        <v>qui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DATE(Configurações!$B$3,8,20)</f>
        <v>46254</v>
      </c>
      <c r="B457" s="2" t="str">
        <f t="shared" si="7"/>
        <v>qui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DATE(Configurações!$B$3,8,20)</f>
        <v>46254</v>
      </c>
      <c r="B458" s="2" t="str">
        <f t="shared" si="7"/>
        <v>qui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DATE(Configurações!$B$3,8,20)</f>
        <v>46254</v>
      </c>
      <c r="B459" s="2" t="str">
        <f t="shared" si="7"/>
        <v>qui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DATE(Configurações!$B$3,8,20)</f>
        <v>46254</v>
      </c>
      <c r="B460" s="2" t="str">
        <f t="shared" si="7"/>
        <v>qui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DATE(Configurações!$B$3,8,20)</f>
        <v>46254</v>
      </c>
      <c r="B461" s="2" t="str">
        <f t="shared" si="7"/>
        <v>qui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DATE(Configurações!$B$3,8,20)</f>
        <v>46254</v>
      </c>
      <c r="B462" s="2" t="str">
        <f t="shared" si="7"/>
        <v>qui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DATE(Configurações!$B$3,8,20)</f>
        <v>46254</v>
      </c>
      <c r="B463" s="2" t="str">
        <f t="shared" si="7"/>
        <v>qui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DATE(Configurações!$B$3,8,20)</f>
        <v>46254</v>
      </c>
      <c r="B464" s="2" t="str">
        <f t="shared" si="7"/>
        <v>qui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DATE(Configurações!$B$3,8,20)</f>
        <v>46254</v>
      </c>
      <c r="B465" s="2" t="str">
        <f t="shared" si="7"/>
        <v>qui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DATE(Configurações!$B$3,8,21)</f>
        <v>46255</v>
      </c>
      <c r="B466" s="2" t="str">
        <f t="shared" si="7"/>
        <v>sex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DATE(Configurações!$B$3,8,21)</f>
        <v>46255</v>
      </c>
      <c r="B467" s="2" t="str">
        <f t="shared" si="7"/>
        <v>sex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DATE(Configurações!$B$3,8,21)</f>
        <v>46255</v>
      </c>
      <c r="B468" s="2" t="str">
        <f t="shared" si="7"/>
        <v>sex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DATE(Configurações!$B$3,8,21)</f>
        <v>46255</v>
      </c>
      <c r="B469" s="2" t="str">
        <f t="shared" si="7"/>
        <v>sex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DATE(Configurações!$B$3,8,21)</f>
        <v>46255</v>
      </c>
      <c r="B470" s="2" t="str">
        <f t="shared" si="7"/>
        <v>sex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DATE(Configurações!$B$3,8,21)</f>
        <v>46255</v>
      </c>
      <c r="B471" s="2" t="str">
        <f t="shared" si="7"/>
        <v>sex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DATE(Configurações!$B$3,8,21)</f>
        <v>46255</v>
      </c>
      <c r="B472" s="2" t="str">
        <f t="shared" si="7"/>
        <v>sex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DATE(Configurações!$B$3,8,21)</f>
        <v>46255</v>
      </c>
      <c r="B473" s="2" t="str">
        <f t="shared" si="7"/>
        <v>sex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DATE(Configurações!$B$3,8,21)</f>
        <v>46255</v>
      </c>
      <c r="B474" s="2" t="str">
        <f t="shared" si="7"/>
        <v>sex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DATE(Configurações!$B$3,8,21)</f>
        <v>46255</v>
      </c>
      <c r="B475" s="2" t="str">
        <f t="shared" si="7"/>
        <v>sex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DATE(Configurações!$B$3,8,21)</f>
        <v>46255</v>
      </c>
      <c r="B476" s="2" t="str">
        <f t="shared" si="7"/>
        <v>sex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DATE(Configurações!$B$3,8,21)</f>
        <v>46255</v>
      </c>
      <c r="B477" s="2" t="str">
        <f t="shared" si="7"/>
        <v>sex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DATE(Configurações!$B$3,8,21)</f>
        <v>46255</v>
      </c>
      <c r="B478" s="2" t="str">
        <f t="shared" si="7"/>
        <v>sex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DATE(Configurações!$B$3,8,21)</f>
        <v>46255</v>
      </c>
      <c r="B479" s="2" t="str">
        <f t="shared" si="7"/>
        <v>sex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DATE(Configurações!$B$3,8,21)</f>
        <v>46255</v>
      </c>
      <c r="B480" s="2" t="str">
        <f t="shared" si="7"/>
        <v>sex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DATE(Configurações!$B$3,8,21)</f>
        <v>46255</v>
      </c>
      <c r="B481" s="2" t="str">
        <f t="shared" si="7"/>
        <v>sex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DATE(Configurações!$B$3,8,21)</f>
        <v>46255</v>
      </c>
      <c r="B482" s="2" t="str">
        <f t="shared" si="7"/>
        <v>sex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DATE(Configurações!$B$3,8,21)</f>
        <v>46255</v>
      </c>
      <c r="B483" s="2" t="str">
        <f t="shared" si="7"/>
        <v>sex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DATE(Configurações!$B$3,8,21)</f>
        <v>46255</v>
      </c>
      <c r="B484" s="2" t="str">
        <f t="shared" si="7"/>
        <v>sex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DATE(Configurações!$B$3,8,21)</f>
        <v>46255</v>
      </c>
      <c r="B485" s="2" t="str">
        <f t="shared" si="7"/>
        <v>sex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DATE(Configurações!$B$3,8,21)</f>
        <v>46255</v>
      </c>
      <c r="B486" s="2" t="str">
        <f t="shared" si="7"/>
        <v>sex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DATE(Configurações!$B$3,8,21)</f>
        <v>46255</v>
      </c>
      <c r="B487" s="2" t="str">
        <f t="shared" si="7"/>
        <v>sex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DATE(Configurações!$B$3,8,21)</f>
        <v>46255</v>
      </c>
      <c r="B488" s="2" t="str">
        <f t="shared" si="7"/>
        <v>sex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DATE(Configurações!$B$3,8,22)</f>
        <v>46256</v>
      </c>
      <c r="B489" s="2" t="str">
        <f t="shared" si="7"/>
        <v>sáb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DATE(Configurações!$B$3,8,22)</f>
        <v>46256</v>
      </c>
      <c r="B490" s="2" t="str">
        <f t="shared" si="7"/>
        <v>sáb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DATE(Configurações!$B$3,8,22)</f>
        <v>46256</v>
      </c>
      <c r="B491" s="2" t="str">
        <f t="shared" si="7"/>
        <v>sáb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DATE(Configurações!$B$3,8,22)</f>
        <v>46256</v>
      </c>
      <c r="B492" s="2" t="str">
        <f t="shared" si="7"/>
        <v>sáb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DATE(Configurações!$B$3,8,22)</f>
        <v>46256</v>
      </c>
      <c r="B493" s="2" t="str">
        <f t="shared" si="7"/>
        <v>sáb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DATE(Configurações!$B$3,8,22)</f>
        <v>46256</v>
      </c>
      <c r="B494" s="2" t="str">
        <f t="shared" si="7"/>
        <v>sáb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DATE(Configurações!$B$3,8,22)</f>
        <v>46256</v>
      </c>
      <c r="B495" s="2" t="str">
        <f t="shared" si="7"/>
        <v>sáb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DATE(Configurações!$B$3,8,22)</f>
        <v>46256</v>
      </c>
      <c r="B496" s="2" t="str">
        <f t="shared" si="7"/>
        <v>sáb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DATE(Configurações!$B$3,8,22)</f>
        <v>46256</v>
      </c>
      <c r="B497" s="2" t="str">
        <f t="shared" si="7"/>
        <v>sáb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DATE(Configurações!$B$3,8,22)</f>
        <v>46256</v>
      </c>
      <c r="B498" s="2" t="str">
        <f t="shared" si="7"/>
        <v>sáb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DATE(Configurações!$B$3,8,22)</f>
        <v>46256</v>
      </c>
      <c r="B499" s="2" t="str">
        <f t="shared" si="7"/>
        <v>sáb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DATE(Configurações!$B$3,8,22)</f>
        <v>46256</v>
      </c>
      <c r="B500" s="2" t="str">
        <f t="shared" si="7"/>
        <v>sáb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DATE(Configurações!$B$3,8,22)</f>
        <v>46256</v>
      </c>
      <c r="B501" s="2" t="str">
        <f t="shared" si="7"/>
        <v>sáb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DATE(Configurações!$B$3,8,22)</f>
        <v>46256</v>
      </c>
      <c r="B502" s="2" t="str">
        <f t="shared" si="7"/>
        <v>sáb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DATE(Configurações!$B$3,8,22)</f>
        <v>46256</v>
      </c>
      <c r="B503" s="2" t="str">
        <f t="shared" si="7"/>
        <v>sáb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DATE(Configurações!$B$3,8,22)</f>
        <v>46256</v>
      </c>
      <c r="B504" s="2" t="str">
        <f t="shared" si="7"/>
        <v>sáb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DATE(Configurações!$B$3,8,22)</f>
        <v>46256</v>
      </c>
      <c r="B505" s="2" t="str">
        <f t="shared" si="7"/>
        <v>sáb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DATE(Configurações!$B$3,8,22)</f>
        <v>46256</v>
      </c>
      <c r="B506" s="2" t="str">
        <f t="shared" si="7"/>
        <v>sáb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DATE(Configurações!$B$3,8,22)</f>
        <v>46256</v>
      </c>
      <c r="B507" s="2" t="str">
        <f t="shared" si="7"/>
        <v>sáb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DATE(Configurações!$B$3,8,22)</f>
        <v>46256</v>
      </c>
      <c r="B508" s="2" t="str">
        <f t="shared" si="7"/>
        <v>sáb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DATE(Configurações!$B$3,8,22)</f>
        <v>46256</v>
      </c>
      <c r="B509" s="2" t="str">
        <f t="shared" si="7"/>
        <v>sáb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DATE(Configurações!$B$3,8,22)</f>
        <v>46256</v>
      </c>
      <c r="B510" s="2" t="str">
        <f t="shared" si="7"/>
        <v>sáb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DATE(Configurações!$B$3,8,22)</f>
        <v>46256</v>
      </c>
      <c r="B511" s="2" t="str">
        <f t="shared" si="7"/>
        <v>sáb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DATE(Configurações!$B$3,8,23)</f>
        <v>46257</v>
      </c>
      <c r="B512" s="2" t="str">
        <f t="shared" si="7"/>
        <v>dom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DATE(Configurações!$B$3,8,23)</f>
        <v>46257</v>
      </c>
      <c r="B513" s="2" t="str">
        <f t="shared" si="7"/>
        <v>dom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DATE(Configurações!$B$3,8,23)</f>
        <v>46257</v>
      </c>
      <c r="B514" s="2" t="str">
        <f t="shared" si="7"/>
        <v>dom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DATE(Configurações!$B$3,8,23)</f>
        <v>46257</v>
      </c>
      <c r="B515" s="2" t="str">
        <f t="shared" si="7"/>
        <v>dom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DATE(Configurações!$B$3,8,23)</f>
        <v>46257</v>
      </c>
      <c r="B516" s="2" t="str">
        <f t="shared" si="7"/>
        <v>dom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DATE(Configurações!$B$3,8,23)</f>
        <v>46257</v>
      </c>
      <c r="B517" s="2" t="str">
        <f t="shared" si="7"/>
        <v>dom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DATE(Configurações!$B$3,8,23)</f>
        <v>46257</v>
      </c>
      <c r="B518" s="2" t="str">
        <f t="shared" ref="B518:B581" si="8">TEXT(A518,"ddd")</f>
        <v>dom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DATE(Configurações!$B$3,8,23)</f>
        <v>46257</v>
      </c>
      <c r="B519" s="2" t="str">
        <f t="shared" si="8"/>
        <v>dom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DATE(Configurações!$B$3,8,23)</f>
        <v>46257</v>
      </c>
      <c r="B520" s="2" t="str">
        <f t="shared" si="8"/>
        <v>dom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DATE(Configurações!$B$3,8,23)</f>
        <v>46257</v>
      </c>
      <c r="B521" s="2" t="str">
        <f t="shared" si="8"/>
        <v>dom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DATE(Configurações!$B$3,8,23)</f>
        <v>46257</v>
      </c>
      <c r="B522" s="2" t="str">
        <f t="shared" si="8"/>
        <v>dom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DATE(Configurações!$B$3,8,23)</f>
        <v>46257</v>
      </c>
      <c r="B523" s="2" t="str">
        <f t="shared" si="8"/>
        <v>dom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DATE(Configurações!$B$3,8,23)</f>
        <v>46257</v>
      </c>
      <c r="B524" s="2" t="str">
        <f t="shared" si="8"/>
        <v>dom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DATE(Configurações!$B$3,8,23)</f>
        <v>46257</v>
      </c>
      <c r="B525" s="2" t="str">
        <f t="shared" si="8"/>
        <v>dom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DATE(Configurações!$B$3,8,23)</f>
        <v>46257</v>
      </c>
      <c r="B526" s="2" t="str">
        <f t="shared" si="8"/>
        <v>dom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DATE(Configurações!$B$3,8,23)</f>
        <v>46257</v>
      </c>
      <c r="B527" s="2" t="str">
        <f t="shared" si="8"/>
        <v>dom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DATE(Configurações!$B$3,8,23)</f>
        <v>46257</v>
      </c>
      <c r="B528" s="2" t="str">
        <f t="shared" si="8"/>
        <v>dom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DATE(Configurações!$B$3,8,23)</f>
        <v>46257</v>
      </c>
      <c r="B529" s="2" t="str">
        <f t="shared" si="8"/>
        <v>dom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DATE(Configurações!$B$3,8,23)</f>
        <v>46257</v>
      </c>
      <c r="B530" s="2" t="str">
        <f t="shared" si="8"/>
        <v>dom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DATE(Configurações!$B$3,8,23)</f>
        <v>46257</v>
      </c>
      <c r="B531" s="2" t="str">
        <f t="shared" si="8"/>
        <v>dom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DATE(Configurações!$B$3,8,23)</f>
        <v>46257</v>
      </c>
      <c r="B532" s="2" t="str">
        <f t="shared" si="8"/>
        <v>dom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DATE(Configurações!$B$3,8,23)</f>
        <v>46257</v>
      </c>
      <c r="B533" s="2" t="str">
        <f t="shared" si="8"/>
        <v>dom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DATE(Configurações!$B$3,8,23)</f>
        <v>46257</v>
      </c>
      <c r="B534" s="2" t="str">
        <f t="shared" si="8"/>
        <v>dom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DATE(Configurações!$B$3,8,24)</f>
        <v>46258</v>
      </c>
      <c r="B535" s="2" t="str">
        <f t="shared" si="8"/>
        <v>seg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DATE(Configurações!$B$3,8,24)</f>
        <v>46258</v>
      </c>
      <c r="B536" s="2" t="str">
        <f t="shared" si="8"/>
        <v>seg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DATE(Configurações!$B$3,8,24)</f>
        <v>46258</v>
      </c>
      <c r="B537" s="2" t="str">
        <f t="shared" si="8"/>
        <v>seg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DATE(Configurações!$B$3,8,24)</f>
        <v>46258</v>
      </c>
      <c r="B538" s="2" t="str">
        <f t="shared" si="8"/>
        <v>seg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DATE(Configurações!$B$3,8,24)</f>
        <v>46258</v>
      </c>
      <c r="B539" s="2" t="str">
        <f t="shared" si="8"/>
        <v>seg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DATE(Configurações!$B$3,8,24)</f>
        <v>46258</v>
      </c>
      <c r="B540" s="2" t="str">
        <f t="shared" si="8"/>
        <v>seg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DATE(Configurações!$B$3,8,24)</f>
        <v>46258</v>
      </c>
      <c r="B541" s="2" t="str">
        <f t="shared" si="8"/>
        <v>seg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DATE(Configurações!$B$3,8,24)</f>
        <v>46258</v>
      </c>
      <c r="B542" s="2" t="str">
        <f t="shared" si="8"/>
        <v>seg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DATE(Configurações!$B$3,8,24)</f>
        <v>46258</v>
      </c>
      <c r="B543" s="2" t="str">
        <f t="shared" si="8"/>
        <v>seg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DATE(Configurações!$B$3,8,24)</f>
        <v>46258</v>
      </c>
      <c r="B544" s="2" t="str">
        <f t="shared" si="8"/>
        <v>seg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DATE(Configurações!$B$3,8,24)</f>
        <v>46258</v>
      </c>
      <c r="B545" s="2" t="str">
        <f t="shared" si="8"/>
        <v>seg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DATE(Configurações!$B$3,8,24)</f>
        <v>46258</v>
      </c>
      <c r="B546" s="2" t="str">
        <f t="shared" si="8"/>
        <v>seg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DATE(Configurações!$B$3,8,24)</f>
        <v>46258</v>
      </c>
      <c r="B547" s="2" t="str">
        <f t="shared" si="8"/>
        <v>seg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DATE(Configurações!$B$3,8,24)</f>
        <v>46258</v>
      </c>
      <c r="B548" s="2" t="str">
        <f t="shared" si="8"/>
        <v>seg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DATE(Configurações!$B$3,8,24)</f>
        <v>46258</v>
      </c>
      <c r="B549" s="2" t="str">
        <f t="shared" si="8"/>
        <v>seg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DATE(Configurações!$B$3,8,24)</f>
        <v>46258</v>
      </c>
      <c r="B550" s="2" t="str">
        <f t="shared" si="8"/>
        <v>seg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DATE(Configurações!$B$3,8,24)</f>
        <v>46258</v>
      </c>
      <c r="B551" s="2" t="str">
        <f t="shared" si="8"/>
        <v>seg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DATE(Configurações!$B$3,8,24)</f>
        <v>46258</v>
      </c>
      <c r="B552" s="2" t="str">
        <f t="shared" si="8"/>
        <v>seg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DATE(Configurações!$B$3,8,24)</f>
        <v>46258</v>
      </c>
      <c r="B553" s="2" t="str">
        <f t="shared" si="8"/>
        <v>seg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DATE(Configurações!$B$3,8,24)</f>
        <v>46258</v>
      </c>
      <c r="B554" s="2" t="str">
        <f t="shared" si="8"/>
        <v>seg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DATE(Configurações!$B$3,8,24)</f>
        <v>46258</v>
      </c>
      <c r="B555" s="2" t="str">
        <f t="shared" si="8"/>
        <v>seg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DATE(Configurações!$B$3,8,24)</f>
        <v>46258</v>
      </c>
      <c r="B556" s="2" t="str">
        <f t="shared" si="8"/>
        <v>seg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DATE(Configurações!$B$3,8,24)</f>
        <v>46258</v>
      </c>
      <c r="B557" s="2" t="str">
        <f t="shared" si="8"/>
        <v>seg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DATE(Configurações!$B$3,8,25)</f>
        <v>46259</v>
      </c>
      <c r="B558" s="2" t="str">
        <f t="shared" si="8"/>
        <v>ter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DATE(Configurações!$B$3,8,25)</f>
        <v>46259</v>
      </c>
      <c r="B559" s="2" t="str">
        <f t="shared" si="8"/>
        <v>ter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DATE(Configurações!$B$3,8,25)</f>
        <v>46259</v>
      </c>
      <c r="B560" s="2" t="str">
        <f t="shared" si="8"/>
        <v>ter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DATE(Configurações!$B$3,8,25)</f>
        <v>46259</v>
      </c>
      <c r="B561" s="2" t="str">
        <f t="shared" si="8"/>
        <v>ter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DATE(Configurações!$B$3,8,25)</f>
        <v>46259</v>
      </c>
      <c r="B562" s="2" t="str">
        <f t="shared" si="8"/>
        <v>ter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DATE(Configurações!$B$3,8,25)</f>
        <v>46259</v>
      </c>
      <c r="B563" s="2" t="str">
        <f t="shared" si="8"/>
        <v>ter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DATE(Configurações!$B$3,8,25)</f>
        <v>46259</v>
      </c>
      <c r="B564" s="2" t="str">
        <f t="shared" si="8"/>
        <v>ter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DATE(Configurações!$B$3,8,25)</f>
        <v>46259</v>
      </c>
      <c r="B565" s="2" t="str">
        <f t="shared" si="8"/>
        <v>ter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DATE(Configurações!$B$3,8,25)</f>
        <v>46259</v>
      </c>
      <c r="B566" s="2" t="str">
        <f t="shared" si="8"/>
        <v>ter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DATE(Configurações!$B$3,8,25)</f>
        <v>46259</v>
      </c>
      <c r="B567" s="2" t="str">
        <f t="shared" si="8"/>
        <v>ter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DATE(Configurações!$B$3,8,25)</f>
        <v>46259</v>
      </c>
      <c r="B568" s="2" t="str">
        <f t="shared" si="8"/>
        <v>ter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DATE(Configurações!$B$3,8,25)</f>
        <v>46259</v>
      </c>
      <c r="B569" s="2" t="str">
        <f t="shared" si="8"/>
        <v>ter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DATE(Configurações!$B$3,8,25)</f>
        <v>46259</v>
      </c>
      <c r="B570" s="2" t="str">
        <f t="shared" si="8"/>
        <v>ter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DATE(Configurações!$B$3,8,25)</f>
        <v>46259</v>
      </c>
      <c r="B571" s="2" t="str">
        <f t="shared" si="8"/>
        <v>ter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DATE(Configurações!$B$3,8,25)</f>
        <v>46259</v>
      </c>
      <c r="B572" s="2" t="str">
        <f t="shared" si="8"/>
        <v>ter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DATE(Configurações!$B$3,8,25)</f>
        <v>46259</v>
      </c>
      <c r="B573" s="2" t="str">
        <f t="shared" si="8"/>
        <v>ter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DATE(Configurações!$B$3,8,25)</f>
        <v>46259</v>
      </c>
      <c r="B574" s="2" t="str">
        <f t="shared" si="8"/>
        <v>ter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DATE(Configurações!$B$3,8,25)</f>
        <v>46259</v>
      </c>
      <c r="B575" s="2" t="str">
        <f t="shared" si="8"/>
        <v>ter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DATE(Configurações!$B$3,8,25)</f>
        <v>46259</v>
      </c>
      <c r="B576" s="2" t="str">
        <f t="shared" si="8"/>
        <v>ter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DATE(Configurações!$B$3,8,25)</f>
        <v>46259</v>
      </c>
      <c r="B577" s="2" t="str">
        <f t="shared" si="8"/>
        <v>ter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DATE(Configurações!$B$3,8,25)</f>
        <v>46259</v>
      </c>
      <c r="B578" s="2" t="str">
        <f t="shared" si="8"/>
        <v>ter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DATE(Configurações!$B$3,8,25)</f>
        <v>46259</v>
      </c>
      <c r="B579" s="2" t="str">
        <f t="shared" si="8"/>
        <v>ter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DATE(Configurações!$B$3,8,25)</f>
        <v>46259</v>
      </c>
      <c r="B580" s="2" t="str">
        <f t="shared" si="8"/>
        <v>ter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DATE(Configurações!$B$3,8,26)</f>
        <v>46260</v>
      </c>
      <c r="B581" s="2" t="str">
        <f t="shared" si="8"/>
        <v>qua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DATE(Configurações!$B$3,8,26)</f>
        <v>46260</v>
      </c>
      <c r="B582" s="2" t="str">
        <f t="shared" ref="B582:B645" si="9">TEXT(A582,"ddd")</f>
        <v>qua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DATE(Configurações!$B$3,8,26)</f>
        <v>46260</v>
      </c>
      <c r="B583" s="2" t="str">
        <f t="shared" si="9"/>
        <v>qua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DATE(Configurações!$B$3,8,26)</f>
        <v>46260</v>
      </c>
      <c r="B584" s="2" t="str">
        <f t="shared" si="9"/>
        <v>qua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DATE(Configurações!$B$3,8,26)</f>
        <v>46260</v>
      </c>
      <c r="B585" s="2" t="str">
        <f t="shared" si="9"/>
        <v>qua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DATE(Configurações!$B$3,8,26)</f>
        <v>46260</v>
      </c>
      <c r="B586" s="2" t="str">
        <f t="shared" si="9"/>
        <v>qua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DATE(Configurações!$B$3,8,26)</f>
        <v>46260</v>
      </c>
      <c r="B587" s="2" t="str">
        <f t="shared" si="9"/>
        <v>qua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DATE(Configurações!$B$3,8,26)</f>
        <v>46260</v>
      </c>
      <c r="B588" s="2" t="str">
        <f t="shared" si="9"/>
        <v>qua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DATE(Configurações!$B$3,8,26)</f>
        <v>46260</v>
      </c>
      <c r="B589" s="2" t="str">
        <f t="shared" si="9"/>
        <v>qua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DATE(Configurações!$B$3,8,26)</f>
        <v>46260</v>
      </c>
      <c r="B590" s="2" t="str">
        <f t="shared" si="9"/>
        <v>qua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DATE(Configurações!$B$3,8,26)</f>
        <v>46260</v>
      </c>
      <c r="B591" s="2" t="str">
        <f t="shared" si="9"/>
        <v>qua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DATE(Configurações!$B$3,8,26)</f>
        <v>46260</v>
      </c>
      <c r="B592" s="2" t="str">
        <f t="shared" si="9"/>
        <v>qua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DATE(Configurações!$B$3,8,26)</f>
        <v>46260</v>
      </c>
      <c r="B593" s="2" t="str">
        <f t="shared" si="9"/>
        <v>qua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DATE(Configurações!$B$3,8,26)</f>
        <v>46260</v>
      </c>
      <c r="B594" s="2" t="str">
        <f t="shared" si="9"/>
        <v>qua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DATE(Configurações!$B$3,8,26)</f>
        <v>46260</v>
      </c>
      <c r="B595" s="2" t="str">
        <f t="shared" si="9"/>
        <v>qua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DATE(Configurações!$B$3,8,26)</f>
        <v>46260</v>
      </c>
      <c r="B596" s="2" t="str">
        <f t="shared" si="9"/>
        <v>qua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DATE(Configurações!$B$3,8,26)</f>
        <v>46260</v>
      </c>
      <c r="B597" s="2" t="str">
        <f t="shared" si="9"/>
        <v>qua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DATE(Configurações!$B$3,8,26)</f>
        <v>46260</v>
      </c>
      <c r="B598" s="2" t="str">
        <f t="shared" si="9"/>
        <v>qua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DATE(Configurações!$B$3,8,26)</f>
        <v>46260</v>
      </c>
      <c r="B599" s="2" t="str">
        <f t="shared" si="9"/>
        <v>qua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DATE(Configurações!$B$3,8,26)</f>
        <v>46260</v>
      </c>
      <c r="B600" s="2" t="str">
        <f t="shared" si="9"/>
        <v>qua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DATE(Configurações!$B$3,8,26)</f>
        <v>46260</v>
      </c>
      <c r="B601" s="2" t="str">
        <f t="shared" si="9"/>
        <v>qua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DATE(Configurações!$B$3,8,26)</f>
        <v>46260</v>
      </c>
      <c r="B602" s="2" t="str">
        <f t="shared" si="9"/>
        <v>qua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DATE(Configurações!$B$3,8,26)</f>
        <v>46260</v>
      </c>
      <c r="B603" s="2" t="str">
        <f t="shared" si="9"/>
        <v>qua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DATE(Configurações!$B$3,8,27)</f>
        <v>46261</v>
      </c>
      <c r="B604" s="2" t="str">
        <f t="shared" si="9"/>
        <v>qui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DATE(Configurações!$B$3,8,27)</f>
        <v>46261</v>
      </c>
      <c r="B605" s="2" t="str">
        <f t="shared" si="9"/>
        <v>qui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DATE(Configurações!$B$3,8,27)</f>
        <v>46261</v>
      </c>
      <c r="B606" s="2" t="str">
        <f t="shared" si="9"/>
        <v>qui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DATE(Configurações!$B$3,8,27)</f>
        <v>46261</v>
      </c>
      <c r="B607" s="2" t="str">
        <f t="shared" si="9"/>
        <v>qui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DATE(Configurações!$B$3,8,27)</f>
        <v>46261</v>
      </c>
      <c r="B608" s="2" t="str">
        <f t="shared" si="9"/>
        <v>qui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DATE(Configurações!$B$3,8,27)</f>
        <v>46261</v>
      </c>
      <c r="B609" s="2" t="str">
        <f t="shared" si="9"/>
        <v>qui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DATE(Configurações!$B$3,8,27)</f>
        <v>46261</v>
      </c>
      <c r="B610" s="2" t="str">
        <f t="shared" si="9"/>
        <v>qui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DATE(Configurações!$B$3,8,27)</f>
        <v>46261</v>
      </c>
      <c r="B611" s="2" t="str">
        <f t="shared" si="9"/>
        <v>qui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DATE(Configurações!$B$3,8,27)</f>
        <v>46261</v>
      </c>
      <c r="B612" s="2" t="str">
        <f t="shared" si="9"/>
        <v>qui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DATE(Configurações!$B$3,8,27)</f>
        <v>46261</v>
      </c>
      <c r="B613" s="2" t="str">
        <f t="shared" si="9"/>
        <v>qui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DATE(Configurações!$B$3,8,27)</f>
        <v>46261</v>
      </c>
      <c r="B614" s="2" t="str">
        <f t="shared" si="9"/>
        <v>qui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DATE(Configurações!$B$3,8,27)</f>
        <v>46261</v>
      </c>
      <c r="B615" s="2" t="str">
        <f t="shared" si="9"/>
        <v>qui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DATE(Configurações!$B$3,8,27)</f>
        <v>46261</v>
      </c>
      <c r="B616" s="2" t="str">
        <f t="shared" si="9"/>
        <v>qui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DATE(Configurações!$B$3,8,27)</f>
        <v>46261</v>
      </c>
      <c r="B617" s="2" t="str">
        <f t="shared" si="9"/>
        <v>qui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DATE(Configurações!$B$3,8,27)</f>
        <v>46261</v>
      </c>
      <c r="B618" s="2" t="str">
        <f t="shared" si="9"/>
        <v>qui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DATE(Configurações!$B$3,8,27)</f>
        <v>46261</v>
      </c>
      <c r="B619" s="2" t="str">
        <f t="shared" si="9"/>
        <v>qui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DATE(Configurações!$B$3,8,27)</f>
        <v>46261</v>
      </c>
      <c r="B620" s="2" t="str">
        <f t="shared" si="9"/>
        <v>qui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DATE(Configurações!$B$3,8,27)</f>
        <v>46261</v>
      </c>
      <c r="B621" s="2" t="str">
        <f t="shared" si="9"/>
        <v>qui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DATE(Configurações!$B$3,8,27)</f>
        <v>46261</v>
      </c>
      <c r="B622" s="2" t="str">
        <f t="shared" si="9"/>
        <v>qui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DATE(Configurações!$B$3,8,27)</f>
        <v>46261</v>
      </c>
      <c r="B623" s="2" t="str">
        <f t="shared" si="9"/>
        <v>qui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DATE(Configurações!$B$3,8,27)</f>
        <v>46261</v>
      </c>
      <c r="B624" s="2" t="str">
        <f t="shared" si="9"/>
        <v>qui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DATE(Configurações!$B$3,8,27)</f>
        <v>46261</v>
      </c>
      <c r="B625" s="2" t="str">
        <f t="shared" si="9"/>
        <v>qui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DATE(Configurações!$B$3,8,27)</f>
        <v>46261</v>
      </c>
      <c r="B626" s="2" t="str">
        <f t="shared" si="9"/>
        <v>qui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DATE(Configurações!$B$3,8,28)</f>
        <v>46262</v>
      </c>
      <c r="B627" s="2" t="str">
        <f t="shared" si="9"/>
        <v>sex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DATE(Configurações!$B$3,8,28)</f>
        <v>46262</v>
      </c>
      <c r="B628" s="2" t="str">
        <f t="shared" si="9"/>
        <v>sex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DATE(Configurações!$B$3,8,28)</f>
        <v>46262</v>
      </c>
      <c r="B629" s="2" t="str">
        <f t="shared" si="9"/>
        <v>sex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DATE(Configurações!$B$3,8,28)</f>
        <v>46262</v>
      </c>
      <c r="B630" s="2" t="str">
        <f t="shared" si="9"/>
        <v>sex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DATE(Configurações!$B$3,8,28)</f>
        <v>46262</v>
      </c>
      <c r="B631" s="2" t="str">
        <f t="shared" si="9"/>
        <v>sex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DATE(Configurações!$B$3,8,28)</f>
        <v>46262</v>
      </c>
      <c r="B632" s="2" t="str">
        <f t="shared" si="9"/>
        <v>sex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DATE(Configurações!$B$3,8,28)</f>
        <v>46262</v>
      </c>
      <c r="B633" s="2" t="str">
        <f t="shared" si="9"/>
        <v>sex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DATE(Configurações!$B$3,8,28)</f>
        <v>46262</v>
      </c>
      <c r="B634" s="2" t="str">
        <f t="shared" si="9"/>
        <v>sex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DATE(Configurações!$B$3,8,28)</f>
        <v>46262</v>
      </c>
      <c r="B635" s="2" t="str">
        <f t="shared" si="9"/>
        <v>sex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DATE(Configurações!$B$3,8,28)</f>
        <v>46262</v>
      </c>
      <c r="B636" s="2" t="str">
        <f t="shared" si="9"/>
        <v>sex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DATE(Configurações!$B$3,8,28)</f>
        <v>46262</v>
      </c>
      <c r="B637" s="2" t="str">
        <f t="shared" si="9"/>
        <v>sex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DATE(Configurações!$B$3,8,28)</f>
        <v>46262</v>
      </c>
      <c r="B638" s="2" t="str">
        <f t="shared" si="9"/>
        <v>sex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DATE(Configurações!$B$3,8,28)</f>
        <v>46262</v>
      </c>
      <c r="B639" s="2" t="str">
        <f t="shared" si="9"/>
        <v>sex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DATE(Configurações!$B$3,8,28)</f>
        <v>46262</v>
      </c>
      <c r="B640" s="2" t="str">
        <f t="shared" si="9"/>
        <v>sex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DATE(Configurações!$B$3,8,28)</f>
        <v>46262</v>
      </c>
      <c r="B641" s="2" t="str">
        <f t="shared" si="9"/>
        <v>sex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DATE(Configurações!$B$3,8,28)</f>
        <v>46262</v>
      </c>
      <c r="B642" s="2" t="str">
        <f t="shared" si="9"/>
        <v>sex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DATE(Configurações!$B$3,8,28)</f>
        <v>46262</v>
      </c>
      <c r="B643" s="2" t="str">
        <f t="shared" si="9"/>
        <v>sex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DATE(Configurações!$B$3,8,28)</f>
        <v>46262</v>
      </c>
      <c r="B644" s="2" t="str">
        <f t="shared" si="9"/>
        <v>sex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DATE(Configurações!$B$3,8,28)</f>
        <v>46262</v>
      </c>
      <c r="B645" s="2" t="str">
        <f t="shared" si="9"/>
        <v>sex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DATE(Configurações!$B$3,8,28)</f>
        <v>46262</v>
      </c>
      <c r="B646" s="2" t="str">
        <f t="shared" ref="B646:B709" si="10">TEXT(A646,"ddd")</f>
        <v>sex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DATE(Configurações!$B$3,8,28)</f>
        <v>46262</v>
      </c>
      <c r="B647" s="2" t="str">
        <f t="shared" si="10"/>
        <v>sex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DATE(Configurações!$B$3,8,28)</f>
        <v>46262</v>
      </c>
      <c r="B648" s="2" t="str">
        <f t="shared" si="10"/>
        <v>sex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DATE(Configurações!$B$3,8,28)</f>
        <v>46262</v>
      </c>
      <c r="B649" s="2" t="str">
        <f t="shared" si="10"/>
        <v>sex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DATE(Configurações!$B$3,8,29)</f>
        <v>46263</v>
      </c>
      <c r="B650" s="2" t="str">
        <f t="shared" si="10"/>
        <v>sáb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DATE(Configurações!$B$3,8,29)</f>
        <v>46263</v>
      </c>
      <c r="B651" s="2" t="str">
        <f t="shared" si="10"/>
        <v>sáb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DATE(Configurações!$B$3,8,29)</f>
        <v>46263</v>
      </c>
      <c r="B652" s="2" t="str">
        <f t="shared" si="10"/>
        <v>sáb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DATE(Configurações!$B$3,8,29)</f>
        <v>46263</v>
      </c>
      <c r="B653" s="2" t="str">
        <f t="shared" si="10"/>
        <v>sáb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DATE(Configurações!$B$3,8,29)</f>
        <v>46263</v>
      </c>
      <c r="B654" s="2" t="str">
        <f t="shared" si="10"/>
        <v>sáb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DATE(Configurações!$B$3,8,29)</f>
        <v>46263</v>
      </c>
      <c r="B655" s="2" t="str">
        <f t="shared" si="10"/>
        <v>sáb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DATE(Configurações!$B$3,8,29)</f>
        <v>46263</v>
      </c>
      <c r="B656" s="2" t="str">
        <f t="shared" si="10"/>
        <v>sáb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DATE(Configurações!$B$3,8,29)</f>
        <v>46263</v>
      </c>
      <c r="B657" s="2" t="str">
        <f t="shared" si="10"/>
        <v>sáb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DATE(Configurações!$B$3,8,29)</f>
        <v>46263</v>
      </c>
      <c r="B658" s="2" t="str">
        <f t="shared" si="10"/>
        <v>sáb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DATE(Configurações!$B$3,8,29)</f>
        <v>46263</v>
      </c>
      <c r="B659" s="2" t="str">
        <f t="shared" si="10"/>
        <v>sáb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DATE(Configurações!$B$3,8,29)</f>
        <v>46263</v>
      </c>
      <c r="B660" s="2" t="str">
        <f t="shared" si="10"/>
        <v>sáb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DATE(Configurações!$B$3,8,29)</f>
        <v>46263</v>
      </c>
      <c r="B661" s="2" t="str">
        <f t="shared" si="10"/>
        <v>sáb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DATE(Configurações!$B$3,8,29)</f>
        <v>46263</v>
      </c>
      <c r="B662" s="2" t="str">
        <f t="shared" si="10"/>
        <v>sáb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DATE(Configurações!$B$3,8,29)</f>
        <v>46263</v>
      </c>
      <c r="B663" s="2" t="str">
        <f t="shared" si="10"/>
        <v>sáb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DATE(Configurações!$B$3,8,29)</f>
        <v>46263</v>
      </c>
      <c r="B664" s="2" t="str">
        <f t="shared" si="10"/>
        <v>sáb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DATE(Configurações!$B$3,8,29)</f>
        <v>46263</v>
      </c>
      <c r="B665" s="2" t="str">
        <f t="shared" si="10"/>
        <v>sáb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DATE(Configurações!$B$3,8,29)</f>
        <v>46263</v>
      </c>
      <c r="B666" s="2" t="str">
        <f t="shared" si="10"/>
        <v>sáb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DATE(Configurações!$B$3,8,29)</f>
        <v>46263</v>
      </c>
      <c r="B667" s="2" t="str">
        <f t="shared" si="10"/>
        <v>sáb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DATE(Configurações!$B$3,8,29)</f>
        <v>46263</v>
      </c>
      <c r="B668" s="2" t="str">
        <f t="shared" si="10"/>
        <v>sáb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DATE(Configurações!$B$3,8,29)</f>
        <v>46263</v>
      </c>
      <c r="B669" s="2" t="str">
        <f t="shared" si="10"/>
        <v>sáb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DATE(Configurações!$B$3,8,29)</f>
        <v>46263</v>
      </c>
      <c r="B670" s="2" t="str">
        <f t="shared" si="10"/>
        <v>sáb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DATE(Configurações!$B$3,8,29)</f>
        <v>46263</v>
      </c>
      <c r="B671" s="2" t="str">
        <f t="shared" si="10"/>
        <v>sáb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DATE(Configurações!$B$3,8,29)</f>
        <v>46263</v>
      </c>
      <c r="B672" s="2" t="str">
        <f t="shared" si="10"/>
        <v>sáb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DATE(Configurações!$B$3,8,30)</f>
        <v>46264</v>
      </c>
      <c r="B673" s="2" t="str">
        <f t="shared" si="10"/>
        <v>dom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DATE(Configurações!$B$3,8,30)</f>
        <v>46264</v>
      </c>
      <c r="B674" s="2" t="str">
        <f t="shared" si="10"/>
        <v>dom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DATE(Configurações!$B$3,8,30)</f>
        <v>46264</v>
      </c>
      <c r="B675" s="2" t="str">
        <f t="shared" si="10"/>
        <v>dom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DATE(Configurações!$B$3,8,30)</f>
        <v>46264</v>
      </c>
      <c r="B676" s="2" t="str">
        <f t="shared" si="10"/>
        <v>dom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DATE(Configurações!$B$3,8,30)</f>
        <v>46264</v>
      </c>
      <c r="B677" s="2" t="str">
        <f t="shared" si="10"/>
        <v>dom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DATE(Configurações!$B$3,8,30)</f>
        <v>46264</v>
      </c>
      <c r="B678" s="2" t="str">
        <f t="shared" si="10"/>
        <v>dom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DATE(Configurações!$B$3,8,30)</f>
        <v>46264</v>
      </c>
      <c r="B679" s="2" t="str">
        <f t="shared" si="10"/>
        <v>dom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DATE(Configurações!$B$3,8,30)</f>
        <v>46264</v>
      </c>
      <c r="B680" s="2" t="str">
        <f t="shared" si="10"/>
        <v>dom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DATE(Configurações!$B$3,8,30)</f>
        <v>46264</v>
      </c>
      <c r="B681" s="2" t="str">
        <f t="shared" si="10"/>
        <v>dom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DATE(Configurações!$B$3,8,30)</f>
        <v>46264</v>
      </c>
      <c r="B682" s="2" t="str">
        <f t="shared" si="10"/>
        <v>dom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DATE(Configurações!$B$3,8,30)</f>
        <v>46264</v>
      </c>
      <c r="B683" s="2" t="str">
        <f t="shared" si="10"/>
        <v>dom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DATE(Configurações!$B$3,8,30)</f>
        <v>46264</v>
      </c>
      <c r="B684" s="2" t="str">
        <f t="shared" si="10"/>
        <v>dom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DATE(Configurações!$B$3,8,30)</f>
        <v>46264</v>
      </c>
      <c r="B685" s="2" t="str">
        <f t="shared" si="10"/>
        <v>dom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DATE(Configurações!$B$3,8,30)</f>
        <v>46264</v>
      </c>
      <c r="B686" s="2" t="str">
        <f t="shared" si="10"/>
        <v>dom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DATE(Configurações!$B$3,8,30)</f>
        <v>46264</v>
      </c>
      <c r="B687" s="2" t="str">
        <f t="shared" si="10"/>
        <v>dom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DATE(Configurações!$B$3,8,30)</f>
        <v>46264</v>
      </c>
      <c r="B688" s="2" t="str">
        <f t="shared" si="10"/>
        <v>dom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DATE(Configurações!$B$3,8,30)</f>
        <v>46264</v>
      </c>
      <c r="B689" s="2" t="str">
        <f t="shared" si="10"/>
        <v>dom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DATE(Configurações!$B$3,8,30)</f>
        <v>46264</v>
      </c>
      <c r="B690" s="2" t="str">
        <f t="shared" si="10"/>
        <v>dom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DATE(Configurações!$B$3,8,30)</f>
        <v>46264</v>
      </c>
      <c r="B691" s="2" t="str">
        <f t="shared" si="10"/>
        <v>dom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DATE(Configurações!$B$3,8,30)</f>
        <v>46264</v>
      </c>
      <c r="B692" s="2" t="str">
        <f t="shared" si="10"/>
        <v>dom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DATE(Configurações!$B$3,8,30)</f>
        <v>46264</v>
      </c>
      <c r="B693" s="2" t="str">
        <f t="shared" si="10"/>
        <v>dom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DATE(Configurações!$B$3,8,30)</f>
        <v>46264</v>
      </c>
      <c r="B694" s="2" t="str">
        <f t="shared" si="10"/>
        <v>dom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DATE(Configurações!$B$3,8,30)</f>
        <v>46264</v>
      </c>
      <c r="B695" s="2" t="str">
        <f t="shared" si="10"/>
        <v>dom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DATE(Configurações!$B$3,8,31)</f>
        <v>46265</v>
      </c>
      <c r="B696" s="2" t="str">
        <f t="shared" si="10"/>
        <v>seg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DATE(Configurações!$B$3,8,31)</f>
        <v>46265</v>
      </c>
      <c r="B697" s="2" t="str">
        <f t="shared" si="10"/>
        <v>seg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DATE(Configurações!$B$3,8,31)</f>
        <v>46265</v>
      </c>
      <c r="B698" s="2" t="str">
        <f t="shared" si="10"/>
        <v>seg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DATE(Configurações!$B$3,8,31)</f>
        <v>46265</v>
      </c>
      <c r="B699" s="2" t="str">
        <f t="shared" si="10"/>
        <v>seg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DATE(Configurações!$B$3,8,31)</f>
        <v>46265</v>
      </c>
      <c r="B700" s="2" t="str">
        <f t="shared" si="10"/>
        <v>seg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DATE(Configurações!$B$3,8,31)</f>
        <v>46265</v>
      </c>
      <c r="B701" s="2" t="str">
        <f t="shared" si="10"/>
        <v>seg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DATE(Configurações!$B$3,8,31)</f>
        <v>46265</v>
      </c>
      <c r="B702" s="2" t="str">
        <f t="shared" si="10"/>
        <v>seg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DATE(Configurações!$B$3,8,31)</f>
        <v>46265</v>
      </c>
      <c r="B703" s="2" t="str">
        <f t="shared" si="10"/>
        <v>seg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DATE(Configurações!$B$3,8,31)</f>
        <v>46265</v>
      </c>
      <c r="B704" s="2" t="str">
        <f t="shared" si="10"/>
        <v>seg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DATE(Configurações!$B$3,8,31)</f>
        <v>46265</v>
      </c>
      <c r="B705" s="2" t="str">
        <f t="shared" si="10"/>
        <v>seg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DATE(Configurações!$B$3,8,31)</f>
        <v>46265</v>
      </c>
      <c r="B706" s="2" t="str">
        <f t="shared" si="10"/>
        <v>seg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DATE(Configurações!$B$3,8,31)</f>
        <v>46265</v>
      </c>
      <c r="B707" s="2" t="str">
        <f t="shared" si="10"/>
        <v>seg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DATE(Configurações!$B$3,8,31)</f>
        <v>46265</v>
      </c>
      <c r="B708" s="2" t="str">
        <f t="shared" si="10"/>
        <v>seg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DATE(Configurações!$B$3,8,31)</f>
        <v>46265</v>
      </c>
      <c r="B709" s="2" t="str">
        <f t="shared" si="10"/>
        <v>seg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DATE(Configurações!$B$3,8,31)</f>
        <v>46265</v>
      </c>
      <c r="B710" s="2" t="str">
        <f t="shared" ref="B710:B773" si="11">TEXT(A710,"ddd")</f>
        <v>seg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DATE(Configurações!$B$3,8,31)</f>
        <v>46265</v>
      </c>
      <c r="B711" s="2" t="str">
        <f t="shared" si="11"/>
        <v>seg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DATE(Configurações!$B$3,8,31)</f>
        <v>46265</v>
      </c>
      <c r="B712" s="2" t="str">
        <f t="shared" si="11"/>
        <v>seg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DATE(Configurações!$B$3,8,31)</f>
        <v>46265</v>
      </c>
      <c r="B713" s="2" t="str">
        <f t="shared" si="11"/>
        <v>seg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DATE(Configurações!$B$3,8,31)</f>
        <v>46265</v>
      </c>
      <c r="B714" s="2" t="str">
        <f t="shared" si="11"/>
        <v>seg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DATE(Configurações!$B$3,8,31)</f>
        <v>46265</v>
      </c>
      <c r="B715" s="2" t="str">
        <f t="shared" si="11"/>
        <v>seg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DATE(Configurações!$B$3,8,31)</f>
        <v>46265</v>
      </c>
      <c r="B716" s="2" t="str">
        <f t="shared" si="11"/>
        <v>seg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DATE(Configurações!$B$3,8,31)</f>
        <v>46265</v>
      </c>
      <c r="B717" s="2" t="str">
        <f t="shared" si="11"/>
        <v>seg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DATE(Configurações!$B$3,8,31)</f>
        <v>46265</v>
      </c>
      <c r="B718" s="2" t="str">
        <f t="shared" si="11"/>
        <v>seg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19" priority="1">
      <formula>F6="Online"</formula>
    </cfRule>
    <cfRule type="expression" dxfId="18" priority="2">
      <formula>F6="Offline"</formula>
    </cfRule>
    <cfRule type="expression" dxfId="17" priority="3">
      <formula>F6="Manutenção"</formula>
    </cfRule>
    <cfRule type="expression" dxfId="16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115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DATE(Configurações!$B$3,9,1)</f>
        <v>46266</v>
      </c>
      <c r="B6" s="2" t="str">
        <f t="shared" ref="B6:B69" si="0">TEXT(A6,"ddd")</f>
        <v>ter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DATE(Configurações!$B$3,9,1)</f>
        <v>46266</v>
      </c>
      <c r="B7" s="2" t="str">
        <f t="shared" si="0"/>
        <v>ter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DATE(Configurações!$B$3,9,1)</f>
        <v>46266</v>
      </c>
      <c r="B8" s="2" t="str">
        <f t="shared" si="0"/>
        <v>ter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DATE(Configurações!$B$3,9,1)</f>
        <v>46266</v>
      </c>
      <c r="B9" s="2" t="str">
        <f t="shared" si="0"/>
        <v>ter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DATE(Configurações!$B$3,9,1)</f>
        <v>46266</v>
      </c>
      <c r="B10" s="2" t="str">
        <f t="shared" si="0"/>
        <v>ter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DATE(Configurações!$B$3,9,1)</f>
        <v>46266</v>
      </c>
      <c r="B11" s="2" t="str">
        <f t="shared" si="0"/>
        <v>ter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DATE(Configurações!$B$3,9,1)</f>
        <v>46266</v>
      </c>
      <c r="B12" s="2" t="str">
        <f t="shared" si="0"/>
        <v>ter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DATE(Configurações!$B$3,9,1)</f>
        <v>46266</v>
      </c>
      <c r="B13" s="2" t="str">
        <f t="shared" si="0"/>
        <v>ter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DATE(Configurações!$B$3,9,1)</f>
        <v>46266</v>
      </c>
      <c r="B14" s="2" t="str">
        <f t="shared" si="0"/>
        <v>ter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DATE(Configurações!$B$3,9,1)</f>
        <v>46266</v>
      </c>
      <c r="B15" s="2" t="str">
        <f t="shared" si="0"/>
        <v>ter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DATE(Configurações!$B$3,9,1)</f>
        <v>46266</v>
      </c>
      <c r="B16" s="2" t="str">
        <f t="shared" si="0"/>
        <v>ter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DATE(Configurações!$B$3,9,1)</f>
        <v>46266</v>
      </c>
      <c r="B17" s="2" t="str">
        <f t="shared" si="0"/>
        <v>ter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DATE(Configurações!$B$3,9,1)</f>
        <v>46266</v>
      </c>
      <c r="B18" s="2" t="str">
        <f t="shared" si="0"/>
        <v>ter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DATE(Configurações!$B$3,9,1)</f>
        <v>46266</v>
      </c>
      <c r="B19" s="2" t="str">
        <f t="shared" si="0"/>
        <v>ter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DATE(Configurações!$B$3,9,1)</f>
        <v>46266</v>
      </c>
      <c r="B20" s="2" t="str">
        <f t="shared" si="0"/>
        <v>ter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DATE(Configurações!$B$3,9,1)</f>
        <v>46266</v>
      </c>
      <c r="B21" s="2" t="str">
        <f t="shared" si="0"/>
        <v>ter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DATE(Configurações!$B$3,9,1)</f>
        <v>46266</v>
      </c>
      <c r="B22" s="2" t="str">
        <f t="shared" si="0"/>
        <v>ter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DATE(Configurações!$B$3,9,1)</f>
        <v>46266</v>
      </c>
      <c r="B23" s="2" t="str">
        <f t="shared" si="0"/>
        <v>ter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DATE(Configurações!$B$3,9,1)</f>
        <v>46266</v>
      </c>
      <c r="B24" s="2" t="str">
        <f t="shared" si="0"/>
        <v>ter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DATE(Configurações!$B$3,9,1)</f>
        <v>46266</v>
      </c>
      <c r="B25" s="2" t="str">
        <f t="shared" si="0"/>
        <v>ter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DATE(Configurações!$B$3,9,1)</f>
        <v>46266</v>
      </c>
      <c r="B26" s="2" t="str">
        <f t="shared" si="0"/>
        <v>ter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DATE(Configurações!$B$3,9,1)</f>
        <v>46266</v>
      </c>
      <c r="B27" s="2" t="str">
        <f t="shared" si="0"/>
        <v>ter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DATE(Configurações!$B$3,9,1)</f>
        <v>46266</v>
      </c>
      <c r="B28" s="2" t="str">
        <f t="shared" si="0"/>
        <v>ter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DATE(Configurações!$B$3,9,2)</f>
        <v>46267</v>
      </c>
      <c r="B29" s="2" t="str">
        <f t="shared" si="0"/>
        <v>qua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DATE(Configurações!$B$3,9,2)</f>
        <v>46267</v>
      </c>
      <c r="B30" s="2" t="str">
        <f t="shared" si="0"/>
        <v>qua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DATE(Configurações!$B$3,9,2)</f>
        <v>46267</v>
      </c>
      <c r="B31" s="2" t="str">
        <f t="shared" si="0"/>
        <v>qua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DATE(Configurações!$B$3,9,2)</f>
        <v>46267</v>
      </c>
      <c r="B32" s="2" t="str">
        <f t="shared" si="0"/>
        <v>qua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DATE(Configurações!$B$3,9,2)</f>
        <v>46267</v>
      </c>
      <c r="B33" s="2" t="str">
        <f t="shared" si="0"/>
        <v>qua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DATE(Configurações!$B$3,9,2)</f>
        <v>46267</v>
      </c>
      <c r="B34" s="2" t="str">
        <f t="shared" si="0"/>
        <v>qua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DATE(Configurações!$B$3,9,2)</f>
        <v>46267</v>
      </c>
      <c r="B35" s="2" t="str">
        <f t="shared" si="0"/>
        <v>qua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DATE(Configurações!$B$3,9,2)</f>
        <v>46267</v>
      </c>
      <c r="B36" s="2" t="str">
        <f t="shared" si="0"/>
        <v>qua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DATE(Configurações!$B$3,9,2)</f>
        <v>46267</v>
      </c>
      <c r="B37" s="2" t="str">
        <f t="shared" si="0"/>
        <v>qua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DATE(Configurações!$B$3,9,2)</f>
        <v>46267</v>
      </c>
      <c r="B38" s="2" t="str">
        <f t="shared" si="0"/>
        <v>qua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DATE(Configurações!$B$3,9,2)</f>
        <v>46267</v>
      </c>
      <c r="B39" s="2" t="str">
        <f t="shared" si="0"/>
        <v>qua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DATE(Configurações!$B$3,9,2)</f>
        <v>46267</v>
      </c>
      <c r="B40" s="2" t="str">
        <f t="shared" si="0"/>
        <v>qua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DATE(Configurações!$B$3,9,2)</f>
        <v>46267</v>
      </c>
      <c r="B41" s="2" t="str">
        <f t="shared" si="0"/>
        <v>qua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DATE(Configurações!$B$3,9,2)</f>
        <v>46267</v>
      </c>
      <c r="B42" s="2" t="str">
        <f t="shared" si="0"/>
        <v>qua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DATE(Configurações!$B$3,9,2)</f>
        <v>46267</v>
      </c>
      <c r="B43" s="2" t="str">
        <f t="shared" si="0"/>
        <v>qua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DATE(Configurações!$B$3,9,2)</f>
        <v>46267</v>
      </c>
      <c r="B44" s="2" t="str">
        <f t="shared" si="0"/>
        <v>qua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DATE(Configurações!$B$3,9,2)</f>
        <v>46267</v>
      </c>
      <c r="B45" s="2" t="str">
        <f t="shared" si="0"/>
        <v>qua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DATE(Configurações!$B$3,9,2)</f>
        <v>46267</v>
      </c>
      <c r="B46" s="2" t="str">
        <f t="shared" si="0"/>
        <v>qua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DATE(Configurações!$B$3,9,2)</f>
        <v>46267</v>
      </c>
      <c r="B47" s="2" t="str">
        <f t="shared" si="0"/>
        <v>qua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DATE(Configurações!$B$3,9,2)</f>
        <v>46267</v>
      </c>
      <c r="B48" s="2" t="str">
        <f t="shared" si="0"/>
        <v>qua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DATE(Configurações!$B$3,9,2)</f>
        <v>46267</v>
      </c>
      <c r="B49" s="2" t="str">
        <f t="shared" si="0"/>
        <v>qua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DATE(Configurações!$B$3,9,2)</f>
        <v>46267</v>
      </c>
      <c r="B50" s="2" t="str">
        <f t="shared" si="0"/>
        <v>qua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DATE(Configurações!$B$3,9,2)</f>
        <v>46267</v>
      </c>
      <c r="B51" s="2" t="str">
        <f t="shared" si="0"/>
        <v>qua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DATE(Configurações!$B$3,9,3)</f>
        <v>46268</v>
      </c>
      <c r="B52" s="2" t="str">
        <f t="shared" si="0"/>
        <v>qui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DATE(Configurações!$B$3,9,3)</f>
        <v>46268</v>
      </c>
      <c r="B53" s="2" t="str">
        <f t="shared" si="0"/>
        <v>qui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DATE(Configurações!$B$3,9,3)</f>
        <v>46268</v>
      </c>
      <c r="B54" s="2" t="str">
        <f t="shared" si="0"/>
        <v>qui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DATE(Configurações!$B$3,9,3)</f>
        <v>46268</v>
      </c>
      <c r="B55" s="2" t="str">
        <f t="shared" si="0"/>
        <v>qui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DATE(Configurações!$B$3,9,3)</f>
        <v>46268</v>
      </c>
      <c r="B56" s="2" t="str">
        <f t="shared" si="0"/>
        <v>qui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DATE(Configurações!$B$3,9,3)</f>
        <v>46268</v>
      </c>
      <c r="B57" s="2" t="str">
        <f t="shared" si="0"/>
        <v>qui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DATE(Configurações!$B$3,9,3)</f>
        <v>46268</v>
      </c>
      <c r="B58" s="2" t="str">
        <f t="shared" si="0"/>
        <v>qui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DATE(Configurações!$B$3,9,3)</f>
        <v>46268</v>
      </c>
      <c r="B59" s="2" t="str">
        <f t="shared" si="0"/>
        <v>qui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DATE(Configurações!$B$3,9,3)</f>
        <v>46268</v>
      </c>
      <c r="B60" s="2" t="str">
        <f t="shared" si="0"/>
        <v>qui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DATE(Configurações!$B$3,9,3)</f>
        <v>46268</v>
      </c>
      <c r="B61" s="2" t="str">
        <f t="shared" si="0"/>
        <v>qui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DATE(Configurações!$B$3,9,3)</f>
        <v>46268</v>
      </c>
      <c r="B62" s="2" t="str">
        <f t="shared" si="0"/>
        <v>qui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DATE(Configurações!$B$3,9,3)</f>
        <v>46268</v>
      </c>
      <c r="B63" s="2" t="str">
        <f t="shared" si="0"/>
        <v>qui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DATE(Configurações!$B$3,9,3)</f>
        <v>46268</v>
      </c>
      <c r="B64" s="2" t="str">
        <f t="shared" si="0"/>
        <v>qui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DATE(Configurações!$B$3,9,3)</f>
        <v>46268</v>
      </c>
      <c r="B65" s="2" t="str">
        <f t="shared" si="0"/>
        <v>qui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DATE(Configurações!$B$3,9,3)</f>
        <v>46268</v>
      </c>
      <c r="B66" s="2" t="str">
        <f t="shared" si="0"/>
        <v>qui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DATE(Configurações!$B$3,9,3)</f>
        <v>46268</v>
      </c>
      <c r="B67" s="2" t="str">
        <f t="shared" si="0"/>
        <v>qui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DATE(Configurações!$B$3,9,3)</f>
        <v>46268</v>
      </c>
      <c r="B68" s="2" t="str">
        <f t="shared" si="0"/>
        <v>qui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DATE(Configurações!$B$3,9,3)</f>
        <v>46268</v>
      </c>
      <c r="B69" s="2" t="str">
        <f t="shared" si="0"/>
        <v>qui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DATE(Configurações!$B$3,9,3)</f>
        <v>46268</v>
      </c>
      <c r="B70" s="2" t="str">
        <f t="shared" ref="B70:B133" si="1">TEXT(A70,"ddd")</f>
        <v>qui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DATE(Configurações!$B$3,9,3)</f>
        <v>46268</v>
      </c>
      <c r="B71" s="2" t="str">
        <f t="shared" si="1"/>
        <v>qui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DATE(Configurações!$B$3,9,3)</f>
        <v>46268</v>
      </c>
      <c r="B72" s="2" t="str">
        <f t="shared" si="1"/>
        <v>qui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DATE(Configurações!$B$3,9,3)</f>
        <v>46268</v>
      </c>
      <c r="B73" s="2" t="str">
        <f t="shared" si="1"/>
        <v>qui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DATE(Configurações!$B$3,9,3)</f>
        <v>46268</v>
      </c>
      <c r="B74" s="2" t="str">
        <f t="shared" si="1"/>
        <v>qui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DATE(Configurações!$B$3,9,4)</f>
        <v>46269</v>
      </c>
      <c r="B75" s="2" t="str">
        <f t="shared" si="1"/>
        <v>sex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DATE(Configurações!$B$3,9,4)</f>
        <v>46269</v>
      </c>
      <c r="B76" s="2" t="str">
        <f t="shared" si="1"/>
        <v>sex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DATE(Configurações!$B$3,9,4)</f>
        <v>46269</v>
      </c>
      <c r="B77" s="2" t="str">
        <f t="shared" si="1"/>
        <v>sex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DATE(Configurações!$B$3,9,4)</f>
        <v>46269</v>
      </c>
      <c r="B78" s="2" t="str">
        <f t="shared" si="1"/>
        <v>sex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DATE(Configurações!$B$3,9,4)</f>
        <v>46269</v>
      </c>
      <c r="B79" s="2" t="str">
        <f t="shared" si="1"/>
        <v>sex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DATE(Configurações!$B$3,9,4)</f>
        <v>46269</v>
      </c>
      <c r="B80" s="2" t="str">
        <f t="shared" si="1"/>
        <v>sex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DATE(Configurações!$B$3,9,4)</f>
        <v>46269</v>
      </c>
      <c r="B81" s="2" t="str">
        <f t="shared" si="1"/>
        <v>sex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DATE(Configurações!$B$3,9,4)</f>
        <v>46269</v>
      </c>
      <c r="B82" s="2" t="str">
        <f t="shared" si="1"/>
        <v>sex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DATE(Configurações!$B$3,9,4)</f>
        <v>46269</v>
      </c>
      <c r="B83" s="2" t="str">
        <f t="shared" si="1"/>
        <v>sex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DATE(Configurações!$B$3,9,4)</f>
        <v>46269</v>
      </c>
      <c r="B84" s="2" t="str">
        <f t="shared" si="1"/>
        <v>sex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DATE(Configurações!$B$3,9,4)</f>
        <v>46269</v>
      </c>
      <c r="B85" s="2" t="str">
        <f t="shared" si="1"/>
        <v>sex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DATE(Configurações!$B$3,9,4)</f>
        <v>46269</v>
      </c>
      <c r="B86" s="2" t="str">
        <f t="shared" si="1"/>
        <v>sex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DATE(Configurações!$B$3,9,4)</f>
        <v>46269</v>
      </c>
      <c r="B87" s="2" t="str">
        <f t="shared" si="1"/>
        <v>sex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DATE(Configurações!$B$3,9,4)</f>
        <v>46269</v>
      </c>
      <c r="B88" s="2" t="str">
        <f t="shared" si="1"/>
        <v>sex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DATE(Configurações!$B$3,9,4)</f>
        <v>46269</v>
      </c>
      <c r="B89" s="2" t="str">
        <f t="shared" si="1"/>
        <v>sex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DATE(Configurações!$B$3,9,4)</f>
        <v>46269</v>
      </c>
      <c r="B90" s="2" t="str">
        <f t="shared" si="1"/>
        <v>sex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DATE(Configurações!$B$3,9,4)</f>
        <v>46269</v>
      </c>
      <c r="B91" s="2" t="str">
        <f t="shared" si="1"/>
        <v>sex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DATE(Configurações!$B$3,9,4)</f>
        <v>46269</v>
      </c>
      <c r="B92" s="2" t="str">
        <f t="shared" si="1"/>
        <v>sex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DATE(Configurações!$B$3,9,4)</f>
        <v>46269</v>
      </c>
      <c r="B93" s="2" t="str">
        <f t="shared" si="1"/>
        <v>sex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DATE(Configurações!$B$3,9,4)</f>
        <v>46269</v>
      </c>
      <c r="B94" s="2" t="str">
        <f t="shared" si="1"/>
        <v>sex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DATE(Configurações!$B$3,9,4)</f>
        <v>46269</v>
      </c>
      <c r="B95" s="2" t="str">
        <f t="shared" si="1"/>
        <v>sex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DATE(Configurações!$B$3,9,4)</f>
        <v>46269</v>
      </c>
      <c r="B96" s="2" t="str">
        <f t="shared" si="1"/>
        <v>sex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DATE(Configurações!$B$3,9,4)</f>
        <v>46269</v>
      </c>
      <c r="B97" s="2" t="str">
        <f t="shared" si="1"/>
        <v>sex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DATE(Configurações!$B$3,9,5)</f>
        <v>46270</v>
      </c>
      <c r="B98" s="2" t="str">
        <f t="shared" si="1"/>
        <v>sáb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DATE(Configurações!$B$3,9,5)</f>
        <v>46270</v>
      </c>
      <c r="B99" s="2" t="str">
        <f t="shared" si="1"/>
        <v>sáb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DATE(Configurações!$B$3,9,5)</f>
        <v>46270</v>
      </c>
      <c r="B100" s="2" t="str">
        <f t="shared" si="1"/>
        <v>sáb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DATE(Configurações!$B$3,9,5)</f>
        <v>46270</v>
      </c>
      <c r="B101" s="2" t="str">
        <f t="shared" si="1"/>
        <v>sáb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DATE(Configurações!$B$3,9,5)</f>
        <v>46270</v>
      </c>
      <c r="B102" s="2" t="str">
        <f t="shared" si="1"/>
        <v>sáb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DATE(Configurações!$B$3,9,5)</f>
        <v>46270</v>
      </c>
      <c r="B103" s="2" t="str">
        <f t="shared" si="1"/>
        <v>sáb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DATE(Configurações!$B$3,9,5)</f>
        <v>46270</v>
      </c>
      <c r="B104" s="2" t="str">
        <f t="shared" si="1"/>
        <v>sáb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DATE(Configurações!$B$3,9,5)</f>
        <v>46270</v>
      </c>
      <c r="B105" s="2" t="str">
        <f t="shared" si="1"/>
        <v>sáb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DATE(Configurações!$B$3,9,5)</f>
        <v>46270</v>
      </c>
      <c r="B106" s="2" t="str">
        <f t="shared" si="1"/>
        <v>sáb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DATE(Configurações!$B$3,9,5)</f>
        <v>46270</v>
      </c>
      <c r="B107" s="2" t="str">
        <f t="shared" si="1"/>
        <v>sáb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DATE(Configurações!$B$3,9,5)</f>
        <v>46270</v>
      </c>
      <c r="B108" s="2" t="str">
        <f t="shared" si="1"/>
        <v>sáb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DATE(Configurações!$B$3,9,5)</f>
        <v>46270</v>
      </c>
      <c r="B109" s="2" t="str">
        <f t="shared" si="1"/>
        <v>sáb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DATE(Configurações!$B$3,9,5)</f>
        <v>46270</v>
      </c>
      <c r="B110" s="2" t="str">
        <f t="shared" si="1"/>
        <v>sáb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DATE(Configurações!$B$3,9,5)</f>
        <v>46270</v>
      </c>
      <c r="B111" s="2" t="str">
        <f t="shared" si="1"/>
        <v>sáb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DATE(Configurações!$B$3,9,5)</f>
        <v>46270</v>
      </c>
      <c r="B112" s="2" t="str">
        <f t="shared" si="1"/>
        <v>sáb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DATE(Configurações!$B$3,9,5)</f>
        <v>46270</v>
      </c>
      <c r="B113" s="2" t="str">
        <f t="shared" si="1"/>
        <v>sáb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DATE(Configurações!$B$3,9,5)</f>
        <v>46270</v>
      </c>
      <c r="B114" s="2" t="str">
        <f t="shared" si="1"/>
        <v>sáb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DATE(Configurações!$B$3,9,5)</f>
        <v>46270</v>
      </c>
      <c r="B115" s="2" t="str">
        <f t="shared" si="1"/>
        <v>sáb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DATE(Configurações!$B$3,9,5)</f>
        <v>46270</v>
      </c>
      <c r="B116" s="2" t="str">
        <f t="shared" si="1"/>
        <v>sáb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DATE(Configurações!$B$3,9,5)</f>
        <v>46270</v>
      </c>
      <c r="B117" s="2" t="str">
        <f t="shared" si="1"/>
        <v>sáb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DATE(Configurações!$B$3,9,5)</f>
        <v>46270</v>
      </c>
      <c r="B118" s="2" t="str">
        <f t="shared" si="1"/>
        <v>sáb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DATE(Configurações!$B$3,9,5)</f>
        <v>46270</v>
      </c>
      <c r="B119" s="2" t="str">
        <f t="shared" si="1"/>
        <v>sáb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DATE(Configurações!$B$3,9,5)</f>
        <v>46270</v>
      </c>
      <c r="B120" s="2" t="str">
        <f t="shared" si="1"/>
        <v>sáb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DATE(Configurações!$B$3,9,6)</f>
        <v>46271</v>
      </c>
      <c r="B121" s="2" t="str">
        <f t="shared" si="1"/>
        <v>dom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DATE(Configurações!$B$3,9,6)</f>
        <v>46271</v>
      </c>
      <c r="B122" s="2" t="str">
        <f t="shared" si="1"/>
        <v>dom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DATE(Configurações!$B$3,9,6)</f>
        <v>46271</v>
      </c>
      <c r="B123" s="2" t="str">
        <f t="shared" si="1"/>
        <v>dom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DATE(Configurações!$B$3,9,6)</f>
        <v>46271</v>
      </c>
      <c r="B124" s="2" t="str">
        <f t="shared" si="1"/>
        <v>dom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DATE(Configurações!$B$3,9,6)</f>
        <v>46271</v>
      </c>
      <c r="B125" s="2" t="str">
        <f t="shared" si="1"/>
        <v>dom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DATE(Configurações!$B$3,9,6)</f>
        <v>46271</v>
      </c>
      <c r="B126" s="2" t="str">
        <f t="shared" si="1"/>
        <v>dom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DATE(Configurações!$B$3,9,6)</f>
        <v>46271</v>
      </c>
      <c r="B127" s="2" t="str">
        <f t="shared" si="1"/>
        <v>dom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DATE(Configurações!$B$3,9,6)</f>
        <v>46271</v>
      </c>
      <c r="B128" s="2" t="str">
        <f t="shared" si="1"/>
        <v>dom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DATE(Configurações!$B$3,9,6)</f>
        <v>46271</v>
      </c>
      <c r="B129" s="2" t="str">
        <f t="shared" si="1"/>
        <v>dom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DATE(Configurações!$B$3,9,6)</f>
        <v>46271</v>
      </c>
      <c r="B130" s="2" t="str">
        <f t="shared" si="1"/>
        <v>dom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DATE(Configurações!$B$3,9,6)</f>
        <v>46271</v>
      </c>
      <c r="B131" s="2" t="str">
        <f t="shared" si="1"/>
        <v>dom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DATE(Configurações!$B$3,9,6)</f>
        <v>46271</v>
      </c>
      <c r="B132" s="2" t="str">
        <f t="shared" si="1"/>
        <v>dom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DATE(Configurações!$B$3,9,6)</f>
        <v>46271</v>
      </c>
      <c r="B133" s="2" t="str">
        <f t="shared" si="1"/>
        <v>dom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DATE(Configurações!$B$3,9,6)</f>
        <v>46271</v>
      </c>
      <c r="B134" s="2" t="str">
        <f t="shared" ref="B134:B197" si="2">TEXT(A134,"ddd")</f>
        <v>dom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DATE(Configurações!$B$3,9,6)</f>
        <v>46271</v>
      </c>
      <c r="B135" s="2" t="str">
        <f t="shared" si="2"/>
        <v>dom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DATE(Configurações!$B$3,9,6)</f>
        <v>46271</v>
      </c>
      <c r="B136" s="2" t="str">
        <f t="shared" si="2"/>
        <v>dom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DATE(Configurações!$B$3,9,6)</f>
        <v>46271</v>
      </c>
      <c r="B137" s="2" t="str">
        <f t="shared" si="2"/>
        <v>dom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DATE(Configurações!$B$3,9,6)</f>
        <v>46271</v>
      </c>
      <c r="B138" s="2" t="str">
        <f t="shared" si="2"/>
        <v>dom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DATE(Configurações!$B$3,9,6)</f>
        <v>46271</v>
      </c>
      <c r="B139" s="2" t="str">
        <f t="shared" si="2"/>
        <v>dom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DATE(Configurações!$B$3,9,6)</f>
        <v>46271</v>
      </c>
      <c r="B140" s="2" t="str">
        <f t="shared" si="2"/>
        <v>dom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DATE(Configurações!$B$3,9,6)</f>
        <v>46271</v>
      </c>
      <c r="B141" s="2" t="str">
        <f t="shared" si="2"/>
        <v>dom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DATE(Configurações!$B$3,9,6)</f>
        <v>46271</v>
      </c>
      <c r="B142" s="2" t="str">
        <f t="shared" si="2"/>
        <v>dom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DATE(Configurações!$B$3,9,6)</f>
        <v>46271</v>
      </c>
      <c r="B143" s="2" t="str">
        <f t="shared" si="2"/>
        <v>dom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DATE(Configurações!$B$3,9,7)</f>
        <v>46272</v>
      </c>
      <c r="B144" s="2" t="str">
        <f t="shared" si="2"/>
        <v>seg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DATE(Configurações!$B$3,9,7)</f>
        <v>46272</v>
      </c>
      <c r="B145" s="2" t="str">
        <f t="shared" si="2"/>
        <v>seg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DATE(Configurações!$B$3,9,7)</f>
        <v>46272</v>
      </c>
      <c r="B146" s="2" t="str">
        <f t="shared" si="2"/>
        <v>seg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DATE(Configurações!$B$3,9,7)</f>
        <v>46272</v>
      </c>
      <c r="B147" s="2" t="str">
        <f t="shared" si="2"/>
        <v>seg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DATE(Configurações!$B$3,9,7)</f>
        <v>46272</v>
      </c>
      <c r="B148" s="2" t="str">
        <f t="shared" si="2"/>
        <v>seg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DATE(Configurações!$B$3,9,7)</f>
        <v>46272</v>
      </c>
      <c r="B149" s="2" t="str">
        <f t="shared" si="2"/>
        <v>seg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DATE(Configurações!$B$3,9,7)</f>
        <v>46272</v>
      </c>
      <c r="B150" s="2" t="str">
        <f t="shared" si="2"/>
        <v>seg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DATE(Configurações!$B$3,9,7)</f>
        <v>46272</v>
      </c>
      <c r="B151" s="2" t="str">
        <f t="shared" si="2"/>
        <v>seg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DATE(Configurações!$B$3,9,7)</f>
        <v>46272</v>
      </c>
      <c r="B152" s="2" t="str">
        <f t="shared" si="2"/>
        <v>seg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DATE(Configurações!$B$3,9,7)</f>
        <v>46272</v>
      </c>
      <c r="B153" s="2" t="str">
        <f t="shared" si="2"/>
        <v>seg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DATE(Configurações!$B$3,9,7)</f>
        <v>46272</v>
      </c>
      <c r="B154" s="2" t="str">
        <f t="shared" si="2"/>
        <v>seg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DATE(Configurações!$B$3,9,7)</f>
        <v>46272</v>
      </c>
      <c r="B155" s="2" t="str">
        <f t="shared" si="2"/>
        <v>seg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DATE(Configurações!$B$3,9,7)</f>
        <v>46272</v>
      </c>
      <c r="B156" s="2" t="str">
        <f t="shared" si="2"/>
        <v>seg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DATE(Configurações!$B$3,9,7)</f>
        <v>46272</v>
      </c>
      <c r="B157" s="2" t="str">
        <f t="shared" si="2"/>
        <v>seg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DATE(Configurações!$B$3,9,7)</f>
        <v>46272</v>
      </c>
      <c r="B158" s="2" t="str">
        <f t="shared" si="2"/>
        <v>seg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DATE(Configurações!$B$3,9,7)</f>
        <v>46272</v>
      </c>
      <c r="B159" s="2" t="str">
        <f t="shared" si="2"/>
        <v>seg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DATE(Configurações!$B$3,9,7)</f>
        <v>46272</v>
      </c>
      <c r="B160" s="2" t="str">
        <f t="shared" si="2"/>
        <v>seg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DATE(Configurações!$B$3,9,7)</f>
        <v>46272</v>
      </c>
      <c r="B161" s="2" t="str">
        <f t="shared" si="2"/>
        <v>seg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DATE(Configurações!$B$3,9,7)</f>
        <v>46272</v>
      </c>
      <c r="B162" s="2" t="str">
        <f t="shared" si="2"/>
        <v>seg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DATE(Configurações!$B$3,9,7)</f>
        <v>46272</v>
      </c>
      <c r="B163" s="2" t="str">
        <f t="shared" si="2"/>
        <v>seg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DATE(Configurações!$B$3,9,7)</f>
        <v>46272</v>
      </c>
      <c r="B164" s="2" t="str">
        <f t="shared" si="2"/>
        <v>seg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DATE(Configurações!$B$3,9,7)</f>
        <v>46272</v>
      </c>
      <c r="B165" s="2" t="str">
        <f t="shared" si="2"/>
        <v>seg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DATE(Configurações!$B$3,9,7)</f>
        <v>46272</v>
      </c>
      <c r="B166" s="2" t="str">
        <f t="shared" si="2"/>
        <v>seg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DATE(Configurações!$B$3,9,8)</f>
        <v>46273</v>
      </c>
      <c r="B167" s="2" t="str">
        <f t="shared" si="2"/>
        <v>ter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DATE(Configurações!$B$3,9,8)</f>
        <v>46273</v>
      </c>
      <c r="B168" s="2" t="str">
        <f t="shared" si="2"/>
        <v>ter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DATE(Configurações!$B$3,9,8)</f>
        <v>46273</v>
      </c>
      <c r="B169" s="2" t="str">
        <f t="shared" si="2"/>
        <v>ter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DATE(Configurações!$B$3,9,8)</f>
        <v>46273</v>
      </c>
      <c r="B170" s="2" t="str">
        <f t="shared" si="2"/>
        <v>ter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DATE(Configurações!$B$3,9,8)</f>
        <v>46273</v>
      </c>
      <c r="B171" s="2" t="str">
        <f t="shared" si="2"/>
        <v>ter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DATE(Configurações!$B$3,9,8)</f>
        <v>46273</v>
      </c>
      <c r="B172" s="2" t="str">
        <f t="shared" si="2"/>
        <v>ter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DATE(Configurações!$B$3,9,8)</f>
        <v>46273</v>
      </c>
      <c r="B173" s="2" t="str">
        <f t="shared" si="2"/>
        <v>ter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DATE(Configurações!$B$3,9,8)</f>
        <v>46273</v>
      </c>
      <c r="B174" s="2" t="str">
        <f t="shared" si="2"/>
        <v>ter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DATE(Configurações!$B$3,9,8)</f>
        <v>46273</v>
      </c>
      <c r="B175" s="2" t="str">
        <f t="shared" si="2"/>
        <v>ter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DATE(Configurações!$B$3,9,8)</f>
        <v>46273</v>
      </c>
      <c r="B176" s="2" t="str">
        <f t="shared" si="2"/>
        <v>ter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DATE(Configurações!$B$3,9,8)</f>
        <v>46273</v>
      </c>
      <c r="B177" s="2" t="str">
        <f t="shared" si="2"/>
        <v>ter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DATE(Configurações!$B$3,9,8)</f>
        <v>46273</v>
      </c>
      <c r="B178" s="2" t="str">
        <f t="shared" si="2"/>
        <v>ter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DATE(Configurações!$B$3,9,8)</f>
        <v>46273</v>
      </c>
      <c r="B179" s="2" t="str">
        <f t="shared" si="2"/>
        <v>ter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DATE(Configurações!$B$3,9,8)</f>
        <v>46273</v>
      </c>
      <c r="B180" s="2" t="str">
        <f t="shared" si="2"/>
        <v>ter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DATE(Configurações!$B$3,9,8)</f>
        <v>46273</v>
      </c>
      <c r="B181" s="2" t="str">
        <f t="shared" si="2"/>
        <v>ter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DATE(Configurações!$B$3,9,8)</f>
        <v>46273</v>
      </c>
      <c r="B182" s="2" t="str">
        <f t="shared" si="2"/>
        <v>ter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DATE(Configurações!$B$3,9,8)</f>
        <v>46273</v>
      </c>
      <c r="B183" s="2" t="str">
        <f t="shared" si="2"/>
        <v>ter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DATE(Configurações!$B$3,9,8)</f>
        <v>46273</v>
      </c>
      <c r="B184" s="2" t="str">
        <f t="shared" si="2"/>
        <v>ter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DATE(Configurações!$B$3,9,8)</f>
        <v>46273</v>
      </c>
      <c r="B185" s="2" t="str">
        <f t="shared" si="2"/>
        <v>ter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DATE(Configurações!$B$3,9,8)</f>
        <v>46273</v>
      </c>
      <c r="B186" s="2" t="str">
        <f t="shared" si="2"/>
        <v>ter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DATE(Configurações!$B$3,9,8)</f>
        <v>46273</v>
      </c>
      <c r="B187" s="2" t="str">
        <f t="shared" si="2"/>
        <v>ter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DATE(Configurações!$B$3,9,8)</f>
        <v>46273</v>
      </c>
      <c r="B188" s="2" t="str">
        <f t="shared" si="2"/>
        <v>ter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DATE(Configurações!$B$3,9,8)</f>
        <v>46273</v>
      </c>
      <c r="B189" s="2" t="str">
        <f t="shared" si="2"/>
        <v>ter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DATE(Configurações!$B$3,9,9)</f>
        <v>46274</v>
      </c>
      <c r="B190" s="2" t="str">
        <f t="shared" si="2"/>
        <v>qua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DATE(Configurações!$B$3,9,9)</f>
        <v>46274</v>
      </c>
      <c r="B191" s="2" t="str">
        <f t="shared" si="2"/>
        <v>qua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DATE(Configurações!$B$3,9,9)</f>
        <v>46274</v>
      </c>
      <c r="B192" s="2" t="str">
        <f t="shared" si="2"/>
        <v>qua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DATE(Configurações!$B$3,9,9)</f>
        <v>46274</v>
      </c>
      <c r="B193" s="2" t="str">
        <f t="shared" si="2"/>
        <v>qua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DATE(Configurações!$B$3,9,9)</f>
        <v>46274</v>
      </c>
      <c r="B194" s="2" t="str">
        <f t="shared" si="2"/>
        <v>qua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DATE(Configurações!$B$3,9,9)</f>
        <v>46274</v>
      </c>
      <c r="B195" s="2" t="str">
        <f t="shared" si="2"/>
        <v>qua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DATE(Configurações!$B$3,9,9)</f>
        <v>46274</v>
      </c>
      <c r="B196" s="2" t="str">
        <f t="shared" si="2"/>
        <v>qua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DATE(Configurações!$B$3,9,9)</f>
        <v>46274</v>
      </c>
      <c r="B197" s="2" t="str">
        <f t="shared" si="2"/>
        <v>qua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DATE(Configurações!$B$3,9,9)</f>
        <v>46274</v>
      </c>
      <c r="B198" s="2" t="str">
        <f t="shared" ref="B198:B261" si="3">TEXT(A198,"ddd")</f>
        <v>qua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DATE(Configurações!$B$3,9,9)</f>
        <v>46274</v>
      </c>
      <c r="B199" s="2" t="str">
        <f t="shared" si="3"/>
        <v>qua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DATE(Configurações!$B$3,9,9)</f>
        <v>46274</v>
      </c>
      <c r="B200" s="2" t="str">
        <f t="shared" si="3"/>
        <v>qua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DATE(Configurações!$B$3,9,9)</f>
        <v>46274</v>
      </c>
      <c r="B201" s="2" t="str">
        <f t="shared" si="3"/>
        <v>qua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DATE(Configurações!$B$3,9,9)</f>
        <v>46274</v>
      </c>
      <c r="B202" s="2" t="str">
        <f t="shared" si="3"/>
        <v>qua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DATE(Configurações!$B$3,9,9)</f>
        <v>46274</v>
      </c>
      <c r="B203" s="2" t="str">
        <f t="shared" si="3"/>
        <v>qua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DATE(Configurações!$B$3,9,9)</f>
        <v>46274</v>
      </c>
      <c r="B204" s="2" t="str">
        <f t="shared" si="3"/>
        <v>qua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DATE(Configurações!$B$3,9,9)</f>
        <v>46274</v>
      </c>
      <c r="B205" s="2" t="str">
        <f t="shared" si="3"/>
        <v>qua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DATE(Configurações!$B$3,9,9)</f>
        <v>46274</v>
      </c>
      <c r="B206" s="2" t="str">
        <f t="shared" si="3"/>
        <v>qua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DATE(Configurações!$B$3,9,9)</f>
        <v>46274</v>
      </c>
      <c r="B207" s="2" t="str">
        <f t="shared" si="3"/>
        <v>qua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DATE(Configurações!$B$3,9,9)</f>
        <v>46274</v>
      </c>
      <c r="B208" s="2" t="str">
        <f t="shared" si="3"/>
        <v>qua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DATE(Configurações!$B$3,9,9)</f>
        <v>46274</v>
      </c>
      <c r="B209" s="2" t="str">
        <f t="shared" si="3"/>
        <v>qua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DATE(Configurações!$B$3,9,9)</f>
        <v>46274</v>
      </c>
      <c r="B210" s="2" t="str">
        <f t="shared" si="3"/>
        <v>qua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DATE(Configurações!$B$3,9,9)</f>
        <v>46274</v>
      </c>
      <c r="B211" s="2" t="str">
        <f t="shared" si="3"/>
        <v>qua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DATE(Configurações!$B$3,9,9)</f>
        <v>46274</v>
      </c>
      <c r="B212" s="2" t="str">
        <f t="shared" si="3"/>
        <v>qua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DATE(Configurações!$B$3,9,10)</f>
        <v>46275</v>
      </c>
      <c r="B213" s="2" t="str">
        <f t="shared" si="3"/>
        <v>qui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DATE(Configurações!$B$3,9,10)</f>
        <v>46275</v>
      </c>
      <c r="B214" s="2" t="str">
        <f t="shared" si="3"/>
        <v>qui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DATE(Configurações!$B$3,9,10)</f>
        <v>46275</v>
      </c>
      <c r="B215" s="2" t="str">
        <f t="shared" si="3"/>
        <v>qui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DATE(Configurações!$B$3,9,10)</f>
        <v>46275</v>
      </c>
      <c r="B216" s="2" t="str">
        <f t="shared" si="3"/>
        <v>qui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DATE(Configurações!$B$3,9,10)</f>
        <v>46275</v>
      </c>
      <c r="B217" s="2" t="str">
        <f t="shared" si="3"/>
        <v>qui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DATE(Configurações!$B$3,9,10)</f>
        <v>46275</v>
      </c>
      <c r="B218" s="2" t="str">
        <f t="shared" si="3"/>
        <v>qui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DATE(Configurações!$B$3,9,10)</f>
        <v>46275</v>
      </c>
      <c r="B219" s="2" t="str">
        <f t="shared" si="3"/>
        <v>qui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DATE(Configurações!$B$3,9,10)</f>
        <v>46275</v>
      </c>
      <c r="B220" s="2" t="str">
        <f t="shared" si="3"/>
        <v>qui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DATE(Configurações!$B$3,9,10)</f>
        <v>46275</v>
      </c>
      <c r="B221" s="2" t="str">
        <f t="shared" si="3"/>
        <v>qui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DATE(Configurações!$B$3,9,10)</f>
        <v>46275</v>
      </c>
      <c r="B222" s="2" t="str">
        <f t="shared" si="3"/>
        <v>qui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DATE(Configurações!$B$3,9,10)</f>
        <v>46275</v>
      </c>
      <c r="B223" s="2" t="str">
        <f t="shared" si="3"/>
        <v>qui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DATE(Configurações!$B$3,9,10)</f>
        <v>46275</v>
      </c>
      <c r="B224" s="2" t="str">
        <f t="shared" si="3"/>
        <v>qui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DATE(Configurações!$B$3,9,10)</f>
        <v>46275</v>
      </c>
      <c r="B225" s="2" t="str">
        <f t="shared" si="3"/>
        <v>qui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DATE(Configurações!$B$3,9,10)</f>
        <v>46275</v>
      </c>
      <c r="B226" s="2" t="str">
        <f t="shared" si="3"/>
        <v>qui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DATE(Configurações!$B$3,9,10)</f>
        <v>46275</v>
      </c>
      <c r="B227" s="2" t="str">
        <f t="shared" si="3"/>
        <v>qui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DATE(Configurações!$B$3,9,10)</f>
        <v>46275</v>
      </c>
      <c r="B228" s="2" t="str">
        <f t="shared" si="3"/>
        <v>qui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DATE(Configurações!$B$3,9,10)</f>
        <v>46275</v>
      </c>
      <c r="B229" s="2" t="str">
        <f t="shared" si="3"/>
        <v>qui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DATE(Configurações!$B$3,9,10)</f>
        <v>46275</v>
      </c>
      <c r="B230" s="2" t="str">
        <f t="shared" si="3"/>
        <v>qui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DATE(Configurações!$B$3,9,10)</f>
        <v>46275</v>
      </c>
      <c r="B231" s="2" t="str">
        <f t="shared" si="3"/>
        <v>qui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DATE(Configurações!$B$3,9,10)</f>
        <v>46275</v>
      </c>
      <c r="B232" s="2" t="str">
        <f t="shared" si="3"/>
        <v>qui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DATE(Configurações!$B$3,9,10)</f>
        <v>46275</v>
      </c>
      <c r="B233" s="2" t="str">
        <f t="shared" si="3"/>
        <v>qui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DATE(Configurações!$B$3,9,10)</f>
        <v>46275</v>
      </c>
      <c r="B234" s="2" t="str">
        <f t="shared" si="3"/>
        <v>qui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DATE(Configurações!$B$3,9,10)</f>
        <v>46275</v>
      </c>
      <c r="B235" s="2" t="str">
        <f t="shared" si="3"/>
        <v>qui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DATE(Configurações!$B$3,9,11)</f>
        <v>46276</v>
      </c>
      <c r="B236" s="2" t="str">
        <f t="shared" si="3"/>
        <v>sex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DATE(Configurações!$B$3,9,11)</f>
        <v>46276</v>
      </c>
      <c r="B237" s="2" t="str">
        <f t="shared" si="3"/>
        <v>sex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DATE(Configurações!$B$3,9,11)</f>
        <v>46276</v>
      </c>
      <c r="B238" s="2" t="str">
        <f t="shared" si="3"/>
        <v>sex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DATE(Configurações!$B$3,9,11)</f>
        <v>46276</v>
      </c>
      <c r="B239" s="2" t="str">
        <f t="shared" si="3"/>
        <v>sex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DATE(Configurações!$B$3,9,11)</f>
        <v>46276</v>
      </c>
      <c r="B240" s="2" t="str">
        <f t="shared" si="3"/>
        <v>sex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DATE(Configurações!$B$3,9,11)</f>
        <v>46276</v>
      </c>
      <c r="B241" s="2" t="str">
        <f t="shared" si="3"/>
        <v>sex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DATE(Configurações!$B$3,9,11)</f>
        <v>46276</v>
      </c>
      <c r="B242" s="2" t="str">
        <f t="shared" si="3"/>
        <v>sex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DATE(Configurações!$B$3,9,11)</f>
        <v>46276</v>
      </c>
      <c r="B243" s="2" t="str">
        <f t="shared" si="3"/>
        <v>sex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DATE(Configurações!$B$3,9,11)</f>
        <v>46276</v>
      </c>
      <c r="B244" s="2" t="str">
        <f t="shared" si="3"/>
        <v>sex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DATE(Configurações!$B$3,9,11)</f>
        <v>46276</v>
      </c>
      <c r="B245" s="2" t="str">
        <f t="shared" si="3"/>
        <v>sex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DATE(Configurações!$B$3,9,11)</f>
        <v>46276</v>
      </c>
      <c r="B246" s="2" t="str">
        <f t="shared" si="3"/>
        <v>sex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DATE(Configurações!$B$3,9,11)</f>
        <v>46276</v>
      </c>
      <c r="B247" s="2" t="str">
        <f t="shared" si="3"/>
        <v>sex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DATE(Configurações!$B$3,9,11)</f>
        <v>46276</v>
      </c>
      <c r="B248" s="2" t="str">
        <f t="shared" si="3"/>
        <v>sex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DATE(Configurações!$B$3,9,11)</f>
        <v>46276</v>
      </c>
      <c r="B249" s="2" t="str">
        <f t="shared" si="3"/>
        <v>sex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DATE(Configurações!$B$3,9,11)</f>
        <v>46276</v>
      </c>
      <c r="B250" s="2" t="str">
        <f t="shared" si="3"/>
        <v>sex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DATE(Configurações!$B$3,9,11)</f>
        <v>46276</v>
      </c>
      <c r="B251" s="2" t="str">
        <f t="shared" si="3"/>
        <v>sex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DATE(Configurações!$B$3,9,11)</f>
        <v>46276</v>
      </c>
      <c r="B252" s="2" t="str">
        <f t="shared" si="3"/>
        <v>sex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DATE(Configurações!$B$3,9,11)</f>
        <v>46276</v>
      </c>
      <c r="B253" s="2" t="str">
        <f t="shared" si="3"/>
        <v>sex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DATE(Configurações!$B$3,9,11)</f>
        <v>46276</v>
      </c>
      <c r="B254" s="2" t="str">
        <f t="shared" si="3"/>
        <v>sex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DATE(Configurações!$B$3,9,11)</f>
        <v>46276</v>
      </c>
      <c r="B255" s="2" t="str">
        <f t="shared" si="3"/>
        <v>sex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DATE(Configurações!$B$3,9,11)</f>
        <v>46276</v>
      </c>
      <c r="B256" s="2" t="str">
        <f t="shared" si="3"/>
        <v>sex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DATE(Configurações!$B$3,9,11)</f>
        <v>46276</v>
      </c>
      <c r="B257" s="2" t="str">
        <f t="shared" si="3"/>
        <v>sex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DATE(Configurações!$B$3,9,11)</f>
        <v>46276</v>
      </c>
      <c r="B258" s="2" t="str">
        <f t="shared" si="3"/>
        <v>sex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DATE(Configurações!$B$3,9,12)</f>
        <v>46277</v>
      </c>
      <c r="B259" s="2" t="str">
        <f t="shared" si="3"/>
        <v>sáb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DATE(Configurações!$B$3,9,12)</f>
        <v>46277</v>
      </c>
      <c r="B260" s="2" t="str">
        <f t="shared" si="3"/>
        <v>sáb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DATE(Configurações!$B$3,9,12)</f>
        <v>46277</v>
      </c>
      <c r="B261" s="2" t="str">
        <f t="shared" si="3"/>
        <v>sáb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DATE(Configurações!$B$3,9,12)</f>
        <v>46277</v>
      </c>
      <c r="B262" s="2" t="str">
        <f t="shared" ref="B262:B325" si="4">TEXT(A262,"ddd")</f>
        <v>sáb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DATE(Configurações!$B$3,9,12)</f>
        <v>46277</v>
      </c>
      <c r="B263" s="2" t="str">
        <f t="shared" si="4"/>
        <v>sáb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DATE(Configurações!$B$3,9,12)</f>
        <v>46277</v>
      </c>
      <c r="B264" s="2" t="str">
        <f t="shared" si="4"/>
        <v>sáb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DATE(Configurações!$B$3,9,12)</f>
        <v>46277</v>
      </c>
      <c r="B265" s="2" t="str">
        <f t="shared" si="4"/>
        <v>sáb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DATE(Configurações!$B$3,9,12)</f>
        <v>46277</v>
      </c>
      <c r="B266" s="2" t="str">
        <f t="shared" si="4"/>
        <v>sáb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DATE(Configurações!$B$3,9,12)</f>
        <v>46277</v>
      </c>
      <c r="B267" s="2" t="str">
        <f t="shared" si="4"/>
        <v>sáb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DATE(Configurações!$B$3,9,12)</f>
        <v>46277</v>
      </c>
      <c r="B268" s="2" t="str">
        <f t="shared" si="4"/>
        <v>sáb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DATE(Configurações!$B$3,9,12)</f>
        <v>46277</v>
      </c>
      <c r="B269" s="2" t="str">
        <f t="shared" si="4"/>
        <v>sáb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DATE(Configurações!$B$3,9,12)</f>
        <v>46277</v>
      </c>
      <c r="B270" s="2" t="str">
        <f t="shared" si="4"/>
        <v>sáb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DATE(Configurações!$B$3,9,12)</f>
        <v>46277</v>
      </c>
      <c r="B271" s="2" t="str">
        <f t="shared" si="4"/>
        <v>sáb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DATE(Configurações!$B$3,9,12)</f>
        <v>46277</v>
      </c>
      <c r="B272" s="2" t="str">
        <f t="shared" si="4"/>
        <v>sáb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DATE(Configurações!$B$3,9,12)</f>
        <v>46277</v>
      </c>
      <c r="B273" s="2" t="str">
        <f t="shared" si="4"/>
        <v>sáb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DATE(Configurações!$B$3,9,12)</f>
        <v>46277</v>
      </c>
      <c r="B274" s="2" t="str">
        <f t="shared" si="4"/>
        <v>sáb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DATE(Configurações!$B$3,9,12)</f>
        <v>46277</v>
      </c>
      <c r="B275" s="2" t="str">
        <f t="shared" si="4"/>
        <v>sáb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DATE(Configurações!$B$3,9,12)</f>
        <v>46277</v>
      </c>
      <c r="B276" s="2" t="str">
        <f t="shared" si="4"/>
        <v>sáb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DATE(Configurações!$B$3,9,12)</f>
        <v>46277</v>
      </c>
      <c r="B277" s="2" t="str">
        <f t="shared" si="4"/>
        <v>sáb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DATE(Configurações!$B$3,9,12)</f>
        <v>46277</v>
      </c>
      <c r="B278" s="2" t="str">
        <f t="shared" si="4"/>
        <v>sáb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DATE(Configurações!$B$3,9,12)</f>
        <v>46277</v>
      </c>
      <c r="B279" s="2" t="str">
        <f t="shared" si="4"/>
        <v>sáb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DATE(Configurações!$B$3,9,12)</f>
        <v>46277</v>
      </c>
      <c r="B280" s="2" t="str">
        <f t="shared" si="4"/>
        <v>sáb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DATE(Configurações!$B$3,9,12)</f>
        <v>46277</v>
      </c>
      <c r="B281" s="2" t="str">
        <f t="shared" si="4"/>
        <v>sáb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DATE(Configurações!$B$3,9,13)</f>
        <v>46278</v>
      </c>
      <c r="B282" s="2" t="str">
        <f t="shared" si="4"/>
        <v>dom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DATE(Configurações!$B$3,9,13)</f>
        <v>46278</v>
      </c>
      <c r="B283" s="2" t="str">
        <f t="shared" si="4"/>
        <v>dom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DATE(Configurações!$B$3,9,13)</f>
        <v>46278</v>
      </c>
      <c r="B284" s="2" t="str">
        <f t="shared" si="4"/>
        <v>dom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DATE(Configurações!$B$3,9,13)</f>
        <v>46278</v>
      </c>
      <c r="B285" s="2" t="str">
        <f t="shared" si="4"/>
        <v>dom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DATE(Configurações!$B$3,9,13)</f>
        <v>46278</v>
      </c>
      <c r="B286" s="2" t="str">
        <f t="shared" si="4"/>
        <v>dom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DATE(Configurações!$B$3,9,13)</f>
        <v>46278</v>
      </c>
      <c r="B287" s="2" t="str">
        <f t="shared" si="4"/>
        <v>dom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DATE(Configurações!$B$3,9,13)</f>
        <v>46278</v>
      </c>
      <c r="B288" s="2" t="str">
        <f t="shared" si="4"/>
        <v>dom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DATE(Configurações!$B$3,9,13)</f>
        <v>46278</v>
      </c>
      <c r="B289" s="2" t="str">
        <f t="shared" si="4"/>
        <v>dom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DATE(Configurações!$B$3,9,13)</f>
        <v>46278</v>
      </c>
      <c r="B290" s="2" t="str">
        <f t="shared" si="4"/>
        <v>dom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DATE(Configurações!$B$3,9,13)</f>
        <v>46278</v>
      </c>
      <c r="B291" s="2" t="str">
        <f t="shared" si="4"/>
        <v>dom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DATE(Configurações!$B$3,9,13)</f>
        <v>46278</v>
      </c>
      <c r="B292" s="2" t="str">
        <f t="shared" si="4"/>
        <v>dom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DATE(Configurações!$B$3,9,13)</f>
        <v>46278</v>
      </c>
      <c r="B293" s="2" t="str">
        <f t="shared" si="4"/>
        <v>dom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DATE(Configurações!$B$3,9,13)</f>
        <v>46278</v>
      </c>
      <c r="B294" s="2" t="str">
        <f t="shared" si="4"/>
        <v>dom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DATE(Configurações!$B$3,9,13)</f>
        <v>46278</v>
      </c>
      <c r="B295" s="2" t="str">
        <f t="shared" si="4"/>
        <v>dom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DATE(Configurações!$B$3,9,13)</f>
        <v>46278</v>
      </c>
      <c r="B296" s="2" t="str">
        <f t="shared" si="4"/>
        <v>dom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DATE(Configurações!$B$3,9,13)</f>
        <v>46278</v>
      </c>
      <c r="B297" s="2" t="str">
        <f t="shared" si="4"/>
        <v>dom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DATE(Configurações!$B$3,9,13)</f>
        <v>46278</v>
      </c>
      <c r="B298" s="2" t="str">
        <f t="shared" si="4"/>
        <v>dom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DATE(Configurações!$B$3,9,13)</f>
        <v>46278</v>
      </c>
      <c r="B299" s="2" t="str">
        <f t="shared" si="4"/>
        <v>dom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DATE(Configurações!$B$3,9,13)</f>
        <v>46278</v>
      </c>
      <c r="B300" s="2" t="str">
        <f t="shared" si="4"/>
        <v>dom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DATE(Configurações!$B$3,9,13)</f>
        <v>46278</v>
      </c>
      <c r="B301" s="2" t="str">
        <f t="shared" si="4"/>
        <v>dom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DATE(Configurações!$B$3,9,13)</f>
        <v>46278</v>
      </c>
      <c r="B302" s="2" t="str">
        <f t="shared" si="4"/>
        <v>dom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DATE(Configurações!$B$3,9,13)</f>
        <v>46278</v>
      </c>
      <c r="B303" s="2" t="str">
        <f t="shared" si="4"/>
        <v>dom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DATE(Configurações!$B$3,9,13)</f>
        <v>46278</v>
      </c>
      <c r="B304" s="2" t="str">
        <f t="shared" si="4"/>
        <v>dom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DATE(Configurações!$B$3,9,14)</f>
        <v>46279</v>
      </c>
      <c r="B305" s="2" t="str">
        <f t="shared" si="4"/>
        <v>seg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DATE(Configurações!$B$3,9,14)</f>
        <v>46279</v>
      </c>
      <c r="B306" s="2" t="str">
        <f t="shared" si="4"/>
        <v>seg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DATE(Configurações!$B$3,9,14)</f>
        <v>46279</v>
      </c>
      <c r="B307" s="2" t="str">
        <f t="shared" si="4"/>
        <v>seg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DATE(Configurações!$B$3,9,14)</f>
        <v>46279</v>
      </c>
      <c r="B308" s="2" t="str">
        <f t="shared" si="4"/>
        <v>seg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DATE(Configurações!$B$3,9,14)</f>
        <v>46279</v>
      </c>
      <c r="B309" s="2" t="str">
        <f t="shared" si="4"/>
        <v>seg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DATE(Configurações!$B$3,9,14)</f>
        <v>46279</v>
      </c>
      <c r="B310" s="2" t="str">
        <f t="shared" si="4"/>
        <v>seg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DATE(Configurações!$B$3,9,14)</f>
        <v>46279</v>
      </c>
      <c r="B311" s="2" t="str">
        <f t="shared" si="4"/>
        <v>seg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DATE(Configurações!$B$3,9,14)</f>
        <v>46279</v>
      </c>
      <c r="B312" s="2" t="str">
        <f t="shared" si="4"/>
        <v>seg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DATE(Configurações!$B$3,9,14)</f>
        <v>46279</v>
      </c>
      <c r="B313" s="2" t="str">
        <f t="shared" si="4"/>
        <v>seg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DATE(Configurações!$B$3,9,14)</f>
        <v>46279</v>
      </c>
      <c r="B314" s="2" t="str">
        <f t="shared" si="4"/>
        <v>seg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DATE(Configurações!$B$3,9,14)</f>
        <v>46279</v>
      </c>
      <c r="B315" s="2" t="str">
        <f t="shared" si="4"/>
        <v>seg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DATE(Configurações!$B$3,9,14)</f>
        <v>46279</v>
      </c>
      <c r="B316" s="2" t="str">
        <f t="shared" si="4"/>
        <v>seg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DATE(Configurações!$B$3,9,14)</f>
        <v>46279</v>
      </c>
      <c r="B317" s="2" t="str">
        <f t="shared" si="4"/>
        <v>seg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DATE(Configurações!$B$3,9,14)</f>
        <v>46279</v>
      </c>
      <c r="B318" s="2" t="str">
        <f t="shared" si="4"/>
        <v>seg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DATE(Configurações!$B$3,9,14)</f>
        <v>46279</v>
      </c>
      <c r="B319" s="2" t="str">
        <f t="shared" si="4"/>
        <v>seg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DATE(Configurações!$B$3,9,14)</f>
        <v>46279</v>
      </c>
      <c r="B320" s="2" t="str">
        <f t="shared" si="4"/>
        <v>seg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DATE(Configurações!$B$3,9,14)</f>
        <v>46279</v>
      </c>
      <c r="B321" s="2" t="str">
        <f t="shared" si="4"/>
        <v>seg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DATE(Configurações!$B$3,9,14)</f>
        <v>46279</v>
      </c>
      <c r="B322" s="2" t="str">
        <f t="shared" si="4"/>
        <v>seg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DATE(Configurações!$B$3,9,14)</f>
        <v>46279</v>
      </c>
      <c r="B323" s="2" t="str">
        <f t="shared" si="4"/>
        <v>seg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DATE(Configurações!$B$3,9,14)</f>
        <v>46279</v>
      </c>
      <c r="B324" s="2" t="str">
        <f t="shared" si="4"/>
        <v>seg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DATE(Configurações!$B$3,9,14)</f>
        <v>46279</v>
      </c>
      <c r="B325" s="2" t="str">
        <f t="shared" si="4"/>
        <v>seg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DATE(Configurações!$B$3,9,14)</f>
        <v>46279</v>
      </c>
      <c r="B326" s="2" t="str">
        <f t="shared" ref="B326:B389" si="5">TEXT(A326,"ddd")</f>
        <v>seg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DATE(Configurações!$B$3,9,14)</f>
        <v>46279</v>
      </c>
      <c r="B327" s="2" t="str">
        <f t="shared" si="5"/>
        <v>seg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DATE(Configurações!$B$3,9,15)</f>
        <v>46280</v>
      </c>
      <c r="B328" s="2" t="str">
        <f t="shared" si="5"/>
        <v>ter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DATE(Configurações!$B$3,9,15)</f>
        <v>46280</v>
      </c>
      <c r="B329" s="2" t="str">
        <f t="shared" si="5"/>
        <v>ter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DATE(Configurações!$B$3,9,15)</f>
        <v>46280</v>
      </c>
      <c r="B330" s="2" t="str">
        <f t="shared" si="5"/>
        <v>ter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DATE(Configurações!$B$3,9,15)</f>
        <v>46280</v>
      </c>
      <c r="B331" s="2" t="str">
        <f t="shared" si="5"/>
        <v>ter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DATE(Configurações!$B$3,9,15)</f>
        <v>46280</v>
      </c>
      <c r="B332" s="2" t="str">
        <f t="shared" si="5"/>
        <v>ter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DATE(Configurações!$B$3,9,15)</f>
        <v>46280</v>
      </c>
      <c r="B333" s="2" t="str">
        <f t="shared" si="5"/>
        <v>ter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DATE(Configurações!$B$3,9,15)</f>
        <v>46280</v>
      </c>
      <c r="B334" s="2" t="str">
        <f t="shared" si="5"/>
        <v>ter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DATE(Configurações!$B$3,9,15)</f>
        <v>46280</v>
      </c>
      <c r="B335" s="2" t="str">
        <f t="shared" si="5"/>
        <v>ter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DATE(Configurações!$B$3,9,15)</f>
        <v>46280</v>
      </c>
      <c r="B336" s="2" t="str">
        <f t="shared" si="5"/>
        <v>ter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DATE(Configurações!$B$3,9,15)</f>
        <v>46280</v>
      </c>
      <c r="B337" s="2" t="str">
        <f t="shared" si="5"/>
        <v>ter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DATE(Configurações!$B$3,9,15)</f>
        <v>46280</v>
      </c>
      <c r="B338" s="2" t="str">
        <f t="shared" si="5"/>
        <v>ter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DATE(Configurações!$B$3,9,15)</f>
        <v>46280</v>
      </c>
      <c r="B339" s="2" t="str">
        <f t="shared" si="5"/>
        <v>ter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DATE(Configurações!$B$3,9,15)</f>
        <v>46280</v>
      </c>
      <c r="B340" s="2" t="str">
        <f t="shared" si="5"/>
        <v>ter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DATE(Configurações!$B$3,9,15)</f>
        <v>46280</v>
      </c>
      <c r="B341" s="2" t="str">
        <f t="shared" si="5"/>
        <v>ter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DATE(Configurações!$B$3,9,15)</f>
        <v>46280</v>
      </c>
      <c r="B342" s="2" t="str">
        <f t="shared" si="5"/>
        <v>ter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DATE(Configurações!$B$3,9,15)</f>
        <v>46280</v>
      </c>
      <c r="B343" s="2" t="str">
        <f t="shared" si="5"/>
        <v>ter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DATE(Configurações!$B$3,9,15)</f>
        <v>46280</v>
      </c>
      <c r="B344" s="2" t="str">
        <f t="shared" si="5"/>
        <v>ter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DATE(Configurações!$B$3,9,15)</f>
        <v>46280</v>
      </c>
      <c r="B345" s="2" t="str">
        <f t="shared" si="5"/>
        <v>ter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DATE(Configurações!$B$3,9,15)</f>
        <v>46280</v>
      </c>
      <c r="B346" s="2" t="str">
        <f t="shared" si="5"/>
        <v>ter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DATE(Configurações!$B$3,9,15)</f>
        <v>46280</v>
      </c>
      <c r="B347" s="2" t="str">
        <f t="shared" si="5"/>
        <v>ter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DATE(Configurações!$B$3,9,15)</f>
        <v>46280</v>
      </c>
      <c r="B348" s="2" t="str">
        <f t="shared" si="5"/>
        <v>ter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DATE(Configurações!$B$3,9,15)</f>
        <v>46280</v>
      </c>
      <c r="B349" s="2" t="str">
        <f t="shared" si="5"/>
        <v>ter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DATE(Configurações!$B$3,9,15)</f>
        <v>46280</v>
      </c>
      <c r="B350" s="2" t="str">
        <f t="shared" si="5"/>
        <v>ter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DATE(Configurações!$B$3,9,16)</f>
        <v>46281</v>
      </c>
      <c r="B351" s="2" t="str">
        <f t="shared" si="5"/>
        <v>qua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DATE(Configurações!$B$3,9,16)</f>
        <v>46281</v>
      </c>
      <c r="B352" s="2" t="str">
        <f t="shared" si="5"/>
        <v>qua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DATE(Configurações!$B$3,9,16)</f>
        <v>46281</v>
      </c>
      <c r="B353" s="2" t="str">
        <f t="shared" si="5"/>
        <v>qua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DATE(Configurações!$B$3,9,16)</f>
        <v>46281</v>
      </c>
      <c r="B354" s="2" t="str">
        <f t="shared" si="5"/>
        <v>qua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DATE(Configurações!$B$3,9,16)</f>
        <v>46281</v>
      </c>
      <c r="B355" s="2" t="str">
        <f t="shared" si="5"/>
        <v>qua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DATE(Configurações!$B$3,9,16)</f>
        <v>46281</v>
      </c>
      <c r="B356" s="2" t="str">
        <f t="shared" si="5"/>
        <v>qua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DATE(Configurações!$B$3,9,16)</f>
        <v>46281</v>
      </c>
      <c r="B357" s="2" t="str">
        <f t="shared" si="5"/>
        <v>qua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DATE(Configurações!$B$3,9,16)</f>
        <v>46281</v>
      </c>
      <c r="B358" s="2" t="str">
        <f t="shared" si="5"/>
        <v>qua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DATE(Configurações!$B$3,9,16)</f>
        <v>46281</v>
      </c>
      <c r="B359" s="2" t="str">
        <f t="shared" si="5"/>
        <v>qua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DATE(Configurações!$B$3,9,16)</f>
        <v>46281</v>
      </c>
      <c r="B360" s="2" t="str">
        <f t="shared" si="5"/>
        <v>qua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DATE(Configurações!$B$3,9,16)</f>
        <v>46281</v>
      </c>
      <c r="B361" s="2" t="str">
        <f t="shared" si="5"/>
        <v>qua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DATE(Configurações!$B$3,9,16)</f>
        <v>46281</v>
      </c>
      <c r="B362" s="2" t="str">
        <f t="shared" si="5"/>
        <v>qua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DATE(Configurações!$B$3,9,16)</f>
        <v>46281</v>
      </c>
      <c r="B363" s="2" t="str">
        <f t="shared" si="5"/>
        <v>qua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DATE(Configurações!$B$3,9,16)</f>
        <v>46281</v>
      </c>
      <c r="B364" s="2" t="str">
        <f t="shared" si="5"/>
        <v>qua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DATE(Configurações!$B$3,9,16)</f>
        <v>46281</v>
      </c>
      <c r="B365" s="2" t="str">
        <f t="shared" si="5"/>
        <v>qua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DATE(Configurações!$B$3,9,16)</f>
        <v>46281</v>
      </c>
      <c r="B366" s="2" t="str">
        <f t="shared" si="5"/>
        <v>qua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DATE(Configurações!$B$3,9,16)</f>
        <v>46281</v>
      </c>
      <c r="B367" s="2" t="str">
        <f t="shared" si="5"/>
        <v>qua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DATE(Configurações!$B$3,9,16)</f>
        <v>46281</v>
      </c>
      <c r="B368" s="2" t="str">
        <f t="shared" si="5"/>
        <v>qua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DATE(Configurações!$B$3,9,16)</f>
        <v>46281</v>
      </c>
      <c r="B369" s="2" t="str">
        <f t="shared" si="5"/>
        <v>qua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DATE(Configurações!$B$3,9,16)</f>
        <v>46281</v>
      </c>
      <c r="B370" s="2" t="str">
        <f t="shared" si="5"/>
        <v>qua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DATE(Configurações!$B$3,9,16)</f>
        <v>46281</v>
      </c>
      <c r="B371" s="2" t="str">
        <f t="shared" si="5"/>
        <v>qua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DATE(Configurações!$B$3,9,16)</f>
        <v>46281</v>
      </c>
      <c r="B372" s="2" t="str">
        <f t="shared" si="5"/>
        <v>qua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DATE(Configurações!$B$3,9,16)</f>
        <v>46281</v>
      </c>
      <c r="B373" s="2" t="str">
        <f t="shared" si="5"/>
        <v>qua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DATE(Configurações!$B$3,9,17)</f>
        <v>46282</v>
      </c>
      <c r="B374" s="2" t="str">
        <f t="shared" si="5"/>
        <v>qui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DATE(Configurações!$B$3,9,17)</f>
        <v>46282</v>
      </c>
      <c r="B375" s="2" t="str">
        <f t="shared" si="5"/>
        <v>qui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DATE(Configurações!$B$3,9,17)</f>
        <v>46282</v>
      </c>
      <c r="B376" s="2" t="str">
        <f t="shared" si="5"/>
        <v>qui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DATE(Configurações!$B$3,9,17)</f>
        <v>46282</v>
      </c>
      <c r="B377" s="2" t="str">
        <f t="shared" si="5"/>
        <v>qui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DATE(Configurações!$B$3,9,17)</f>
        <v>46282</v>
      </c>
      <c r="B378" s="2" t="str">
        <f t="shared" si="5"/>
        <v>qui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DATE(Configurações!$B$3,9,17)</f>
        <v>46282</v>
      </c>
      <c r="B379" s="2" t="str">
        <f t="shared" si="5"/>
        <v>qui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DATE(Configurações!$B$3,9,17)</f>
        <v>46282</v>
      </c>
      <c r="B380" s="2" t="str">
        <f t="shared" si="5"/>
        <v>qui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DATE(Configurações!$B$3,9,17)</f>
        <v>46282</v>
      </c>
      <c r="B381" s="2" t="str">
        <f t="shared" si="5"/>
        <v>qui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DATE(Configurações!$B$3,9,17)</f>
        <v>46282</v>
      </c>
      <c r="B382" s="2" t="str">
        <f t="shared" si="5"/>
        <v>qui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DATE(Configurações!$B$3,9,17)</f>
        <v>46282</v>
      </c>
      <c r="B383" s="2" t="str">
        <f t="shared" si="5"/>
        <v>qui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DATE(Configurações!$B$3,9,17)</f>
        <v>46282</v>
      </c>
      <c r="B384" s="2" t="str">
        <f t="shared" si="5"/>
        <v>qui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DATE(Configurações!$B$3,9,17)</f>
        <v>46282</v>
      </c>
      <c r="B385" s="2" t="str">
        <f t="shared" si="5"/>
        <v>qui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DATE(Configurações!$B$3,9,17)</f>
        <v>46282</v>
      </c>
      <c r="B386" s="2" t="str">
        <f t="shared" si="5"/>
        <v>qui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DATE(Configurações!$B$3,9,17)</f>
        <v>46282</v>
      </c>
      <c r="B387" s="2" t="str">
        <f t="shared" si="5"/>
        <v>qui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DATE(Configurações!$B$3,9,17)</f>
        <v>46282</v>
      </c>
      <c r="B388" s="2" t="str">
        <f t="shared" si="5"/>
        <v>qui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DATE(Configurações!$B$3,9,17)</f>
        <v>46282</v>
      </c>
      <c r="B389" s="2" t="str">
        <f t="shared" si="5"/>
        <v>qui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DATE(Configurações!$B$3,9,17)</f>
        <v>46282</v>
      </c>
      <c r="B390" s="2" t="str">
        <f t="shared" ref="B390:B453" si="6">TEXT(A390,"ddd")</f>
        <v>qui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DATE(Configurações!$B$3,9,17)</f>
        <v>46282</v>
      </c>
      <c r="B391" s="2" t="str">
        <f t="shared" si="6"/>
        <v>qui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DATE(Configurações!$B$3,9,17)</f>
        <v>46282</v>
      </c>
      <c r="B392" s="2" t="str">
        <f t="shared" si="6"/>
        <v>qui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DATE(Configurações!$B$3,9,17)</f>
        <v>46282</v>
      </c>
      <c r="B393" s="2" t="str">
        <f t="shared" si="6"/>
        <v>qui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DATE(Configurações!$B$3,9,17)</f>
        <v>46282</v>
      </c>
      <c r="B394" s="2" t="str">
        <f t="shared" si="6"/>
        <v>qui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DATE(Configurações!$B$3,9,17)</f>
        <v>46282</v>
      </c>
      <c r="B395" s="2" t="str">
        <f t="shared" si="6"/>
        <v>qui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DATE(Configurações!$B$3,9,17)</f>
        <v>46282</v>
      </c>
      <c r="B396" s="2" t="str">
        <f t="shared" si="6"/>
        <v>qui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DATE(Configurações!$B$3,9,18)</f>
        <v>46283</v>
      </c>
      <c r="B397" s="2" t="str">
        <f t="shared" si="6"/>
        <v>sex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DATE(Configurações!$B$3,9,18)</f>
        <v>46283</v>
      </c>
      <c r="B398" s="2" t="str">
        <f t="shared" si="6"/>
        <v>sex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DATE(Configurações!$B$3,9,18)</f>
        <v>46283</v>
      </c>
      <c r="B399" s="2" t="str">
        <f t="shared" si="6"/>
        <v>sex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DATE(Configurações!$B$3,9,18)</f>
        <v>46283</v>
      </c>
      <c r="B400" s="2" t="str">
        <f t="shared" si="6"/>
        <v>sex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DATE(Configurações!$B$3,9,18)</f>
        <v>46283</v>
      </c>
      <c r="B401" s="2" t="str">
        <f t="shared" si="6"/>
        <v>sex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DATE(Configurações!$B$3,9,18)</f>
        <v>46283</v>
      </c>
      <c r="B402" s="2" t="str">
        <f t="shared" si="6"/>
        <v>sex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DATE(Configurações!$B$3,9,18)</f>
        <v>46283</v>
      </c>
      <c r="B403" s="2" t="str">
        <f t="shared" si="6"/>
        <v>sex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DATE(Configurações!$B$3,9,18)</f>
        <v>46283</v>
      </c>
      <c r="B404" s="2" t="str">
        <f t="shared" si="6"/>
        <v>sex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DATE(Configurações!$B$3,9,18)</f>
        <v>46283</v>
      </c>
      <c r="B405" s="2" t="str">
        <f t="shared" si="6"/>
        <v>sex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DATE(Configurações!$B$3,9,18)</f>
        <v>46283</v>
      </c>
      <c r="B406" s="2" t="str">
        <f t="shared" si="6"/>
        <v>sex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DATE(Configurações!$B$3,9,18)</f>
        <v>46283</v>
      </c>
      <c r="B407" s="2" t="str">
        <f t="shared" si="6"/>
        <v>sex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DATE(Configurações!$B$3,9,18)</f>
        <v>46283</v>
      </c>
      <c r="B408" s="2" t="str">
        <f t="shared" si="6"/>
        <v>sex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DATE(Configurações!$B$3,9,18)</f>
        <v>46283</v>
      </c>
      <c r="B409" s="2" t="str">
        <f t="shared" si="6"/>
        <v>sex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DATE(Configurações!$B$3,9,18)</f>
        <v>46283</v>
      </c>
      <c r="B410" s="2" t="str">
        <f t="shared" si="6"/>
        <v>sex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DATE(Configurações!$B$3,9,18)</f>
        <v>46283</v>
      </c>
      <c r="B411" s="2" t="str">
        <f t="shared" si="6"/>
        <v>sex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DATE(Configurações!$B$3,9,18)</f>
        <v>46283</v>
      </c>
      <c r="B412" s="2" t="str">
        <f t="shared" si="6"/>
        <v>sex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DATE(Configurações!$B$3,9,18)</f>
        <v>46283</v>
      </c>
      <c r="B413" s="2" t="str">
        <f t="shared" si="6"/>
        <v>sex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DATE(Configurações!$B$3,9,18)</f>
        <v>46283</v>
      </c>
      <c r="B414" s="2" t="str">
        <f t="shared" si="6"/>
        <v>sex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DATE(Configurações!$B$3,9,18)</f>
        <v>46283</v>
      </c>
      <c r="B415" s="2" t="str">
        <f t="shared" si="6"/>
        <v>sex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DATE(Configurações!$B$3,9,18)</f>
        <v>46283</v>
      </c>
      <c r="B416" s="2" t="str">
        <f t="shared" si="6"/>
        <v>sex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DATE(Configurações!$B$3,9,18)</f>
        <v>46283</v>
      </c>
      <c r="B417" s="2" t="str">
        <f t="shared" si="6"/>
        <v>sex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DATE(Configurações!$B$3,9,18)</f>
        <v>46283</v>
      </c>
      <c r="B418" s="2" t="str">
        <f t="shared" si="6"/>
        <v>sex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DATE(Configurações!$B$3,9,18)</f>
        <v>46283</v>
      </c>
      <c r="B419" s="2" t="str">
        <f t="shared" si="6"/>
        <v>sex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DATE(Configurações!$B$3,9,19)</f>
        <v>46284</v>
      </c>
      <c r="B420" s="2" t="str">
        <f t="shared" si="6"/>
        <v>sáb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DATE(Configurações!$B$3,9,19)</f>
        <v>46284</v>
      </c>
      <c r="B421" s="2" t="str">
        <f t="shared" si="6"/>
        <v>sáb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DATE(Configurações!$B$3,9,19)</f>
        <v>46284</v>
      </c>
      <c r="B422" s="2" t="str">
        <f t="shared" si="6"/>
        <v>sáb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DATE(Configurações!$B$3,9,19)</f>
        <v>46284</v>
      </c>
      <c r="B423" s="2" t="str">
        <f t="shared" si="6"/>
        <v>sáb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DATE(Configurações!$B$3,9,19)</f>
        <v>46284</v>
      </c>
      <c r="B424" s="2" t="str">
        <f t="shared" si="6"/>
        <v>sáb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DATE(Configurações!$B$3,9,19)</f>
        <v>46284</v>
      </c>
      <c r="B425" s="2" t="str">
        <f t="shared" si="6"/>
        <v>sáb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DATE(Configurações!$B$3,9,19)</f>
        <v>46284</v>
      </c>
      <c r="B426" s="2" t="str">
        <f t="shared" si="6"/>
        <v>sáb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DATE(Configurações!$B$3,9,19)</f>
        <v>46284</v>
      </c>
      <c r="B427" s="2" t="str">
        <f t="shared" si="6"/>
        <v>sáb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DATE(Configurações!$B$3,9,19)</f>
        <v>46284</v>
      </c>
      <c r="B428" s="2" t="str">
        <f t="shared" si="6"/>
        <v>sáb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DATE(Configurações!$B$3,9,19)</f>
        <v>46284</v>
      </c>
      <c r="B429" s="2" t="str">
        <f t="shared" si="6"/>
        <v>sáb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DATE(Configurações!$B$3,9,19)</f>
        <v>46284</v>
      </c>
      <c r="B430" s="2" t="str">
        <f t="shared" si="6"/>
        <v>sáb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DATE(Configurações!$B$3,9,19)</f>
        <v>46284</v>
      </c>
      <c r="B431" s="2" t="str">
        <f t="shared" si="6"/>
        <v>sáb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DATE(Configurações!$B$3,9,19)</f>
        <v>46284</v>
      </c>
      <c r="B432" s="2" t="str">
        <f t="shared" si="6"/>
        <v>sáb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DATE(Configurações!$B$3,9,19)</f>
        <v>46284</v>
      </c>
      <c r="B433" s="2" t="str">
        <f t="shared" si="6"/>
        <v>sáb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DATE(Configurações!$B$3,9,19)</f>
        <v>46284</v>
      </c>
      <c r="B434" s="2" t="str">
        <f t="shared" si="6"/>
        <v>sáb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DATE(Configurações!$B$3,9,19)</f>
        <v>46284</v>
      </c>
      <c r="B435" s="2" t="str">
        <f t="shared" si="6"/>
        <v>sáb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DATE(Configurações!$B$3,9,19)</f>
        <v>46284</v>
      </c>
      <c r="B436" s="2" t="str">
        <f t="shared" si="6"/>
        <v>sáb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DATE(Configurações!$B$3,9,19)</f>
        <v>46284</v>
      </c>
      <c r="B437" s="2" t="str">
        <f t="shared" si="6"/>
        <v>sáb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DATE(Configurações!$B$3,9,19)</f>
        <v>46284</v>
      </c>
      <c r="B438" s="2" t="str">
        <f t="shared" si="6"/>
        <v>sáb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DATE(Configurações!$B$3,9,19)</f>
        <v>46284</v>
      </c>
      <c r="B439" s="2" t="str">
        <f t="shared" si="6"/>
        <v>sáb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DATE(Configurações!$B$3,9,19)</f>
        <v>46284</v>
      </c>
      <c r="B440" s="2" t="str">
        <f t="shared" si="6"/>
        <v>sáb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DATE(Configurações!$B$3,9,19)</f>
        <v>46284</v>
      </c>
      <c r="B441" s="2" t="str">
        <f t="shared" si="6"/>
        <v>sáb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DATE(Configurações!$B$3,9,19)</f>
        <v>46284</v>
      </c>
      <c r="B442" s="2" t="str">
        <f t="shared" si="6"/>
        <v>sáb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DATE(Configurações!$B$3,9,20)</f>
        <v>46285</v>
      </c>
      <c r="B443" s="2" t="str">
        <f t="shared" si="6"/>
        <v>dom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DATE(Configurações!$B$3,9,20)</f>
        <v>46285</v>
      </c>
      <c r="B444" s="2" t="str">
        <f t="shared" si="6"/>
        <v>dom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DATE(Configurações!$B$3,9,20)</f>
        <v>46285</v>
      </c>
      <c r="B445" s="2" t="str">
        <f t="shared" si="6"/>
        <v>dom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DATE(Configurações!$B$3,9,20)</f>
        <v>46285</v>
      </c>
      <c r="B446" s="2" t="str">
        <f t="shared" si="6"/>
        <v>dom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DATE(Configurações!$B$3,9,20)</f>
        <v>46285</v>
      </c>
      <c r="B447" s="2" t="str">
        <f t="shared" si="6"/>
        <v>dom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DATE(Configurações!$B$3,9,20)</f>
        <v>46285</v>
      </c>
      <c r="B448" s="2" t="str">
        <f t="shared" si="6"/>
        <v>dom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DATE(Configurações!$B$3,9,20)</f>
        <v>46285</v>
      </c>
      <c r="B449" s="2" t="str">
        <f t="shared" si="6"/>
        <v>dom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DATE(Configurações!$B$3,9,20)</f>
        <v>46285</v>
      </c>
      <c r="B450" s="2" t="str">
        <f t="shared" si="6"/>
        <v>dom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DATE(Configurações!$B$3,9,20)</f>
        <v>46285</v>
      </c>
      <c r="B451" s="2" t="str">
        <f t="shared" si="6"/>
        <v>dom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DATE(Configurações!$B$3,9,20)</f>
        <v>46285</v>
      </c>
      <c r="B452" s="2" t="str">
        <f t="shared" si="6"/>
        <v>dom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DATE(Configurações!$B$3,9,20)</f>
        <v>46285</v>
      </c>
      <c r="B453" s="2" t="str">
        <f t="shared" si="6"/>
        <v>dom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DATE(Configurações!$B$3,9,20)</f>
        <v>46285</v>
      </c>
      <c r="B454" s="2" t="str">
        <f t="shared" ref="B454:B517" si="7">TEXT(A454,"ddd")</f>
        <v>dom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DATE(Configurações!$B$3,9,20)</f>
        <v>46285</v>
      </c>
      <c r="B455" s="2" t="str">
        <f t="shared" si="7"/>
        <v>dom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DATE(Configurações!$B$3,9,20)</f>
        <v>46285</v>
      </c>
      <c r="B456" s="2" t="str">
        <f t="shared" si="7"/>
        <v>dom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DATE(Configurações!$B$3,9,20)</f>
        <v>46285</v>
      </c>
      <c r="B457" s="2" t="str">
        <f t="shared" si="7"/>
        <v>dom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DATE(Configurações!$B$3,9,20)</f>
        <v>46285</v>
      </c>
      <c r="B458" s="2" t="str">
        <f t="shared" si="7"/>
        <v>dom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DATE(Configurações!$B$3,9,20)</f>
        <v>46285</v>
      </c>
      <c r="B459" s="2" t="str">
        <f t="shared" si="7"/>
        <v>dom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DATE(Configurações!$B$3,9,20)</f>
        <v>46285</v>
      </c>
      <c r="B460" s="2" t="str">
        <f t="shared" si="7"/>
        <v>dom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DATE(Configurações!$B$3,9,20)</f>
        <v>46285</v>
      </c>
      <c r="B461" s="2" t="str">
        <f t="shared" si="7"/>
        <v>dom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DATE(Configurações!$B$3,9,20)</f>
        <v>46285</v>
      </c>
      <c r="B462" s="2" t="str">
        <f t="shared" si="7"/>
        <v>dom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DATE(Configurações!$B$3,9,20)</f>
        <v>46285</v>
      </c>
      <c r="B463" s="2" t="str">
        <f t="shared" si="7"/>
        <v>dom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DATE(Configurações!$B$3,9,20)</f>
        <v>46285</v>
      </c>
      <c r="B464" s="2" t="str">
        <f t="shared" si="7"/>
        <v>dom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DATE(Configurações!$B$3,9,20)</f>
        <v>46285</v>
      </c>
      <c r="B465" s="2" t="str">
        <f t="shared" si="7"/>
        <v>dom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DATE(Configurações!$B$3,9,21)</f>
        <v>46286</v>
      </c>
      <c r="B466" s="2" t="str">
        <f t="shared" si="7"/>
        <v>seg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DATE(Configurações!$B$3,9,21)</f>
        <v>46286</v>
      </c>
      <c r="B467" s="2" t="str">
        <f t="shared" si="7"/>
        <v>seg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DATE(Configurações!$B$3,9,21)</f>
        <v>46286</v>
      </c>
      <c r="B468" s="2" t="str">
        <f t="shared" si="7"/>
        <v>seg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DATE(Configurações!$B$3,9,21)</f>
        <v>46286</v>
      </c>
      <c r="B469" s="2" t="str">
        <f t="shared" si="7"/>
        <v>seg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DATE(Configurações!$B$3,9,21)</f>
        <v>46286</v>
      </c>
      <c r="B470" s="2" t="str">
        <f t="shared" si="7"/>
        <v>seg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DATE(Configurações!$B$3,9,21)</f>
        <v>46286</v>
      </c>
      <c r="B471" s="2" t="str">
        <f t="shared" si="7"/>
        <v>seg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DATE(Configurações!$B$3,9,21)</f>
        <v>46286</v>
      </c>
      <c r="B472" s="2" t="str">
        <f t="shared" si="7"/>
        <v>seg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DATE(Configurações!$B$3,9,21)</f>
        <v>46286</v>
      </c>
      <c r="B473" s="2" t="str">
        <f t="shared" si="7"/>
        <v>seg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DATE(Configurações!$B$3,9,21)</f>
        <v>46286</v>
      </c>
      <c r="B474" s="2" t="str">
        <f t="shared" si="7"/>
        <v>seg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DATE(Configurações!$B$3,9,21)</f>
        <v>46286</v>
      </c>
      <c r="B475" s="2" t="str">
        <f t="shared" si="7"/>
        <v>seg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DATE(Configurações!$B$3,9,21)</f>
        <v>46286</v>
      </c>
      <c r="B476" s="2" t="str">
        <f t="shared" si="7"/>
        <v>seg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DATE(Configurações!$B$3,9,21)</f>
        <v>46286</v>
      </c>
      <c r="B477" s="2" t="str">
        <f t="shared" si="7"/>
        <v>seg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DATE(Configurações!$B$3,9,21)</f>
        <v>46286</v>
      </c>
      <c r="B478" s="2" t="str">
        <f t="shared" si="7"/>
        <v>seg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DATE(Configurações!$B$3,9,21)</f>
        <v>46286</v>
      </c>
      <c r="B479" s="2" t="str">
        <f t="shared" si="7"/>
        <v>seg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DATE(Configurações!$B$3,9,21)</f>
        <v>46286</v>
      </c>
      <c r="B480" s="2" t="str">
        <f t="shared" si="7"/>
        <v>seg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DATE(Configurações!$B$3,9,21)</f>
        <v>46286</v>
      </c>
      <c r="B481" s="2" t="str">
        <f t="shared" si="7"/>
        <v>seg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DATE(Configurações!$B$3,9,21)</f>
        <v>46286</v>
      </c>
      <c r="B482" s="2" t="str">
        <f t="shared" si="7"/>
        <v>seg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DATE(Configurações!$B$3,9,21)</f>
        <v>46286</v>
      </c>
      <c r="B483" s="2" t="str">
        <f t="shared" si="7"/>
        <v>seg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DATE(Configurações!$B$3,9,21)</f>
        <v>46286</v>
      </c>
      <c r="B484" s="2" t="str">
        <f t="shared" si="7"/>
        <v>seg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DATE(Configurações!$B$3,9,21)</f>
        <v>46286</v>
      </c>
      <c r="B485" s="2" t="str">
        <f t="shared" si="7"/>
        <v>seg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DATE(Configurações!$B$3,9,21)</f>
        <v>46286</v>
      </c>
      <c r="B486" s="2" t="str">
        <f t="shared" si="7"/>
        <v>seg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DATE(Configurações!$B$3,9,21)</f>
        <v>46286</v>
      </c>
      <c r="B487" s="2" t="str">
        <f t="shared" si="7"/>
        <v>seg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DATE(Configurações!$B$3,9,21)</f>
        <v>46286</v>
      </c>
      <c r="B488" s="2" t="str">
        <f t="shared" si="7"/>
        <v>seg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DATE(Configurações!$B$3,9,22)</f>
        <v>46287</v>
      </c>
      <c r="B489" s="2" t="str">
        <f t="shared" si="7"/>
        <v>ter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DATE(Configurações!$B$3,9,22)</f>
        <v>46287</v>
      </c>
      <c r="B490" s="2" t="str">
        <f t="shared" si="7"/>
        <v>ter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DATE(Configurações!$B$3,9,22)</f>
        <v>46287</v>
      </c>
      <c r="B491" s="2" t="str">
        <f t="shared" si="7"/>
        <v>ter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DATE(Configurações!$B$3,9,22)</f>
        <v>46287</v>
      </c>
      <c r="B492" s="2" t="str">
        <f t="shared" si="7"/>
        <v>ter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DATE(Configurações!$B$3,9,22)</f>
        <v>46287</v>
      </c>
      <c r="B493" s="2" t="str">
        <f t="shared" si="7"/>
        <v>ter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DATE(Configurações!$B$3,9,22)</f>
        <v>46287</v>
      </c>
      <c r="B494" s="2" t="str">
        <f t="shared" si="7"/>
        <v>ter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DATE(Configurações!$B$3,9,22)</f>
        <v>46287</v>
      </c>
      <c r="B495" s="2" t="str">
        <f t="shared" si="7"/>
        <v>ter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DATE(Configurações!$B$3,9,22)</f>
        <v>46287</v>
      </c>
      <c r="B496" s="2" t="str">
        <f t="shared" si="7"/>
        <v>ter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DATE(Configurações!$B$3,9,22)</f>
        <v>46287</v>
      </c>
      <c r="B497" s="2" t="str">
        <f t="shared" si="7"/>
        <v>ter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DATE(Configurações!$B$3,9,22)</f>
        <v>46287</v>
      </c>
      <c r="B498" s="2" t="str">
        <f t="shared" si="7"/>
        <v>ter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DATE(Configurações!$B$3,9,22)</f>
        <v>46287</v>
      </c>
      <c r="B499" s="2" t="str">
        <f t="shared" si="7"/>
        <v>ter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DATE(Configurações!$B$3,9,22)</f>
        <v>46287</v>
      </c>
      <c r="B500" s="2" t="str">
        <f t="shared" si="7"/>
        <v>ter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DATE(Configurações!$B$3,9,22)</f>
        <v>46287</v>
      </c>
      <c r="B501" s="2" t="str">
        <f t="shared" si="7"/>
        <v>ter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DATE(Configurações!$B$3,9,22)</f>
        <v>46287</v>
      </c>
      <c r="B502" s="2" t="str">
        <f t="shared" si="7"/>
        <v>ter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DATE(Configurações!$B$3,9,22)</f>
        <v>46287</v>
      </c>
      <c r="B503" s="2" t="str">
        <f t="shared" si="7"/>
        <v>ter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DATE(Configurações!$B$3,9,22)</f>
        <v>46287</v>
      </c>
      <c r="B504" s="2" t="str">
        <f t="shared" si="7"/>
        <v>ter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DATE(Configurações!$B$3,9,22)</f>
        <v>46287</v>
      </c>
      <c r="B505" s="2" t="str">
        <f t="shared" si="7"/>
        <v>ter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DATE(Configurações!$B$3,9,22)</f>
        <v>46287</v>
      </c>
      <c r="B506" s="2" t="str">
        <f t="shared" si="7"/>
        <v>ter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DATE(Configurações!$B$3,9,22)</f>
        <v>46287</v>
      </c>
      <c r="B507" s="2" t="str">
        <f t="shared" si="7"/>
        <v>ter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DATE(Configurações!$B$3,9,22)</f>
        <v>46287</v>
      </c>
      <c r="B508" s="2" t="str">
        <f t="shared" si="7"/>
        <v>ter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DATE(Configurações!$B$3,9,22)</f>
        <v>46287</v>
      </c>
      <c r="B509" s="2" t="str">
        <f t="shared" si="7"/>
        <v>ter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DATE(Configurações!$B$3,9,22)</f>
        <v>46287</v>
      </c>
      <c r="B510" s="2" t="str">
        <f t="shared" si="7"/>
        <v>ter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DATE(Configurações!$B$3,9,22)</f>
        <v>46287</v>
      </c>
      <c r="B511" s="2" t="str">
        <f t="shared" si="7"/>
        <v>ter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DATE(Configurações!$B$3,9,23)</f>
        <v>46288</v>
      </c>
      <c r="B512" s="2" t="str">
        <f t="shared" si="7"/>
        <v>qua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DATE(Configurações!$B$3,9,23)</f>
        <v>46288</v>
      </c>
      <c r="B513" s="2" t="str">
        <f t="shared" si="7"/>
        <v>qua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DATE(Configurações!$B$3,9,23)</f>
        <v>46288</v>
      </c>
      <c r="B514" s="2" t="str">
        <f t="shared" si="7"/>
        <v>qua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DATE(Configurações!$B$3,9,23)</f>
        <v>46288</v>
      </c>
      <c r="B515" s="2" t="str">
        <f t="shared" si="7"/>
        <v>qua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DATE(Configurações!$B$3,9,23)</f>
        <v>46288</v>
      </c>
      <c r="B516" s="2" t="str">
        <f t="shared" si="7"/>
        <v>qua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DATE(Configurações!$B$3,9,23)</f>
        <v>46288</v>
      </c>
      <c r="B517" s="2" t="str">
        <f t="shared" si="7"/>
        <v>qua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DATE(Configurações!$B$3,9,23)</f>
        <v>46288</v>
      </c>
      <c r="B518" s="2" t="str">
        <f t="shared" ref="B518:B581" si="8">TEXT(A518,"ddd")</f>
        <v>qua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DATE(Configurações!$B$3,9,23)</f>
        <v>46288</v>
      </c>
      <c r="B519" s="2" t="str">
        <f t="shared" si="8"/>
        <v>qua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DATE(Configurações!$B$3,9,23)</f>
        <v>46288</v>
      </c>
      <c r="B520" s="2" t="str">
        <f t="shared" si="8"/>
        <v>qua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DATE(Configurações!$B$3,9,23)</f>
        <v>46288</v>
      </c>
      <c r="B521" s="2" t="str">
        <f t="shared" si="8"/>
        <v>qua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DATE(Configurações!$B$3,9,23)</f>
        <v>46288</v>
      </c>
      <c r="B522" s="2" t="str">
        <f t="shared" si="8"/>
        <v>qua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DATE(Configurações!$B$3,9,23)</f>
        <v>46288</v>
      </c>
      <c r="B523" s="2" t="str">
        <f t="shared" si="8"/>
        <v>qua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DATE(Configurações!$B$3,9,23)</f>
        <v>46288</v>
      </c>
      <c r="B524" s="2" t="str">
        <f t="shared" si="8"/>
        <v>qua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DATE(Configurações!$B$3,9,23)</f>
        <v>46288</v>
      </c>
      <c r="B525" s="2" t="str">
        <f t="shared" si="8"/>
        <v>qua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DATE(Configurações!$B$3,9,23)</f>
        <v>46288</v>
      </c>
      <c r="B526" s="2" t="str">
        <f t="shared" si="8"/>
        <v>qua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DATE(Configurações!$B$3,9,23)</f>
        <v>46288</v>
      </c>
      <c r="B527" s="2" t="str">
        <f t="shared" si="8"/>
        <v>qua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DATE(Configurações!$B$3,9,23)</f>
        <v>46288</v>
      </c>
      <c r="B528" s="2" t="str">
        <f t="shared" si="8"/>
        <v>qua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DATE(Configurações!$B$3,9,23)</f>
        <v>46288</v>
      </c>
      <c r="B529" s="2" t="str">
        <f t="shared" si="8"/>
        <v>qua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DATE(Configurações!$B$3,9,23)</f>
        <v>46288</v>
      </c>
      <c r="B530" s="2" t="str">
        <f t="shared" si="8"/>
        <v>qua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DATE(Configurações!$B$3,9,23)</f>
        <v>46288</v>
      </c>
      <c r="B531" s="2" t="str">
        <f t="shared" si="8"/>
        <v>qua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DATE(Configurações!$B$3,9,23)</f>
        <v>46288</v>
      </c>
      <c r="B532" s="2" t="str">
        <f t="shared" si="8"/>
        <v>qua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DATE(Configurações!$B$3,9,23)</f>
        <v>46288</v>
      </c>
      <c r="B533" s="2" t="str">
        <f t="shared" si="8"/>
        <v>qua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DATE(Configurações!$B$3,9,23)</f>
        <v>46288</v>
      </c>
      <c r="B534" s="2" t="str">
        <f t="shared" si="8"/>
        <v>qua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DATE(Configurações!$B$3,9,24)</f>
        <v>46289</v>
      </c>
      <c r="B535" s="2" t="str">
        <f t="shared" si="8"/>
        <v>qui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DATE(Configurações!$B$3,9,24)</f>
        <v>46289</v>
      </c>
      <c r="B536" s="2" t="str">
        <f t="shared" si="8"/>
        <v>qui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DATE(Configurações!$B$3,9,24)</f>
        <v>46289</v>
      </c>
      <c r="B537" s="2" t="str">
        <f t="shared" si="8"/>
        <v>qui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DATE(Configurações!$B$3,9,24)</f>
        <v>46289</v>
      </c>
      <c r="B538" s="2" t="str">
        <f t="shared" si="8"/>
        <v>qui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DATE(Configurações!$B$3,9,24)</f>
        <v>46289</v>
      </c>
      <c r="B539" s="2" t="str">
        <f t="shared" si="8"/>
        <v>qui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DATE(Configurações!$B$3,9,24)</f>
        <v>46289</v>
      </c>
      <c r="B540" s="2" t="str">
        <f t="shared" si="8"/>
        <v>qui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DATE(Configurações!$B$3,9,24)</f>
        <v>46289</v>
      </c>
      <c r="B541" s="2" t="str">
        <f t="shared" si="8"/>
        <v>qui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DATE(Configurações!$B$3,9,24)</f>
        <v>46289</v>
      </c>
      <c r="B542" s="2" t="str">
        <f t="shared" si="8"/>
        <v>qui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DATE(Configurações!$B$3,9,24)</f>
        <v>46289</v>
      </c>
      <c r="B543" s="2" t="str">
        <f t="shared" si="8"/>
        <v>qui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DATE(Configurações!$B$3,9,24)</f>
        <v>46289</v>
      </c>
      <c r="B544" s="2" t="str">
        <f t="shared" si="8"/>
        <v>qui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DATE(Configurações!$B$3,9,24)</f>
        <v>46289</v>
      </c>
      <c r="B545" s="2" t="str">
        <f t="shared" si="8"/>
        <v>qui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DATE(Configurações!$B$3,9,24)</f>
        <v>46289</v>
      </c>
      <c r="B546" s="2" t="str">
        <f t="shared" si="8"/>
        <v>qui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DATE(Configurações!$B$3,9,24)</f>
        <v>46289</v>
      </c>
      <c r="B547" s="2" t="str">
        <f t="shared" si="8"/>
        <v>qui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DATE(Configurações!$B$3,9,24)</f>
        <v>46289</v>
      </c>
      <c r="B548" s="2" t="str">
        <f t="shared" si="8"/>
        <v>qui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DATE(Configurações!$B$3,9,24)</f>
        <v>46289</v>
      </c>
      <c r="B549" s="2" t="str">
        <f t="shared" si="8"/>
        <v>qui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DATE(Configurações!$B$3,9,24)</f>
        <v>46289</v>
      </c>
      <c r="B550" s="2" t="str">
        <f t="shared" si="8"/>
        <v>qui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DATE(Configurações!$B$3,9,24)</f>
        <v>46289</v>
      </c>
      <c r="B551" s="2" t="str">
        <f t="shared" si="8"/>
        <v>qui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DATE(Configurações!$B$3,9,24)</f>
        <v>46289</v>
      </c>
      <c r="B552" s="2" t="str">
        <f t="shared" si="8"/>
        <v>qui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DATE(Configurações!$B$3,9,24)</f>
        <v>46289</v>
      </c>
      <c r="B553" s="2" t="str">
        <f t="shared" si="8"/>
        <v>qui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DATE(Configurações!$B$3,9,24)</f>
        <v>46289</v>
      </c>
      <c r="B554" s="2" t="str">
        <f t="shared" si="8"/>
        <v>qui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DATE(Configurações!$B$3,9,24)</f>
        <v>46289</v>
      </c>
      <c r="B555" s="2" t="str">
        <f t="shared" si="8"/>
        <v>qui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DATE(Configurações!$B$3,9,24)</f>
        <v>46289</v>
      </c>
      <c r="B556" s="2" t="str">
        <f t="shared" si="8"/>
        <v>qui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DATE(Configurações!$B$3,9,24)</f>
        <v>46289</v>
      </c>
      <c r="B557" s="2" t="str">
        <f t="shared" si="8"/>
        <v>qui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DATE(Configurações!$B$3,9,25)</f>
        <v>46290</v>
      </c>
      <c r="B558" s="2" t="str">
        <f t="shared" si="8"/>
        <v>sex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DATE(Configurações!$B$3,9,25)</f>
        <v>46290</v>
      </c>
      <c r="B559" s="2" t="str">
        <f t="shared" si="8"/>
        <v>sex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DATE(Configurações!$B$3,9,25)</f>
        <v>46290</v>
      </c>
      <c r="B560" s="2" t="str">
        <f t="shared" si="8"/>
        <v>sex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DATE(Configurações!$B$3,9,25)</f>
        <v>46290</v>
      </c>
      <c r="B561" s="2" t="str">
        <f t="shared" si="8"/>
        <v>sex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DATE(Configurações!$B$3,9,25)</f>
        <v>46290</v>
      </c>
      <c r="B562" s="2" t="str">
        <f t="shared" si="8"/>
        <v>sex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DATE(Configurações!$B$3,9,25)</f>
        <v>46290</v>
      </c>
      <c r="B563" s="2" t="str">
        <f t="shared" si="8"/>
        <v>sex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DATE(Configurações!$B$3,9,25)</f>
        <v>46290</v>
      </c>
      <c r="B564" s="2" t="str">
        <f t="shared" si="8"/>
        <v>sex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DATE(Configurações!$B$3,9,25)</f>
        <v>46290</v>
      </c>
      <c r="B565" s="2" t="str">
        <f t="shared" si="8"/>
        <v>sex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DATE(Configurações!$B$3,9,25)</f>
        <v>46290</v>
      </c>
      <c r="B566" s="2" t="str">
        <f t="shared" si="8"/>
        <v>sex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DATE(Configurações!$B$3,9,25)</f>
        <v>46290</v>
      </c>
      <c r="B567" s="2" t="str">
        <f t="shared" si="8"/>
        <v>sex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DATE(Configurações!$B$3,9,25)</f>
        <v>46290</v>
      </c>
      <c r="B568" s="2" t="str">
        <f t="shared" si="8"/>
        <v>sex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DATE(Configurações!$B$3,9,25)</f>
        <v>46290</v>
      </c>
      <c r="B569" s="2" t="str">
        <f t="shared" si="8"/>
        <v>sex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DATE(Configurações!$B$3,9,25)</f>
        <v>46290</v>
      </c>
      <c r="B570" s="2" t="str">
        <f t="shared" si="8"/>
        <v>sex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DATE(Configurações!$B$3,9,25)</f>
        <v>46290</v>
      </c>
      <c r="B571" s="2" t="str">
        <f t="shared" si="8"/>
        <v>sex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DATE(Configurações!$B$3,9,25)</f>
        <v>46290</v>
      </c>
      <c r="B572" s="2" t="str">
        <f t="shared" si="8"/>
        <v>sex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DATE(Configurações!$B$3,9,25)</f>
        <v>46290</v>
      </c>
      <c r="B573" s="2" t="str">
        <f t="shared" si="8"/>
        <v>sex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DATE(Configurações!$B$3,9,25)</f>
        <v>46290</v>
      </c>
      <c r="B574" s="2" t="str">
        <f t="shared" si="8"/>
        <v>sex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DATE(Configurações!$B$3,9,25)</f>
        <v>46290</v>
      </c>
      <c r="B575" s="2" t="str">
        <f t="shared" si="8"/>
        <v>sex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DATE(Configurações!$B$3,9,25)</f>
        <v>46290</v>
      </c>
      <c r="B576" s="2" t="str">
        <f t="shared" si="8"/>
        <v>sex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DATE(Configurações!$B$3,9,25)</f>
        <v>46290</v>
      </c>
      <c r="B577" s="2" t="str">
        <f t="shared" si="8"/>
        <v>sex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DATE(Configurações!$B$3,9,25)</f>
        <v>46290</v>
      </c>
      <c r="B578" s="2" t="str">
        <f t="shared" si="8"/>
        <v>sex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DATE(Configurações!$B$3,9,25)</f>
        <v>46290</v>
      </c>
      <c r="B579" s="2" t="str">
        <f t="shared" si="8"/>
        <v>sex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DATE(Configurações!$B$3,9,25)</f>
        <v>46290</v>
      </c>
      <c r="B580" s="2" t="str">
        <f t="shared" si="8"/>
        <v>sex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DATE(Configurações!$B$3,9,26)</f>
        <v>46291</v>
      </c>
      <c r="B581" s="2" t="str">
        <f t="shared" si="8"/>
        <v>sáb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DATE(Configurações!$B$3,9,26)</f>
        <v>46291</v>
      </c>
      <c r="B582" s="2" t="str">
        <f t="shared" ref="B582:B645" si="9">TEXT(A582,"ddd")</f>
        <v>sáb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DATE(Configurações!$B$3,9,26)</f>
        <v>46291</v>
      </c>
      <c r="B583" s="2" t="str">
        <f t="shared" si="9"/>
        <v>sáb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DATE(Configurações!$B$3,9,26)</f>
        <v>46291</v>
      </c>
      <c r="B584" s="2" t="str">
        <f t="shared" si="9"/>
        <v>sáb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DATE(Configurações!$B$3,9,26)</f>
        <v>46291</v>
      </c>
      <c r="B585" s="2" t="str">
        <f t="shared" si="9"/>
        <v>sáb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DATE(Configurações!$B$3,9,26)</f>
        <v>46291</v>
      </c>
      <c r="B586" s="2" t="str">
        <f t="shared" si="9"/>
        <v>sáb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DATE(Configurações!$B$3,9,26)</f>
        <v>46291</v>
      </c>
      <c r="B587" s="2" t="str">
        <f t="shared" si="9"/>
        <v>sáb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DATE(Configurações!$B$3,9,26)</f>
        <v>46291</v>
      </c>
      <c r="B588" s="2" t="str">
        <f t="shared" si="9"/>
        <v>sáb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DATE(Configurações!$B$3,9,26)</f>
        <v>46291</v>
      </c>
      <c r="B589" s="2" t="str">
        <f t="shared" si="9"/>
        <v>sáb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DATE(Configurações!$B$3,9,26)</f>
        <v>46291</v>
      </c>
      <c r="B590" s="2" t="str">
        <f t="shared" si="9"/>
        <v>sáb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DATE(Configurações!$B$3,9,26)</f>
        <v>46291</v>
      </c>
      <c r="B591" s="2" t="str">
        <f t="shared" si="9"/>
        <v>sáb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DATE(Configurações!$B$3,9,26)</f>
        <v>46291</v>
      </c>
      <c r="B592" s="2" t="str">
        <f t="shared" si="9"/>
        <v>sáb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DATE(Configurações!$B$3,9,26)</f>
        <v>46291</v>
      </c>
      <c r="B593" s="2" t="str">
        <f t="shared" si="9"/>
        <v>sáb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DATE(Configurações!$B$3,9,26)</f>
        <v>46291</v>
      </c>
      <c r="B594" s="2" t="str">
        <f t="shared" si="9"/>
        <v>sáb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DATE(Configurações!$B$3,9,26)</f>
        <v>46291</v>
      </c>
      <c r="B595" s="2" t="str">
        <f t="shared" si="9"/>
        <v>sáb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DATE(Configurações!$B$3,9,26)</f>
        <v>46291</v>
      </c>
      <c r="B596" s="2" t="str">
        <f t="shared" si="9"/>
        <v>sáb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DATE(Configurações!$B$3,9,26)</f>
        <v>46291</v>
      </c>
      <c r="B597" s="2" t="str">
        <f t="shared" si="9"/>
        <v>sáb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DATE(Configurações!$B$3,9,26)</f>
        <v>46291</v>
      </c>
      <c r="B598" s="2" t="str">
        <f t="shared" si="9"/>
        <v>sáb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DATE(Configurações!$B$3,9,26)</f>
        <v>46291</v>
      </c>
      <c r="B599" s="2" t="str">
        <f t="shared" si="9"/>
        <v>sáb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DATE(Configurações!$B$3,9,26)</f>
        <v>46291</v>
      </c>
      <c r="B600" s="2" t="str">
        <f t="shared" si="9"/>
        <v>sáb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DATE(Configurações!$B$3,9,26)</f>
        <v>46291</v>
      </c>
      <c r="B601" s="2" t="str">
        <f t="shared" si="9"/>
        <v>sáb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DATE(Configurações!$B$3,9,26)</f>
        <v>46291</v>
      </c>
      <c r="B602" s="2" t="str">
        <f t="shared" si="9"/>
        <v>sáb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DATE(Configurações!$B$3,9,26)</f>
        <v>46291</v>
      </c>
      <c r="B603" s="2" t="str">
        <f t="shared" si="9"/>
        <v>sáb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DATE(Configurações!$B$3,9,27)</f>
        <v>46292</v>
      </c>
      <c r="B604" s="2" t="str">
        <f t="shared" si="9"/>
        <v>dom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DATE(Configurações!$B$3,9,27)</f>
        <v>46292</v>
      </c>
      <c r="B605" s="2" t="str">
        <f t="shared" si="9"/>
        <v>dom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DATE(Configurações!$B$3,9,27)</f>
        <v>46292</v>
      </c>
      <c r="B606" s="2" t="str">
        <f t="shared" si="9"/>
        <v>dom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DATE(Configurações!$B$3,9,27)</f>
        <v>46292</v>
      </c>
      <c r="B607" s="2" t="str">
        <f t="shared" si="9"/>
        <v>dom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DATE(Configurações!$B$3,9,27)</f>
        <v>46292</v>
      </c>
      <c r="B608" s="2" t="str">
        <f t="shared" si="9"/>
        <v>dom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DATE(Configurações!$B$3,9,27)</f>
        <v>46292</v>
      </c>
      <c r="B609" s="2" t="str">
        <f t="shared" si="9"/>
        <v>dom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DATE(Configurações!$B$3,9,27)</f>
        <v>46292</v>
      </c>
      <c r="B610" s="2" t="str">
        <f t="shared" si="9"/>
        <v>dom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DATE(Configurações!$B$3,9,27)</f>
        <v>46292</v>
      </c>
      <c r="B611" s="2" t="str">
        <f t="shared" si="9"/>
        <v>dom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DATE(Configurações!$B$3,9,27)</f>
        <v>46292</v>
      </c>
      <c r="B612" s="2" t="str">
        <f t="shared" si="9"/>
        <v>dom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DATE(Configurações!$B$3,9,27)</f>
        <v>46292</v>
      </c>
      <c r="B613" s="2" t="str">
        <f t="shared" si="9"/>
        <v>dom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DATE(Configurações!$B$3,9,27)</f>
        <v>46292</v>
      </c>
      <c r="B614" s="2" t="str">
        <f t="shared" si="9"/>
        <v>dom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DATE(Configurações!$B$3,9,27)</f>
        <v>46292</v>
      </c>
      <c r="B615" s="2" t="str">
        <f t="shared" si="9"/>
        <v>dom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DATE(Configurações!$B$3,9,27)</f>
        <v>46292</v>
      </c>
      <c r="B616" s="2" t="str">
        <f t="shared" si="9"/>
        <v>dom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DATE(Configurações!$B$3,9,27)</f>
        <v>46292</v>
      </c>
      <c r="B617" s="2" t="str">
        <f t="shared" si="9"/>
        <v>dom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DATE(Configurações!$B$3,9,27)</f>
        <v>46292</v>
      </c>
      <c r="B618" s="2" t="str">
        <f t="shared" si="9"/>
        <v>dom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DATE(Configurações!$B$3,9,27)</f>
        <v>46292</v>
      </c>
      <c r="B619" s="2" t="str">
        <f t="shared" si="9"/>
        <v>dom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DATE(Configurações!$B$3,9,27)</f>
        <v>46292</v>
      </c>
      <c r="B620" s="2" t="str">
        <f t="shared" si="9"/>
        <v>dom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DATE(Configurações!$B$3,9,27)</f>
        <v>46292</v>
      </c>
      <c r="B621" s="2" t="str">
        <f t="shared" si="9"/>
        <v>dom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DATE(Configurações!$B$3,9,27)</f>
        <v>46292</v>
      </c>
      <c r="B622" s="2" t="str">
        <f t="shared" si="9"/>
        <v>dom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DATE(Configurações!$B$3,9,27)</f>
        <v>46292</v>
      </c>
      <c r="B623" s="2" t="str">
        <f t="shared" si="9"/>
        <v>dom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DATE(Configurações!$B$3,9,27)</f>
        <v>46292</v>
      </c>
      <c r="B624" s="2" t="str">
        <f t="shared" si="9"/>
        <v>dom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DATE(Configurações!$B$3,9,27)</f>
        <v>46292</v>
      </c>
      <c r="B625" s="2" t="str">
        <f t="shared" si="9"/>
        <v>dom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DATE(Configurações!$B$3,9,27)</f>
        <v>46292</v>
      </c>
      <c r="B626" s="2" t="str">
        <f t="shared" si="9"/>
        <v>dom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DATE(Configurações!$B$3,9,28)</f>
        <v>46293</v>
      </c>
      <c r="B627" s="2" t="str">
        <f t="shared" si="9"/>
        <v>seg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DATE(Configurações!$B$3,9,28)</f>
        <v>46293</v>
      </c>
      <c r="B628" s="2" t="str">
        <f t="shared" si="9"/>
        <v>seg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DATE(Configurações!$B$3,9,28)</f>
        <v>46293</v>
      </c>
      <c r="B629" s="2" t="str">
        <f t="shared" si="9"/>
        <v>seg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DATE(Configurações!$B$3,9,28)</f>
        <v>46293</v>
      </c>
      <c r="B630" s="2" t="str">
        <f t="shared" si="9"/>
        <v>seg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DATE(Configurações!$B$3,9,28)</f>
        <v>46293</v>
      </c>
      <c r="B631" s="2" t="str">
        <f t="shared" si="9"/>
        <v>seg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DATE(Configurações!$B$3,9,28)</f>
        <v>46293</v>
      </c>
      <c r="B632" s="2" t="str">
        <f t="shared" si="9"/>
        <v>seg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DATE(Configurações!$B$3,9,28)</f>
        <v>46293</v>
      </c>
      <c r="B633" s="2" t="str">
        <f t="shared" si="9"/>
        <v>seg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DATE(Configurações!$B$3,9,28)</f>
        <v>46293</v>
      </c>
      <c r="B634" s="2" t="str">
        <f t="shared" si="9"/>
        <v>seg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DATE(Configurações!$B$3,9,28)</f>
        <v>46293</v>
      </c>
      <c r="B635" s="2" t="str">
        <f t="shared" si="9"/>
        <v>seg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DATE(Configurações!$B$3,9,28)</f>
        <v>46293</v>
      </c>
      <c r="B636" s="2" t="str">
        <f t="shared" si="9"/>
        <v>seg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DATE(Configurações!$B$3,9,28)</f>
        <v>46293</v>
      </c>
      <c r="B637" s="2" t="str">
        <f t="shared" si="9"/>
        <v>seg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DATE(Configurações!$B$3,9,28)</f>
        <v>46293</v>
      </c>
      <c r="B638" s="2" t="str">
        <f t="shared" si="9"/>
        <v>seg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DATE(Configurações!$B$3,9,28)</f>
        <v>46293</v>
      </c>
      <c r="B639" s="2" t="str">
        <f t="shared" si="9"/>
        <v>seg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DATE(Configurações!$B$3,9,28)</f>
        <v>46293</v>
      </c>
      <c r="B640" s="2" t="str">
        <f t="shared" si="9"/>
        <v>seg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DATE(Configurações!$B$3,9,28)</f>
        <v>46293</v>
      </c>
      <c r="B641" s="2" t="str">
        <f t="shared" si="9"/>
        <v>seg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DATE(Configurações!$B$3,9,28)</f>
        <v>46293</v>
      </c>
      <c r="B642" s="2" t="str">
        <f t="shared" si="9"/>
        <v>seg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DATE(Configurações!$B$3,9,28)</f>
        <v>46293</v>
      </c>
      <c r="B643" s="2" t="str">
        <f t="shared" si="9"/>
        <v>seg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DATE(Configurações!$B$3,9,28)</f>
        <v>46293</v>
      </c>
      <c r="B644" s="2" t="str">
        <f t="shared" si="9"/>
        <v>seg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DATE(Configurações!$B$3,9,28)</f>
        <v>46293</v>
      </c>
      <c r="B645" s="2" t="str">
        <f t="shared" si="9"/>
        <v>seg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DATE(Configurações!$B$3,9,28)</f>
        <v>46293</v>
      </c>
      <c r="B646" s="2" t="str">
        <f t="shared" ref="B646:B709" si="10">TEXT(A646,"ddd")</f>
        <v>seg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DATE(Configurações!$B$3,9,28)</f>
        <v>46293</v>
      </c>
      <c r="B647" s="2" t="str">
        <f t="shared" si="10"/>
        <v>seg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DATE(Configurações!$B$3,9,28)</f>
        <v>46293</v>
      </c>
      <c r="B648" s="2" t="str">
        <f t="shared" si="10"/>
        <v>seg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DATE(Configurações!$B$3,9,28)</f>
        <v>46293</v>
      </c>
      <c r="B649" s="2" t="str">
        <f t="shared" si="10"/>
        <v>seg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DATE(Configurações!$B$3,9,29)</f>
        <v>46294</v>
      </c>
      <c r="B650" s="2" t="str">
        <f t="shared" si="10"/>
        <v>ter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DATE(Configurações!$B$3,9,29)</f>
        <v>46294</v>
      </c>
      <c r="B651" s="2" t="str">
        <f t="shared" si="10"/>
        <v>ter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DATE(Configurações!$B$3,9,29)</f>
        <v>46294</v>
      </c>
      <c r="B652" s="2" t="str">
        <f t="shared" si="10"/>
        <v>ter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DATE(Configurações!$B$3,9,29)</f>
        <v>46294</v>
      </c>
      <c r="B653" s="2" t="str">
        <f t="shared" si="10"/>
        <v>ter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DATE(Configurações!$B$3,9,29)</f>
        <v>46294</v>
      </c>
      <c r="B654" s="2" t="str">
        <f t="shared" si="10"/>
        <v>ter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DATE(Configurações!$B$3,9,29)</f>
        <v>46294</v>
      </c>
      <c r="B655" s="2" t="str">
        <f t="shared" si="10"/>
        <v>ter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DATE(Configurações!$B$3,9,29)</f>
        <v>46294</v>
      </c>
      <c r="B656" s="2" t="str">
        <f t="shared" si="10"/>
        <v>ter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DATE(Configurações!$B$3,9,29)</f>
        <v>46294</v>
      </c>
      <c r="B657" s="2" t="str">
        <f t="shared" si="10"/>
        <v>ter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DATE(Configurações!$B$3,9,29)</f>
        <v>46294</v>
      </c>
      <c r="B658" s="2" t="str">
        <f t="shared" si="10"/>
        <v>ter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DATE(Configurações!$B$3,9,29)</f>
        <v>46294</v>
      </c>
      <c r="B659" s="2" t="str">
        <f t="shared" si="10"/>
        <v>ter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DATE(Configurações!$B$3,9,29)</f>
        <v>46294</v>
      </c>
      <c r="B660" s="2" t="str">
        <f t="shared" si="10"/>
        <v>ter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DATE(Configurações!$B$3,9,29)</f>
        <v>46294</v>
      </c>
      <c r="B661" s="2" t="str">
        <f t="shared" si="10"/>
        <v>ter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DATE(Configurações!$B$3,9,29)</f>
        <v>46294</v>
      </c>
      <c r="B662" s="2" t="str">
        <f t="shared" si="10"/>
        <v>ter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DATE(Configurações!$B$3,9,29)</f>
        <v>46294</v>
      </c>
      <c r="B663" s="2" t="str">
        <f t="shared" si="10"/>
        <v>ter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DATE(Configurações!$B$3,9,29)</f>
        <v>46294</v>
      </c>
      <c r="B664" s="2" t="str">
        <f t="shared" si="10"/>
        <v>ter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DATE(Configurações!$B$3,9,29)</f>
        <v>46294</v>
      </c>
      <c r="B665" s="2" t="str">
        <f t="shared" si="10"/>
        <v>ter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DATE(Configurações!$B$3,9,29)</f>
        <v>46294</v>
      </c>
      <c r="B666" s="2" t="str">
        <f t="shared" si="10"/>
        <v>ter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DATE(Configurações!$B$3,9,29)</f>
        <v>46294</v>
      </c>
      <c r="B667" s="2" t="str">
        <f t="shared" si="10"/>
        <v>ter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DATE(Configurações!$B$3,9,29)</f>
        <v>46294</v>
      </c>
      <c r="B668" s="2" t="str">
        <f t="shared" si="10"/>
        <v>ter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DATE(Configurações!$B$3,9,29)</f>
        <v>46294</v>
      </c>
      <c r="B669" s="2" t="str">
        <f t="shared" si="10"/>
        <v>ter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DATE(Configurações!$B$3,9,29)</f>
        <v>46294</v>
      </c>
      <c r="B670" s="2" t="str">
        <f t="shared" si="10"/>
        <v>ter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DATE(Configurações!$B$3,9,29)</f>
        <v>46294</v>
      </c>
      <c r="B671" s="2" t="str">
        <f t="shared" si="10"/>
        <v>ter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DATE(Configurações!$B$3,9,29)</f>
        <v>46294</v>
      </c>
      <c r="B672" s="2" t="str">
        <f t="shared" si="10"/>
        <v>ter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DATE(Configurações!$B$3,9,30)</f>
        <v>46295</v>
      </c>
      <c r="B673" s="2" t="str">
        <f t="shared" si="10"/>
        <v>qua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DATE(Configurações!$B$3,9,30)</f>
        <v>46295</v>
      </c>
      <c r="B674" s="2" t="str">
        <f t="shared" si="10"/>
        <v>qua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DATE(Configurações!$B$3,9,30)</f>
        <v>46295</v>
      </c>
      <c r="B675" s="2" t="str">
        <f t="shared" si="10"/>
        <v>qua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DATE(Configurações!$B$3,9,30)</f>
        <v>46295</v>
      </c>
      <c r="B676" s="2" t="str">
        <f t="shared" si="10"/>
        <v>qua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DATE(Configurações!$B$3,9,30)</f>
        <v>46295</v>
      </c>
      <c r="B677" s="2" t="str">
        <f t="shared" si="10"/>
        <v>qua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DATE(Configurações!$B$3,9,30)</f>
        <v>46295</v>
      </c>
      <c r="B678" s="2" t="str">
        <f t="shared" si="10"/>
        <v>qua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DATE(Configurações!$B$3,9,30)</f>
        <v>46295</v>
      </c>
      <c r="B679" s="2" t="str">
        <f t="shared" si="10"/>
        <v>qua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DATE(Configurações!$B$3,9,30)</f>
        <v>46295</v>
      </c>
      <c r="B680" s="2" t="str">
        <f t="shared" si="10"/>
        <v>qua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DATE(Configurações!$B$3,9,30)</f>
        <v>46295</v>
      </c>
      <c r="B681" s="2" t="str">
        <f t="shared" si="10"/>
        <v>qua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DATE(Configurações!$B$3,9,30)</f>
        <v>46295</v>
      </c>
      <c r="B682" s="2" t="str">
        <f t="shared" si="10"/>
        <v>qua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DATE(Configurações!$B$3,9,30)</f>
        <v>46295</v>
      </c>
      <c r="B683" s="2" t="str">
        <f t="shared" si="10"/>
        <v>qua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DATE(Configurações!$B$3,9,30)</f>
        <v>46295</v>
      </c>
      <c r="B684" s="2" t="str">
        <f t="shared" si="10"/>
        <v>qua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DATE(Configurações!$B$3,9,30)</f>
        <v>46295</v>
      </c>
      <c r="B685" s="2" t="str">
        <f t="shared" si="10"/>
        <v>qua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DATE(Configurações!$B$3,9,30)</f>
        <v>46295</v>
      </c>
      <c r="B686" s="2" t="str">
        <f t="shared" si="10"/>
        <v>qua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DATE(Configurações!$B$3,9,30)</f>
        <v>46295</v>
      </c>
      <c r="B687" s="2" t="str">
        <f t="shared" si="10"/>
        <v>qua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DATE(Configurações!$B$3,9,30)</f>
        <v>46295</v>
      </c>
      <c r="B688" s="2" t="str">
        <f t="shared" si="10"/>
        <v>qua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DATE(Configurações!$B$3,9,30)</f>
        <v>46295</v>
      </c>
      <c r="B689" s="2" t="str">
        <f t="shared" si="10"/>
        <v>qua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DATE(Configurações!$B$3,9,30)</f>
        <v>46295</v>
      </c>
      <c r="B690" s="2" t="str">
        <f t="shared" si="10"/>
        <v>qua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DATE(Configurações!$B$3,9,30)</f>
        <v>46295</v>
      </c>
      <c r="B691" s="2" t="str">
        <f t="shared" si="10"/>
        <v>qua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DATE(Configurações!$B$3,9,30)</f>
        <v>46295</v>
      </c>
      <c r="B692" s="2" t="str">
        <f t="shared" si="10"/>
        <v>qua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DATE(Configurações!$B$3,9,30)</f>
        <v>46295</v>
      </c>
      <c r="B693" s="2" t="str">
        <f t="shared" si="10"/>
        <v>qua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DATE(Configurações!$B$3,9,30)</f>
        <v>46295</v>
      </c>
      <c r="B694" s="2" t="str">
        <f t="shared" si="10"/>
        <v>qua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DATE(Configurações!$B$3,9,30)</f>
        <v>46295</v>
      </c>
      <c r="B695" s="2" t="str">
        <f t="shared" si="10"/>
        <v>qua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DATE(Configurações!$B$3,9,31)</f>
        <v>46296</v>
      </c>
      <c r="B696" s="2" t="str">
        <f t="shared" si="10"/>
        <v>qui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DATE(Configurações!$B$3,9,31)</f>
        <v>46296</v>
      </c>
      <c r="B697" s="2" t="str">
        <f t="shared" si="10"/>
        <v>qui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DATE(Configurações!$B$3,9,31)</f>
        <v>46296</v>
      </c>
      <c r="B698" s="2" t="str">
        <f t="shared" si="10"/>
        <v>qui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DATE(Configurações!$B$3,9,31)</f>
        <v>46296</v>
      </c>
      <c r="B699" s="2" t="str">
        <f t="shared" si="10"/>
        <v>qui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DATE(Configurações!$B$3,9,31)</f>
        <v>46296</v>
      </c>
      <c r="B700" s="2" t="str">
        <f t="shared" si="10"/>
        <v>qui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DATE(Configurações!$B$3,9,31)</f>
        <v>46296</v>
      </c>
      <c r="B701" s="2" t="str">
        <f t="shared" si="10"/>
        <v>qui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DATE(Configurações!$B$3,9,31)</f>
        <v>46296</v>
      </c>
      <c r="B702" s="2" t="str">
        <f t="shared" si="10"/>
        <v>qui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DATE(Configurações!$B$3,9,31)</f>
        <v>46296</v>
      </c>
      <c r="B703" s="2" t="str">
        <f t="shared" si="10"/>
        <v>qui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DATE(Configurações!$B$3,9,31)</f>
        <v>46296</v>
      </c>
      <c r="B704" s="2" t="str">
        <f t="shared" si="10"/>
        <v>qui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DATE(Configurações!$B$3,9,31)</f>
        <v>46296</v>
      </c>
      <c r="B705" s="2" t="str">
        <f t="shared" si="10"/>
        <v>qui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DATE(Configurações!$B$3,9,31)</f>
        <v>46296</v>
      </c>
      <c r="B706" s="2" t="str">
        <f t="shared" si="10"/>
        <v>qui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DATE(Configurações!$B$3,9,31)</f>
        <v>46296</v>
      </c>
      <c r="B707" s="2" t="str">
        <f t="shared" si="10"/>
        <v>qui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DATE(Configurações!$B$3,9,31)</f>
        <v>46296</v>
      </c>
      <c r="B708" s="2" t="str">
        <f t="shared" si="10"/>
        <v>qui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DATE(Configurações!$B$3,9,31)</f>
        <v>46296</v>
      </c>
      <c r="B709" s="2" t="str">
        <f t="shared" si="10"/>
        <v>qui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DATE(Configurações!$B$3,9,31)</f>
        <v>46296</v>
      </c>
      <c r="B710" s="2" t="str">
        <f t="shared" ref="B710:B773" si="11">TEXT(A710,"ddd")</f>
        <v>qui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DATE(Configurações!$B$3,9,31)</f>
        <v>46296</v>
      </c>
      <c r="B711" s="2" t="str">
        <f t="shared" si="11"/>
        <v>qui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DATE(Configurações!$B$3,9,31)</f>
        <v>46296</v>
      </c>
      <c r="B712" s="2" t="str">
        <f t="shared" si="11"/>
        <v>qui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DATE(Configurações!$B$3,9,31)</f>
        <v>46296</v>
      </c>
      <c r="B713" s="2" t="str">
        <f t="shared" si="11"/>
        <v>qui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DATE(Configurações!$B$3,9,31)</f>
        <v>46296</v>
      </c>
      <c r="B714" s="2" t="str">
        <f t="shared" si="11"/>
        <v>qui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DATE(Configurações!$B$3,9,31)</f>
        <v>46296</v>
      </c>
      <c r="B715" s="2" t="str">
        <f t="shared" si="11"/>
        <v>qui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DATE(Configurações!$B$3,9,31)</f>
        <v>46296</v>
      </c>
      <c r="B716" s="2" t="str">
        <f t="shared" si="11"/>
        <v>qui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DATE(Configurações!$B$3,9,31)</f>
        <v>46296</v>
      </c>
      <c r="B717" s="2" t="str">
        <f t="shared" si="11"/>
        <v>qui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DATE(Configurações!$B$3,9,31)</f>
        <v>46296</v>
      </c>
      <c r="B718" s="2" t="str">
        <f t="shared" si="11"/>
        <v>qui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15" priority="1">
      <formula>F6="Online"</formula>
    </cfRule>
    <cfRule type="expression" dxfId="14" priority="2">
      <formula>F6="Offline"</formula>
    </cfRule>
    <cfRule type="expression" dxfId="13" priority="3">
      <formula>F6="Manutenção"</formula>
    </cfRule>
    <cfRule type="expression" dxfId="12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A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116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DATE(Configurações!$B$3,10,1)</f>
        <v>46296</v>
      </c>
      <c r="B6" s="2" t="str">
        <f t="shared" ref="B6:B69" si="0">TEXT(A6,"ddd")</f>
        <v>qui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DATE(Configurações!$B$3,10,1)</f>
        <v>46296</v>
      </c>
      <c r="B7" s="2" t="str">
        <f t="shared" si="0"/>
        <v>qui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DATE(Configurações!$B$3,10,1)</f>
        <v>46296</v>
      </c>
      <c r="B8" s="2" t="str">
        <f t="shared" si="0"/>
        <v>qui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DATE(Configurações!$B$3,10,1)</f>
        <v>46296</v>
      </c>
      <c r="B9" s="2" t="str">
        <f t="shared" si="0"/>
        <v>qui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DATE(Configurações!$B$3,10,1)</f>
        <v>46296</v>
      </c>
      <c r="B10" s="2" t="str">
        <f t="shared" si="0"/>
        <v>qui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DATE(Configurações!$B$3,10,1)</f>
        <v>46296</v>
      </c>
      <c r="B11" s="2" t="str">
        <f t="shared" si="0"/>
        <v>qui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DATE(Configurações!$B$3,10,1)</f>
        <v>46296</v>
      </c>
      <c r="B12" s="2" t="str">
        <f t="shared" si="0"/>
        <v>qui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DATE(Configurações!$B$3,10,1)</f>
        <v>46296</v>
      </c>
      <c r="B13" s="2" t="str">
        <f t="shared" si="0"/>
        <v>qui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DATE(Configurações!$B$3,10,1)</f>
        <v>46296</v>
      </c>
      <c r="B14" s="2" t="str">
        <f t="shared" si="0"/>
        <v>qui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DATE(Configurações!$B$3,10,1)</f>
        <v>46296</v>
      </c>
      <c r="B15" s="2" t="str">
        <f t="shared" si="0"/>
        <v>qui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DATE(Configurações!$B$3,10,1)</f>
        <v>46296</v>
      </c>
      <c r="B16" s="2" t="str">
        <f t="shared" si="0"/>
        <v>qui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DATE(Configurações!$B$3,10,1)</f>
        <v>46296</v>
      </c>
      <c r="B17" s="2" t="str">
        <f t="shared" si="0"/>
        <v>qui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DATE(Configurações!$B$3,10,1)</f>
        <v>46296</v>
      </c>
      <c r="B18" s="2" t="str">
        <f t="shared" si="0"/>
        <v>qui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DATE(Configurações!$B$3,10,1)</f>
        <v>46296</v>
      </c>
      <c r="B19" s="2" t="str">
        <f t="shared" si="0"/>
        <v>qui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DATE(Configurações!$B$3,10,1)</f>
        <v>46296</v>
      </c>
      <c r="B20" s="2" t="str">
        <f t="shared" si="0"/>
        <v>qui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DATE(Configurações!$B$3,10,1)</f>
        <v>46296</v>
      </c>
      <c r="B21" s="2" t="str">
        <f t="shared" si="0"/>
        <v>qui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DATE(Configurações!$B$3,10,1)</f>
        <v>46296</v>
      </c>
      <c r="B22" s="2" t="str">
        <f t="shared" si="0"/>
        <v>qui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DATE(Configurações!$B$3,10,1)</f>
        <v>46296</v>
      </c>
      <c r="B23" s="2" t="str">
        <f t="shared" si="0"/>
        <v>qui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DATE(Configurações!$B$3,10,1)</f>
        <v>46296</v>
      </c>
      <c r="B24" s="2" t="str">
        <f t="shared" si="0"/>
        <v>qui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DATE(Configurações!$B$3,10,1)</f>
        <v>46296</v>
      </c>
      <c r="B25" s="2" t="str">
        <f t="shared" si="0"/>
        <v>qui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DATE(Configurações!$B$3,10,1)</f>
        <v>46296</v>
      </c>
      <c r="B26" s="2" t="str">
        <f t="shared" si="0"/>
        <v>qui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DATE(Configurações!$B$3,10,1)</f>
        <v>46296</v>
      </c>
      <c r="B27" s="2" t="str">
        <f t="shared" si="0"/>
        <v>qui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DATE(Configurações!$B$3,10,1)</f>
        <v>46296</v>
      </c>
      <c r="B28" s="2" t="str">
        <f t="shared" si="0"/>
        <v>qui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DATE(Configurações!$B$3,10,2)</f>
        <v>46297</v>
      </c>
      <c r="B29" s="2" t="str">
        <f t="shared" si="0"/>
        <v>sex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DATE(Configurações!$B$3,10,2)</f>
        <v>46297</v>
      </c>
      <c r="B30" s="2" t="str">
        <f t="shared" si="0"/>
        <v>sex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DATE(Configurações!$B$3,10,2)</f>
        <v>46297</v>
      </c>
      <c r="B31" s="2" t="str">
        <f t="shared" si="0"/>
        <v>sex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DATE(Configurações!$B$3,10,2)</f>
        <v>46297</v>
      </c>
      <c r="B32" s="2" t="str">
        <f t="shared" si="0"/>
        <v>sex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DATE(Configurações!$B$3,10,2)</f>
        <v>46297</v>
      </c>
      <c r="B33" s="2" t="str">
        <f t="shared" si="0"/>
        <v>sex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DATE(Configurações!$B$3,10,2)</f>
        <v>46297</v>
      </c>
      <c r="B34" s="2" t="str">
        <f t="shared" si="0"/>
        <v>sex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DATE(Configurações!$B$3,10,2)</f>
        <v>46297</v>
      </c>
      <c r="B35" s="2" t="str">
        <f t="shared" si="0"/>
        <v>sex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DATE(Configurações!$B$3,10,2)</f>
        <v>46297</v>
      </c>
      <c r="B36" s="2" t="str">
        <f t="shared" si="0"/>
        <v>sex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DATE(Configurações!$B$3,10,2)</f>
        <v>46297</v>
      </c>
      <c r="B37" s="2" t="str">
        <f t="shared" si="0"/>
        <v>sex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DATE(Configurações!$B$3,10,2)</f>
        <v>46297</v>
      </c>
      <c r="B38" s="2" t="str">
        <f t="shared" si="0"/>
        <v>sex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DATE(Configurações!$B$3,10,2)</f>
        <v>46297</v>
      </c>
      <c r="B39" s="2" t="str">
        <f t="shared" si="0"/>
        <v>sex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DATE(Configurações!$B$3,10,2)</f>
        <v>46297</v>
      </c>
      <c r="B40" s="2" t="str">
        <f t="shared" si="0"/>
        <v>sex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DATE(Configurações!$B$3,10,2)</f>
        <v>46297</v>
      </c>
      <c r="B41" s="2" t="str">
        <f t="shared" si="0"/>
        <v>sex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DATE(Configurações!$B$3,10,2)</f>
        <v>46297</v>
      </c>
      <c r="B42" s="2" t="str">
        <f t="shared" si="0"/>
        <v>sex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DATE(Configurações!$B$3,10,2)</f>
        <v>46297</v>
      </c>
      <c r="B43" s="2" t="str">
        <f t="shared" si="0"/>
        <v>sex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DATE(Configurações!$B$3,10,2)</f>
        <v>46297</v>
      </c>
      <c r="B44" s="2" t="str">
        <f t="shared" si="0"/>
        <v>sex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DATE(Configurações!$B$3,10,2)</f>
        <v>46297</v>
      </c>
      <c r="B45" s="2" t="str">
        <f t="shared" si="0"/>
        <v>sex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DATE(Configurações!$B$3,10,2)</f>
        <v>46297</v>
      </c>
      <c r="B46" s="2" t="str">
        <f t="shared" si="0"/>
        <v>sex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DATE(Configurações!$B$3,10,2)</f>
        <v>46297</v>
      </c>
      <c r="B47" s="2" t="str">
        <f t="shared" si="0"/>
        <v>sex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DATE(Configurações!$B$3,10,2)</f>
        <v>46297</v>
      </c>
      <c r="B48" s="2" t="str">
        <f t="shared" si="0"/>
        <v>sex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DATE(Configurações!$B$3,10,2)</f>
        <v>46297</v>
      </c>
      <c r="B49" s="2" t="str">
        <f t="shared" si="0"/>
        <v>sex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DATE(Configurações!$B$3,10,2)</f>
        <v>46297</v>
      </c>
      <c r="B50" s="2" t="str">
        <f t="shared" si="0"/>
        <v>sex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DATE(Configurações!$B$3,10,2)</f>
        <v>46297</v>
      </c>
      <c r="B51" s="2" t="str">
        <f t="shared" si="0"/>
        <v>sex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DATE(Configurações!$B$3,10,3)</f>
        <v>46298</v>
      </c>
      <c r="B52" s="2" t="str">
        <f t="shared" si="0"/>
        <v>sáb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DATE(Configurações!$B$3,10,3)</f>
        <v>46298</v>
      </c>
      <c r="B53" s="2" t="str">
        <f t="shared" si="0"/>
        <v>sáb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DATE(Configurações!$B$3,10,3)</f>
        <v>46298</v>
      </c>
      <c r="B54" s="2" t="str">
        <f t="shared" si="0"/>
        <v>sáb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DATE(Configurações!$B$3,10,3)</f>
        <v>46298</v>
      </c>
      <c r="B55" s="2" t="str">
        <f t="shared" si="0"/>
        <v>sáb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DATE(Configurações!$B$3,10,3)</f>
        <v>46298</v>
      </c>
      <c r="B56" s="2" t="str">
        <f t="shared" si="0"/>
        <v>sáb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DATE(Configurações!$B$3,10,3)</f>
        <v>46298</v>
      </c>
      <c r="B57" s="2" t="str">
        <f t="shared" si="0"/>
        <v>sáb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DATE(Configurações!$B$3,10,3)</f>
        <v>46298</v>
      </c>
      <c r="B58" s="2" t="str">
        <f t="shared" si="0"/>
        <v>sáb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DATE(Configurações!$B$3,10,3)</f>
        <v>46298</v>
      </c>
      <c r="B59" s="2" t="str">
        <f t="shared" si="0"/>
        <v>sáb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DATE(Configurações!$B$3,10,3)</f>
        <v>46298</v>
      </c>
      <c r="B60" s="2" t="str">
        <f t="shared" si="0"/>
        <v>sáb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DATE(Configurações!$B$3,10,3)</f>
        <v>46298</v>
      </c>
      <c r="B61" s="2" t="str">
        <f t="shared" si="0"/>
        <v>sáb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DATE(Configurações!$B$3,10,3)</f>
        <v>46298</v>
      </c>
      <c r="B62" s="2" t="str">
        <f t="shared" si="0"/>
        <v>sáb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DATE(Configurações!$B$3,10,3)</f>
        <v>46298</v>
      </c>
      <c r="B63" s="2" t="str">
        <f t="shared" si="0"/>
        <v>sáb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DATE(Configurações!$B$3,10,3)</f>
        <v>46298</v>
      </c>
      <c r="B64" s="2" t="str">
        <f t="shared" si="0"/>
        <v>sáb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DATE(Configurações!$B$3,10,3)</f>
        <v>46298</v>
      </c>
      <c r="B65" s="2" t="str">
        <f t="shared" si="0"/>
        <v>sáb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DATE(Configurações!$B$3,10,3)</f>
        <v>46298</v>
      </c>
      <c r="B66" s="2" t="str">
        <f t="shared" si="0"/>
        <v>sáb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DATE(Configurações!$B$3,10,3)</f>
        <v>46298</v>
      </c>
      <c r="B67" s="2" t="str">
        <f t="shared" si="0"/>
        <v>sáb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DATE(Configurações!$B$3,10,3)</f>
        <v>46298</v>
      </c>
      <c r="B68" s="2" t="str">
        <f t="shared" si="0"/>
        <v>sáb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DATE(Configurações!$B$3,10,3)</f>
        <v>46298</v>
      </c>
      <c r="B69" s="2" t="str">
        <f t="shared" si="0"/>
        <v>sáb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DATE(Configurações!$B$3,10,3)</f>
        <v>46298</v>
      </c>
      <c r="B70" s="2" t="str">
        <f t="shared" ref="B70:B133" si="1">TEXT(A70,"ddd")</f>
        <v>sáb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DATE(Configurações!$B$3,10,3)</f>
        <v>46298</v>
      </c>
      <c r="B71" s="2" t="str">
        <f t="shared" si="1"/>
        <v>sáb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DATE(Configurações!$B$3,10,3)</f>
        <v>46298</v>
      </c>
      <c r="B72" s="2" t="str">
        <f t="shared" si="1"/>
        <v>sáb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DATE(Configurações!$B$3,10,3)</f>
        <v>46298</v>
      </c>
      <c r="B73" s="2" t="str">
        <f t="shared" si="1"/>
        <v>sáb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DATE(Configurações!$B$3,10,3)</f>
        <v>46298</v>
      </c>
      <c r="B74" s="2" t="str">
        <f t="shared" si="1"/>
        <v>sáb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DATE(Configurações!$B$3,10,4)</f>
        <v>46299</v>
      </c>
      <c r="B75" s="2" t="str">
        <f t="shared" si="1"/>
        <v>dom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DATE(Configurações!$B$3,10,4)</f>
        <v>46299</v>
      </c>
      <c r="B76" s="2" t="str">
        <f t="shared" si="1"/>
        <v>dom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DATE(Configurações!$B$3,10,4)</f>
        <v>46299</v>
      </c>
      <c r="B77" s="2" t="str">
        <f t="shared" si="1"/>
        <v>dom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DATE(Configurações!$B$3,10,4)</f>
        <v>46299</v>
      </c>
      <c r="B78" s="2" t="str">
        <f t="shared" si="1"/>
        <v>dom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DATE(Configurações!$B$3,10,4)</f>
        <v>46299</v>
      </c>
      <c r="B79" s="2" t="str">
        <f t="shared" si="1"/>
        <v>dom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DATE(Configurações!$B$3,10,4)</f>
        <v>46299</v>
      </c>
      <c r="B80" s="2" t="str">
        <f t="shared" si="1"/>
        <v>dom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DATE(Configurações!$B$3,10,4)</f>
        <v>46299</v>
      </c>
      <c r="B81" s="2" t="str">
        <f t="shared" si="1"/>
        <v>dom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DATE(Configurações!$B$3,10,4)</f>
        <v>46299</v>
      </c>
      <c r="B82" s="2" t="str">
        <f t="shared" si="1"/>
        <v>dom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DATE(Configurações!$B$3,10,4)</f>
        <v>46299</v>
      </c>
      <c r="B83" s="2" t="str">
        <f t="shared" si="1"/>
        <v>dom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DATE(Configurações!$B$3,10,4)</f>
        <v>46299</v>
      </c>
      <c r="B84" s="2" t="str">
        <f t="shared" si="1"/>
        <v>dom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DATE(Configurações!$B$3,10,4)</f>
        <v>46299</v>
      </c>
      <c r="B85" s="2" t="str">
        <f t="shared" si="1"/>
        <v>dom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DATE(Configurações!$B$3,10,4)</f>
        <v>46299</v>
      </c>
      <c r="B86" s="2" t="str">
        <f t="shared" si="1"/>
        <v>dom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DATE(Configurações!$B$3,10,4)</f>
        <v>46299</v>
      </c>
      <c r="B87" s="2" t="str">
        <f t="shared" si="1"/>
        <v>dom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DATE(Configurações!$B$3,10,4)</f>
        <v>46299</v>
      </c>
      <c r="B88" s="2" t="str">
        <f t="shared" si="1"/>
        <v>dom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DATE(Configurações!$B$3,10,4)</f>
        <v>46299</v>
      </c>
      <c r="B89" s="2" t="str">
        <f t="shared" si="1"/>
        <v>dom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DATE(Configurações!$B$3,10,4)</f>
        <v>46299</v>
      </c>
      <c r="B90" s="2" t="str">
        <f t="shared" si="1"/>
        <v>dom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DATE(Configurações!$B$3,10,4)</f>
        <v>46299</v>
      </c>
      <c r="B91" s="2" t="str">
        <f t="shared" si="1"/>
        <v>dom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DATE(Configurações!$B$3,10,4)</f>
        <v>46299</v>
      </c>
      <c r="B92" s="2" t="str">
        <f t="shared" si="1"/>
        <v>dom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DATE(Configurações!$B$3,10,4)</f>
        <v>46299</v>
      </c>
      <c r="B93" s="2" t="str">
        <f t="shared" si="1"/>
        <v>dom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DATE(Configurações!$B$3,10,4)</f>
        <v>46299</v>
      </c>
      <c r="B94" s="2" t="str">
        <f t="shared" si="1"/>
        <v>dom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DATE(Configurações!$B$3,10,4)</f>
        <v>46299</v>
      </c>
      <c r="B95" s="2" t="str">
        <f t="shared" si="1"/>
        <v>dom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DATE(Configurações!$B$3,10,4)</f>
        <v>46299</v>
      </c>
      <c r="B96" s="2" t="str">
        <f t="shared" si="1"/>
        <v>dom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DATE(Configurações!$B$3,10,4)</f>
        <v>46299</v>
      </c>
      <c r="B97" s="2" t="str">
        <f t="shared" si="1"/>
        <v>dom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DATE(Configurações!$B$3,10,5)</f>
        <v>46300</v>
      </c>
      <c r="B98" s="2" t="str">
        <f t="shared" si="1"/>
        <v>seg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DATE(Configurações!$B$3,10,5)</f>
        <v>46300</v>
      </c>
      <c r="B99" s="2" t="str">
        <f t="shared" si="1"/>
        <v>seg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DATE(Configurações!$B$3,10,5)</f>
        <v>46300</v>
      </c>
      <c r="B100" s="2" t="str">
        <f t="shared" si="1"/>
        <v>seg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DATE(Configurações!$B$3,10,5)</f>
        <v>46300</v>
      </c>
      <c r="B101" s="2" t="str">
        <f t="shared" si="1"/>
        <v>seg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DATE(Configurações!$B$3,10,5)</f>
        <v>46300</v>
      </c>
      <c r="B102" s="2" t="str">
        <f t="shared" si="1"/>
        <v>seg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DATE(Configurações!$B$3,10,5)</f>
        <v>46300</v>
      </c>
      <c r="B103" s="2" t="str">
        <f t="shared" si="1"/>
        <v>seg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DATE(Configurações!$B$3,10,5)</f>
        <v>46300</v>
      </c>
      <c r="B104" s="2" t="str">
        <f t="shared" si="1"/>
        <v>seg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DATE(Configurações!$B$3,10,5)</f>
        <v>46300</v>
      </c>
      <c r="B105" s="2" t="str">
        <f t="shared" si="1"/>
        <v>seg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DATE(Configurações!$B$3,10,5)</f>
        <v>46300</v>
      </c>
      <c r="B106" s="2" t="str">
        <f t="shared" si="1"/>
        <v>seg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DATE(Configurações!$B$3,10,5)</f>
        <v>46300</v>
      </c>
      <c r="B107" s="2" t="str">
        <f t="shared" si="1"/>
        <v>seg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DATE(Configurações!$B$3,10,5)</f>
        <v>46300</v>
      </c>
      <c r="B108" s="2" t="str">
        <f t="shared" si="1"/>
        <v>seg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DATE(Configurações!$B$3,10,5)</f>
        <v>46300</v>
      </c>
      <c r="B109" s="2" t="str">
        <f t="shared" si="1"/>
        <v>seg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DATE(Configurações!$B$3,10,5)</f>
        <v>46300</v>
      </c>
      <c r="B110" s="2" t="str">
        <f t="shared" si="1"/>
        <v>seg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DATE(Configurações!$B$3,10,5)</f>
        <v>46300</v>
      </c>
      <c r="B111" s="2" t="str">
        <f t="shared" si="1"/>
        <v>seg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DATE(Configurações!$B$3,10,5)</f>
        <v>46300</v>
      </c>
      <c r="B112" s="2" t="str">
        <f t="shared" si="1"/>
        <v>seg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DATE(Configurações!$B$3,10,5)</f>
        <v>46300</v>
      </c>
      <c r="B113" s="2" t="str">
        <f t="shared" si="1"/>
        <v>seg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DATE(Configurações!$B$3,10,5)</f>
        <v>46300</v>
      </c>
      <c r="B114" s="2" t="str">
        <f t="shared" si="1"/>
        <v>seg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DATE(Configurações!$B$3,10,5)</f>
        <v>46300</v>
      </c>
      <c r="B115" s="2" t="str">
        <f t="shared" si="1"/>
        <v>seg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DATE(Configurações!$B$3,10,5)</f>
        <v>46300</v>
      </c>
      <c r="B116" s="2" t="str">
        <f t="shared" si="1"/>
        <v>seg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DATE(Configurações!$B$3,10,5)</f>
        <v>46300</v>
      </c>
      <c r="B117" s="2" t="str">
        <f t="shared" si="1"/>
        <v>seg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DATE(Configurações!$B$3,10,5)</f>
        <v>46300</v>
      </c>
      <c r="B118" s="2" t="str">
        <f t="shared" si="1"/>
        <v>seg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DATE(Configurações!$B$3,10,5)</f>
        <v>46300</v>
      </c>
      <c r="B119" s="2" t="str">
        <f t="shared" si="1"/>
        <v>seg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DATE(Configurações!$B$3,10,5)</f>
        <v>46300</v>
      </c>
      <c r="B120" s="2" t="str">
        <f t="shared" si="1"/>
        <v>seg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DATE(Configurações!$B$3,10,6)</f>
        <v>46301</v>
      </c>
      <c r="B121" s="2" t="str">
        <f t="shared" si="1"/>
        <v>ter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DATE(Configurações!$B$3,10,6)</f>
        <v>46301</v>
      </c>
      <c r="B122" s="2" t="str">
        <f t="shared" si="1"/>
        <v>ter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DATE(Configurações!$B$3,10,6)</f>
        <v>46301</v>
      </c>
      <c r="B123" s="2" t="str">
        <f t="shared" si="1"/>
        <v>ter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DATE(Configurações!$B$3,10,6)</f>
        <v>46301</v>
      </c>
      <c r="B124" s="2" t="str">
        <f t="shared" si="1"/>
        <v>ter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DATE(Configurações!$B$3,10,6)</f>
        <v>46301</v>
      </c>
      <c r="B125" s="2" t="str">
        <f t="shared" si="1"/>
        <v>ter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DATE(Configurações!$B$3,10,6)</f>
        <v>46301</v>
      </c>
      <c r="B126" s="2" t="str">
        <f t="shared" si="1"/>
        <v>ter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DATE(Configurações!$B$3,10,6)</f>
        <v>46301</v>
      </c>
      <c r="B127" s="2" t="str">
        <f t="shared" si="1"/>
        <v>ter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DATE(Configurações!$B$3,10,6)</f>
        <v>46301</v>
      </c>
      <c r="B128" s="2" t="str">
        <f t="shared" si="1"/>
        <v>ter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DATE(Configurações!$B$3,10,6)</f>
        <v>46301</v>
      </c>
      <c r="B129" s="2" t="str">
        <f t="shared" si="1"/>
        <v>ter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DATE(Configurações!$B$3,10,6)</f>
        <v>46301</v>
      </c>
      <c r="B130" s="2" t="str">
        <f t="shared" si="1"/>
        <v>ter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DATE(Configurações!$B$3,10,6)</f>
        <v>46301</v>
      </c>
      <c r="B131" s="2" t="str">
        <f t="shared" si="1"/>
        <v>ter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DATE(Configurações!$B$3,10,6)</f>
        <v>46301</v>
      </c>
      <c r="B132" s="2" t="str">
        <f t="shared" si="1"/>
        <v>ter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DATE(Configurações!$B$3,10,6)</f>
        <v>46301</v>
      </c>
      <c r="B133" s="2" t="str">
        <f t="shared" si="1"/>
        <v>ter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DATE(Configurações!$B$3,10,6)</f>
        <v>46301</v>
      </c>
      <c r="B134" s="2" t="str">
        <f t="shared" ref="B134:B197" si="2">TEXT(A134,"ddd")</f>
        <v>ter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DATE(Configurações!$B$3,10,6)</f>
        <v>46301</v>
      </c>
      <c r="B135" s="2" t="str">
        <f t="shared" si="2"/>
        <v>ter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DATE(Configurações!$B$3,10,6)</f>
        <v>46301</v>
      </c>
      <c r="B136" s="2" t="str">
        <f t="shared" si="2"/>
        <v>ter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DATE(Configurações!$B$3,10,6)</f>
        <v>46301</v>
      </c>
      <c r="B137" s="2" t="str">
        <f t="shared" si="2"/>
        <v>ter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DATE(Configurações!$B$3,10,6)</f>
        <v>46301</v>
      </c>
      <c r="B138" s="2" t="str">
        <f t="shared" si="2"/>
        <v>ter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DATE(Configurações!$B$3,10,6)</f>
        <v>46301</v>
      </c>
      <c r="B139" s="2" t="str">
        <f t="shared" si="2"/>
        <v>ter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DATE(Configurações!$B$3,10,6)</f>
        <v>46301</v>
      </c>
      <c r="B140" s="2" t="str">
        <f t="shared" si="2"/>
        <v>ter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DATE(Configurações!$B$3,10,6)</f>
        <v>46301</v>
      </c>
      <c r="B141" s="2" t="str">
        <f t="shared" si="2"/>
        <v>ter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DATE(Configurações!$B$3,10,6)</f>
        <v>46301</v>
      </c>
      <c r="B142" s="2" t="str">
        <f t="shared" si="2"/>
        <v>ter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DATE(Configurações!$B$3,10,6)</f>
        <v>46301</v>
      </c>
      <c r="B143" s="2" t="str">
        <f t="shared" si="2"/>
        <v>ter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DATE(Configurações!$B$3,10,7)</f>
        <v>46302</v>
      </c>
      <c r="B144" s="2" t="str">
        <f t="shared" si="2"/>
        <v>qua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DATE(Configurações!$B$3,10,7)</f>
        <v>46302</v>
      </c>
      <c r="B145" s="2" t="str">
        <f t="shared" si="2"/>
        <v>qua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DATE(Configurações!$B$3,10,7)</f>
        <v>46302</v>
      </c>
      <c r="B146" s="2" t="str">
        <f t="shared" si="2"/>
        <v>qua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DATE(Configurações!$B$3,10,7)</f>
        <v>46302</v>
      </c>
      <c r="B147" s="2" t="str">
        <f t="shared" si="2"/>
        <v>qua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DATE(Configurações!$B$3,10,7)</f>
        <v>46302</v>
      </c>
      <c r="B148" s="2" t="str">
        <f t="shared" si="2"/>
        <v>qua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DATE(Configurações!$B$3,10,7)</f>
        <v>46302</v>
      </c>
      <c r="B149" s="2" t="str">
        <f t="shared" si="2"/>
        <v>qua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DATE(Configurações!$B$3,10,7)</f>
        <v>46302</v>
      </c>
      <c r="B150" s="2" t="str">
        <f t="shared" si="2"/>
        <v>qua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DATE(Configurações!$B$3,10,7)</f>
        <v>46302</v>
      </c>
      <c r="B151" s="2" t="str">
        <f t="shared" si="2"/>
        <v>qua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DATE(Configurações!$B$3,10,7)</f>
        <v>46302</v>
      </c>
      <c r="B152" s="2" t="str">
        <f t="shared" si="2"/>
        <v>qua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DATE(Configurações!$B$3,10,7)</f>
        <v>46302</v>
      </c>
      <c r="B153" s="2" t="str">
        <f t="shared" si="2"/>
        <v>qua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DATE(Configurações!$B$3,10,7)</f>
        <v>46302</v>
      </c>
      <c r="B154" s="2" t="str">
        <f t="shared" si="2"/>
        <v>qua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DATE(Configurações!$B$3,10,7)</f>
        <v>46302</v>
      </c>
      <c r="B155" s="2" t="str">
        <f t="shared" si="2"/>
        <v>qua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DATE(Configurações!$B$3,10,7)</f>
        <v>46302</v>
      </c>
      <c r="B156" s="2" t="str">
        <f t="shared" si="2"/>
        <v>qua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DATE(Configurações!$B$3,10,7)</f>
        <v>46302</v>
      </c>
      <c r="B157" s="2" t="str">
        <f t="shared" si="2"/>
        <v>qua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DATE(Configurações!$B$3,10,7)</f>
        <v>46302</v>
      </c>
      <c r="B158" s="2" t="str">
        <f t="shared" si="2"/>
        <v>qua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DATE(Configurações!$B$3,10,7)</f>
        <v>46302</v>
      </c>
      <c r="B159" s="2" t="str">
        <f t="shared" si="2"/>
        <v>qua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DATE(Configurações!$B$3,10,7)</f>
        <v>46302</v>
      </c>
      <c r="B160" s="2" t="str">
        <f t="shared" si="2"/>
        <v>qua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DATE(Configurações!$B$3,10,7)</f>
        <v>46302</v>
      </c>
      <c r="B161" s="2" t="str">
        <f t="shared" si="2"/>
        <v>qua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DATE(Configurações!$B$3,10,7)</f>
        <v>46302</v>
      </c>
      <c r="B162" s="2" t="str">
        <f t="shared" si="2"/>
        <v>qua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DATE(Configurações!$B$3,10,7)</f>
        <v>46302</v>
      </c>
      <c r="B163" s="2" t="str">
        <f t="shared" si="2"/>
        <v>qua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DATE(Configurações!$B$3,10,7)</f>
        <v>46302</v>
      </c>
      <c r="B164" s="2" t="str">
        <f t="shared" si="2"/>
        <v>qua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DATE(Configurações!$B$3,10,7)</f>
        <v>46302</v>
      </c>
      <c r="B165" s="2" t="str">
        <f t="shared" si="2"/>
        <v>qua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DATE(Configurações!$B$3,10,7)</f>
        <v>46302</v>
      </c>
      <c r="B166" s="2" t="str">
        <f t="shared" si="2"/>
        <v>qua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DATE(Configurações!$B$3,10,8)</f>
        <v>46303</v>
      </c>
      <c r="B167" s="2" t="str">
        <f t="shared" si="2"/>
        <v>qui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DATE(Configurações!$B$3,10,8)</f>
        <v>46303</v>
      </c>
      <c r="B168" s="2" t="str">
        <f t="shared" si="2"/>
        <v>qui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DATE(Configurações!$B$3,10,8)</f>
        <v>46303</v>
      </c>
      <c r="B169" s="2" t="str">
        <f t="shared" si="2"/>
        <v>qui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DATE(Configurações!$B$3,10,8)</f>
        <v>46303</v>
      </c>
      <c r="B170" s="2" t="str">
        <f t="shared" si="2"/>
        <v>qui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DATE(Configurações!$B$3,10,8)</f>
        <v>46303</v>
      </c>
      <c r="B171" s="2" t="str">
        <f t="shared" si="2"/>
        <v>qui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DATE(Configurações!$B$3,10,8)</f>
        <v>46303</v>
      </c>
      <c r="B172" s="2" t="str">
        <f t="shared" si="2"/>
        <v>qui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DATE(Configurações!$B$3,10,8)</f>
        <v>46303</v>
      </c>
      <c r="B173" s="2" t="str">
        <f t="shared" si="2"/>
        <v>qui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DATE(Configurações!$B$3,10,8)</f>
        <v>46303</v>
      </c>
      <c r="B174" s="2" t="str">
        <f t="shared" si="2"/>
        <v>qui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DATE(Configurações!$B$3,10,8)</f>
        <v>46303</v>
      </c>
      <c r="B175" s="2" t="str">
        <f t="shared" si="2"/>
        <v>qui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DATE(Configurações!$B$3,10,8)</f>
        <v>46303</v>
      </c>
      <c r="B176" s="2" t="str">
        <f t="shared" si="2"/>
        <v>qui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DATE(Configurações!$B$3,10,8)</f>
        <v>46303</v>
      </c>
      <c r="B177" s="2" t="str">
        <f t="shared" si="2"/>
        <v>qui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DATE(Configurações!$B$3,10,8)</f>
        <v>46303</v>
      </c>
      <c r="B178" s="2" t="str">
        <f t="shared" si="2"/>
        <v>qui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DATE(Configurações!$B$3,10,8)</f>
        <v>46303</v>
      </c>
      <c r="B179" s="2" t="str">
        <f t="shared" si="2"/>
        <v>qui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DATE(Configurações!$B$3,10,8)</f>
        <v>46303</v>
      </c>
      <c r="B180" s="2" t="str">
        <f t="shared" si="2"/>
        <v>qui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DATE(Configurações!$B$3,10,8)</f>
        <v>46303</v>
      </c>
      <c r="B181" s="2" t="str">
        <f t="shared" si="2"/>
        <v>qui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DATE(Configurações!$B$3,10,8)</f>
        <v>46303</v>
      </c>
      <c r="B182" s="2" t="str">
        <f t="shared" si="2"/>
        <v>qui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DATE(Configurações!$B$3,10,8)</f>
        <v>46303</v>
      </c>
      <c r="B183" s="2" t="str">
        <f t="shared" si="2"/>
        <v>qui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DATE(Configurações!$B$3,10,8)</f>
        <v>46303</v>
      </c>
      <c r="B184" s="2" t="str">
        <f t="shared" si="2"/>
        <v>qui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DATE(Configurações!$B$3,10,8)</f>
        <v>46303</v>
      </c>
      <c r="B185" s="2" t="str">
        <f t="shared" si="2"/>
        <v>qui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DATE(Configurações!$B$3,10,8)</f>
        <v>46303</v>
      </c>
      <c r="B186" s="2" t="str">
        <f t="shared" si="2"/>
        <v>qui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DATE(Configurações!$B$3,10,8)</f>
        <v>46303</v>
      </c>
      <c r="B187" s="2" t="str">
        <f t="shared" si="2"/>
        <v>qui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DATE(Configurações!$B$3,10,8)</f>
        <v>46303</v>
      </c>
      <c r="B188" s="2" t="str">
        <f t="shared" si="2"/>
        <v>qui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DATE(Configurações!$B$3,10,8)</f>
        <v>46303</v>
      </c>
      <c r="B189" s="2" t="str">
        <f t="shared" si="2"/>
        <v>qui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DATE(Configurações!$B$3,10,9)</f>
        <v>46304</v>
      </c>
      <c r="B190" s="2" t="str">
        <f t="shared" si="2"/>
        <v>sex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DATE(Configurações!$B$3,10,9)</f>
        <v>46304</v>
      </c>
      <c r="B191" s="2" t="str">
        <f t="shared" si="2"/>
        <v>sex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DATE(Configurações!$B$3,10,9)</f>
        <v>46304</v>
      </c>
      <c r="B192" s="2" t="str">
        <f t="shared" si="2"/>
        <v>sex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DATE(Configurações!$B$3,10,9)</f>
        <v>46304</v>
      </c>
      <c r="B193" s="2" t="str">
        <f t="shared" si="2"/>
        <v>sex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DATE(Configurações!$B$3,10,9)</f>
        <v>46304</v>
      </c>
      <c r="B194" s="2" t="str">
        <f t="shared" si="2"/>
        <v>sex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DATE(Configurações!$B$3,10,9)</f>
        <v>46304</v>
      </c>
      <c r="B195" s="2" t="str">
        <f t="shared" si="2"/>
        <v>sex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DATE(Configurações!$B$3,10,9)</f>
        <v>46304</v>
      </c>
      <c r="B196" s="2" t="str">
        <f t="shared" si="2"/>
        <v>sex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DATE(Configurações!$B$3,10,9)</f>
        <v>46304</v>
      </c>
      <c r="B197" s="2" t="str">
        <f t="shared" si="2"/>
        <v>sex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DATE(Configurações!$B$3,10,9)</f>
        <v>46304</v>
      </c>
      <c r="B198" s="2" t="str">
        <f t="shared" ref="B198:B261" si="3">TEXT(A198,"ddd")</f>
        <v>sex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DATE(Configurações!$B$3,10,9)</f>
        <v>46304</v>
      </c>
      <c r="B199" s="2" t="str">
        <f t="shared" si="3"/>
        <v>sex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DATE(Configurações!$B$3,10,9)</f>
        <v>46304</v>
      </c>
      <c r="B200" s="2" t="str">
        <f t="shared" si="3"/>
        <v>sex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DATE(Configurações!$B$3,10,9)</f>
        <v>46304</v>
      </c>
      <c r="B201" s="2" t="str">
        <f t="shared" si="3"/>
        <v>sex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DATE(Configurações!$B$3,10,9)</f>
        <v>46304</v>
      </c>
      <c r="B202" s="2" t="str">
        <f t="shared" si="3"/>
        <v>sex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DATE(Configurações!$B$3,10,9)</f>
        <v>46304</v>
      </c>
      <c r="B203" s="2" t="str">
        <f t="shared" si="3"/>
        <v>sex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DATE(Configurações!$B$3,10,9)</f>
        <v>46304</v>
      </c>
      <c r="B204" s="2" t="str">
        <f t="shared" si="3"/>
        <v>sex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DATE(Configurações!$B$3,10,9)</f>
        <v>46304</v>
      </c>
      <c r="B205" s="2" t="str">
        <f t="shared" si="3"/>
        <v>sex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DATE(Configurações!$B$3,10,9)</f>
        <v>46304</v>
      </c>
      <c r="B206" s="2" t="str">
        <f t="shared" si="3"/>
        <v>sex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DATE(Configurações!$B$3,10,9)</f>
        <v>46304</v>
      </c>
      <c r="B207" s="2" t="str">
        <f t="shared" si="3"/>
        <v>sex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DATE(Configurações!$B$3,10,9)</f>
        <v>46304</v>
      </c>
      <c r="B208" s="2" t="str">
        <f t="shared" si="3"/>
        <v>sex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DATE(Configurações!$B$3,10,9)</f>
        <v>46304</v>
      </c>
      <c r="B209" s="2" t="str">
        <f t="shared" si="3"/>
        <v>sex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DATE(Configurações!$B$3,10,9)</f>
        <v>46304</v>
      </c>
      <c r="B210" s="2" t="str">
        <f t="shared" si="3"/>
        <v>sex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DATE(Configurações!$B$3,10,9)</f>
        <v>46304</v>
      </c>
      <c r="B211" s="2" t="str">
        <f t="shared" si="3"/>
        <v>sex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DATE(Configurações!$B$3,10,9)</f>
        <v>46304</v>
      </c>
      <c r="B212" s="2" t="str">
        <f t="shared" si="3"/>
        <v>sex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DATE(Configurações!$B$3,10,10)</f>
        <v>46305</v>
      </c>
      <c r="B213" s="2" t="str">
        <f t="shared" si="3"/>
        <v>sáb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DATE(Configurações!$B$3,10,10)</f>
        <v>46305</v>
      </c>
      <c r="B214" s="2" t="str">
        <f t="shared" si="3"/>
        <v>sáb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DATE(Configurações!$B$3,10,10)</f>
        <v>46305</v>
      </c>
      <c r="B215" s="2" t="str">
        <f t="shared" si="3"/>
        <v>sáb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DATE(Configurações!$B$3,10,10)</f>
        <v>46305</v>
      </c>
      <c r="B216" s="2" t="str">
        <f t="shared" si="3"/>
        <v>sáb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DATE(Configurações!$B$3,10,10)</f>
        <v>46305</v>
      </c>
      <c r="B217" s="2" t="str">
        <f t="shared" si="3"/>
        <v>sáb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DATE(Configurações!$B$3,10,10)</f>
        <v>46305</v>
      </c>
      <c r="B218" s="2" t="str">
        <f t="shared" si="3"/>
        <v>sáb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DATE(Configurações!$B$3,10,10)</f>
        <v>46305</v>
      </c>
      <c r="B219" s="2" t="str">
        <f t="shared" si="3"/>
        <v>sáb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DATE(Configurações!$B$3,10,10)</f>
        <v>46305</v>
      </c>
      <c r="B220" s="2" t="str">
        <f t="shared" si="3"/>
        <v>sáb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DATE(Configurações!$B$3,10,10)</f>
        <v>46305</v>
      </c>
      <c r="B221" s="2" t="str">
        <f t="shared" si="3"/>
        <v>sáb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DATE(Configurações!$B$3,10,10)</f>
        <v>46305</v>
      </c>
      <c r="B222" s="2" t="str">
        <f t="shared" si="3"/>
        <v>sáb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DATE(Configurações!$B$3,10,10)</f>
        <v>46305</v>
      </c>
      <c r="B223" s="2" t="str">
        <f t="shared" si="3"/>
        <v>sáb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DATE(Configurações!$B$3,10,10)</f>
        <v>46305</v>
      </c>
      <c r="B224" s="2" t="str">
        <f t="shared" si="3"/>
        <v>sáb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DATE(Configurações!$B$3,10,10)</f>
        <v>46305</v>
      </c>
      <c r="B225" s="2" t="str">
        <f t="shared" si="3"/>
        <v>sáb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DATE(Configurações!$B$3,10,10)</f>
        <v>46305</v>
      </c>
      <c r="B226" s="2" t="str">
        <f t="shared" si="3"/>
        <v>sáb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DATE(Configurações!$B$3,10,10)</f>
        <v>46305</v>
      </c>
      <c r="B227" s="2" t="str">
        <f t="shared" si="3"/>
        <v>sáb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DATE(Configurações!$B$3,10,10)</f>
        <v>46305</v>
      </c>
      <c r="B228" s="2" t="str">
        <f t="shared" si="3"/>
        <v>sáb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DATE(Configurações!$B$3,10,10)</f>
        <v>46305</v>
      </c>
      <c r="B229" s="2" t="str">
        <f t="shared" si="3"/>
        <v>sáb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DATE(Configurações!$B$3,10,10)</f>
        <v>46305</v>
      </c>
      <c r="B230" s="2" t="str">
        <f t="shared" si="3"/>
        <v>sáb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DATE(Configurações!$B$3,10,10)</f>
        <v>46305</v>
      </c>
      <c r="B231" s="2" t="str">
        <f t="shared" si="3"/>
        <v>sáb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DATE(Configurações!$B$3,10,10)</f>
        <v>46305</v>
      </c>
      <c r="B232" s="2" t="str">
        <f t="shared" si="3"/>
        <v>sáb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DATE(Configurações!$B$3,10,10)</f>
        <v>46305</v>
      </c>
      <c r="B233" s="2" t="str">
        <f t="shared" si="3"/>
        <v>sáb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DATE(Configurações!$B$3,10,10)</f>
        <v>46305</v>
      </c>
      <c r="B234" s="2" t="str">
        <f t="shared" si="3"/>
        <v>sáb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DATE(Configurações!$B$3,10,10)</f>
        <v>46305</v>
      </c>
      <c r="B235" s="2" t="str">
        <f t="shared" si="3"/>
        <v>sáb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DATE(Configurações!$B$3,10,11)</f>
        <v>46306</v>
      </c>
      <c r="B236" s="2" t="str">
        <f t="shared" si="3"/>
        <v>dom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DATE(Configurações!$B$3,10,11)</f>
        <v>46306</v>
      </c>
      <c r="B237" s="2" t="str">
        <f t="shared" si="3"/>
        <v>dom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DATE(Configurações!$B$3,10,11)</f>
        <v>46306</v>
      </c>
      <c r="B238" s="2" t="str">
        <f t="shared" si="3"/>
        <v>dom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DATE(Configurações!$B$3,10,11)</f>
        <v>46306</v>
      </c>
      <c r="B239" s="2" t="str">
        <f t="shared" si="3"/>
        <v>dom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DATE(Configurações!$B$3,10,11)</f>
        <v>46306</v>
      </c>
      <c r="B240" s="2" t="str">
        <f t="shared" si="3"/>
        <v>dom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DATE(Configurações!$B$3,10,11)</f>
        <v>46306</v>
      </c>
      <c r="B241" s="2" t="str">
        <f t="shared" si="3"/>
        <v>dom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DATE(Configurações!$B$3,10,11)</f>
        <v>46306</v>
      </c>
      <c r="B242" s="2" t="str">
        <f t="shared" si="3"/>
        <v>dom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DATE(Configurações!$B$3,10,11)</f>
        <v>46306</v>
      </c>
      <c r="B243" s="2" t="str">
        <f t="shared" si="3"/>
        <v>dom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DATE(Configurações!$B$3,10,11)</f>
        <v>46306</v>
      </c>
      <c r="B244" s="2" t="str">
        <f t="shared" si="3"/>
        <v>dom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DATE(Configurações!$B$3,10,11)</f>
        <v>46306</v>
      </c>
      <c r="B245" s="2" t="str">
        <f t="shared" si="3"/>
        <v>dom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DATE(Configurações!$B$3,10,11)</f>
        <v>46306</v>
      </c>
      <c r="B246" s="2" t="str">
        <f t="shared" si="3"/>
        <v>dom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DATE(Configurações!$B$3,10,11)</f>
        <v>46306</v>
      </c>
      <c r="B247" s="2" t="str">
        <f t="shared" si="3"/>
        <v>dom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DATE(Configurações!$B$3,10,11)</f>
        <v>46306</v>
      </c>
      <c r="B248" s="2" t="str">
        <f t="shared" si="3"/>
        <v>dom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DATE(Configurações!$B$3,10,11)</f>
        <v>46306</v>
      </c>
      <c r="B249" s="2" t="str">
        <f t="shared" si="3"/>
        <v>dom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DATE(Configurações!$B$3,10,11)</f>
        <v>46306</v>
      </c>
      <c r="B250" s="2" t="str">
        <f t="shared" si="3"/>
        <v>dom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DATE(Configurações!$B$3,10,11)</f>
        <v>46306</v>
      </c>
      <c r="B251" s="2" t="str">
        <f t="shared" si="3"/>
        <v>dom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DATE(Configurações!$B$3,10,11)</f>
        <v>46306</v>
      </c>
      <c r="B252" s="2" t="str">
        <f t="shared" si="3"/>
        <v>dom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DATE(Configurações!$B$3,10,11)</f>
        <v>46306</v>
      </c>
      <c r="B253" s="2" t="str">
        <f t="shared" si="3"/>
        <v>dom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DATE(Configurações!$B$3,10,11)</f>
        <v>46306</v>
      </c>
      <c r="B254" s="2" t="str">
        <f t="shared" si="3"/>
        <v>dom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DATE(Configurações!$B$3,10,11)</f>
        <v>46306</v>
      </c>
      <c r="B255" s="2" t="str">
        <f t="shared" si="3"/>
        <v>dom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DATE(Configurações!$B$3,10,11)</f>
        <v>46306</v>
      </c>
      <c r="B256" s="2" t="str">
        <f t="shared" si="3"/>
        <v>dom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DATE(Configurações!$B$3,10,11)</f>
        <v>46306</v>
      </c>
      <c r="B257" s="2" t="str">
        <f t="shared" si="3"/>
        <v>dom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DATE(Configurações!$B$3,10,11)</f>
        <v>46306</v>
      </c>
      <c r="B258" s="2" t="str">
        <f t="shared" si="3"/>
        <v>dom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DATE(Configurações!$B$3,10,12)</f>
        <v>46307</v>
      </c>
      <c r="B259" s="2" t="str">
        <f t="shared" si="3"/>
        <v>seg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DATE(Configurações!$B$3,10,12)</f>
        <v>46307</v>
      </c>
      <c r="B260" s="2" t="str">
        <f t="shared" si="3"/>
        <v>seg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DATE(Configurações!$B$3,10,12)</f>
        <v>46307</v>
      </c>
      <c r="B261" s="2" t="str">
        <f t="shared" si="3"/>
        <v>seg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DATE(Configurações!$B$3,10,12)</f>
        <v>46307</v>
      </c>
      <c r="B262" s="2" t="str">
        <f t="shared" ref="B262:B325" si="4">TEXT(A262,"ddd")</f>
        <v>seg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DATE(Configurações!$B$3,10,12)</f>
        <v>46307</v>
      </c>
      <c r="B263" s="2" t="str">
        <f t="shared" si="4"/>
        <v>seg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DATE(Configurações!$B$3,10,12)</f>
        <v>46307</v>
      </c>
      <c r="B264" s="2" t="str">
        <f t="shared" si="4"/>
        <v>seg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DATE(Configurações!$B$3,10,12)</f>
        <v>46307</v>
      </c>
      <c r="B265" s="2" t="str">
        <f t="shared" si="4"/>
        <v>seg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DATE(Configurações!$B$3,10,12)</f>
        <v>46307</v>
      </c>
      <c r="B266" s="2" t="str">
        <f t="shared" si="4"/>
        <v>seg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DATE(Configurações!$B$3,10,12)</f>
        <v>46307</v>
      </c>
      <c r="B267" s="2" t="str">
        <f t="shared" si="4"/>
        <v>seg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DATE(Configurações!$B$3,10,12)</f>
        <v>46307</v>
      </c>
      <c r="B268" s="2" t="str">
        <f t="shared" si="4"/>
        <v>seg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DATE(Configurações!$B$3,10,12)</f>
        <v>46307</v>
      </c>
      <c r="B269" s="2" t="str">
        <f t="shared" si="4"/>
        <v>seg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DATE(Configurações!$B$3,10,12)</f>
        <v>46307</v>
      </c>
      <c r="B270" s="2" t="str">
        <f t="shared" si="4"/>
        <v>seg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DATE(Configurações!$B$3,10,12)</f>
        <v>46307</v>
      </c>
      <c r="B271" s="2" t="str">
        <f t="shared" si="4"/>
        <v>seg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DATE(Configurações!$B$3,10,12)</f>
        <v>46307</v>
      </c>
      <c r="B272" s="2" t="str">
        <f t="shared" si="4"/>
        <v>seg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DATE(Configurações!$B$3,10,12)</f>
        <v>46307</v>
      </c>
      <c r="B273" s="2" t="str">
        <f t="shared" si="4"/>
        <v>seg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DATE(Configurações!$B$3,10,12)</f>
        <v>46307</v>
      </c>
      <c r="B274" s="2" t="str">
        <f t="shared" si="4"/>
        <v>seg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DATE(Configurações!$B$3,10,12)</f>
        <v>46307</v>
      </c>
      <c r="B275" s="2" t="str">
        <f t="shared" si="4"/>
        <v>seg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DATE(Configurações!$B$3,10,12)</f>
        <v>46307</v>
      </c>
      <c r="B276" s="2" t="str">
        <f t="shared" si="4"/>
        <v>seg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DATE(Configurações!$B$3,10,12)</f>
        <v>46307</v>
      </c>
      <c r="B277" s="2" t="str">
        <f t="shared" si="4"/>
        <v>seg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DATE(Configurações!$B$3,10,12)</f>
        <v>46307</v>
      </c>
      <c r="B278" s="2" t="str">
        <f t="shared" si="4"/>
        <v>seg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DATE(Configurações!$B$3,10,12)</f>
        <v>46307</v>
      </c>
      <c r="B279" s="2" t="str">
        <f t="shared" si="4"/>
        <v>seg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DATE(Configurações!$B$3,10,12)</f>
        <v>46307</v>
      </c>
      <c r="B280" s="2" t="str">
        <f t="shared" si="4"/>
        <v>seg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DATE(Configurações!$B$3,10,12)</f>
        <v>46307</v>
      </c>
      <c r="B281" s="2" t="str">
        <f t="shared" si="4"/>
        <v>seg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DATE(Configurações!$B$3,10,13)</f>
        <v>46308</v>
      </c>
      <c r="B282" s="2" t="str">
        <f t="shared" si="4"/>
        <v>ter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DATE(Configurações!$B$3,10,13)</f>
        <v>46308</v>
      </c>
      <c r="B283" s="2" t="str">
        <f t="shared" si="4"/>
        <v>ter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DATE(Configurações!$B$3,10,13)</f>
        <v>46308</v>
      </c>
      <c r="B284" s="2" t="str">
        <f t="shared" si="4"/>
        <v>ter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DATE(Configurações!$B$3,10,13)</f>
        <v>46308</v>
      </c>
      <c r="B285" s="2" t="str">
        <f t="shared" si="4"/>
        <v>ter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DATE(Configurações!$B$3,10,13)</f>
        <v>46308</v>
      </c>
      <c r="B286" s="2" t="str">
        <f t="shared" si="4"/>
        <v>ter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DATE(Configurações!$B$3,10,13)</f>
        <v>46308</v>
      </c>
      <c r="B287" s="2" t="str">
        <f t="shared" si="4"/>
        <v>ter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DATE(Configurações!$B$3,10,13)</f>
        <v>46308</v>
      </c>
      <c r="B288" s="2" t="str">
        <f t="shared" si="4"/>
        <v>ter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DATE(Configurações!$B$3,10,13)</f>
        <v>46308</v>
      </c>
      <c r="B289" s="2" t="str">
        <f t="shared" si="4"/>
        <v>ter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DATE(Configurações!$B$3,10,13)</f>
        <v>46308</v>
      </c>
      <c r="B290" s="2" t="str">
        <f t="shared" si="4"/>
        <v>ter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DATE(Configurações!$B$3,10,13)</f>
        <v>46308</v>
      </c>
      <c r="B291" s="2" t="str">
        <f t="shared" si="4"/>
        <v>ter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DATE(Configurações!$B$3,10,13)</f>
        <v>46308</v>
      </c>
      <c r="B292" s="2" t="str">
        <f t="shared" si="4"/>
        <v>ter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DATE(Configurações!$B$3,10,13)</f>
        <v>46308</v>
      </c>
      <c r="B293" s="2" t="str">
        <f t="shared" si="4"/>
        <v>ter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DATE(Configurações!$B$3,10,13)</f>
        <v>46308</v>
      </c>
      <c r="B294" s="2" t="str">
        <f t="shared" si="4"/>
        <v>ter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DATE(Configurações!$B$3,10,13)</f>
        <v>46308</v>
      </c>
      <c r="B295" s="2" t="str">
        <f t="shared" si="4"/>
        <v>ter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DATE(Configurações!$B$3,10,13)</f>
        <v>46308</v>
      </c>
      <c r="B296" s="2" t="str">
        <f t="shared" si="4"/>
        <v>ter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DATE(Configurações!$B$3,10,13)</f>
        <v>46308</v>
      </c>
      <c r="B297" s="2" t="str">
        <f t="shared" si="4"/>
        <v>ter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DATE(Configurações!$B$3,10,13)</f>
        <v>46308</v>
      </c>
      <c r="B298" s="2" t="str">
        <f t="shared" si="4"/>
        <v>ter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DATE(Configurações!$B$3,10,13)</f>
        <v>46308</v>
      </c>
      <c r="B299" s="2" t="str">
        <f t="shared" si="4"/>
        <v>ter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DATE(Configurações!$B$3,10,13)</f>
        <v>46308</v>
      </c>
      <c r="B300" s="2" t="str">
        <f t="shared" si="4"/>
        <v>ter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DATE(Configurações!$B$3,10,13)</f>
        <v>46308</v>
      </c>
      <c r="B301" s="2" t="str">
        <f t="shared" si="4"/>
        <v>ter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DATE(Configurações!$B$3,10,13)</f>
        <v>46308</v>
      </c>
      <c r="B302" s="2" t="str">
        <f t="shared" si="4"/>
        <v>ter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DATE(Configurações!$B$3,10,13)</f>
        <v>46308</v>
      </c>
      <c r="B303" s="2" t="str">
        <f t="shared" si="4"/>
        <v>ter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DATE(Configurações!$B$3,10,13)</f>
        <v>46308</v>
      </c>
      <c r="B304" s="2" t="str">
        <f t="shared" si="4"/>
        <v>ter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DATE(Configurações!$B$3,10,14)</f>
        <v>46309</v>
      </c>
      <c r="B305" s="2" t="str">
        <f t="shared" si="4"/>
        <v>qua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DATE(Configurações!$B$3,10,14)</f>
        <v>46309</v>
      </c>
      <c r="B306" s="2" t="str">
        <f t="shared" si="4"/>
        <v>qua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DATE(Configurações!$B$3,10,14)</f>
        <v>46309</v>
      </c>
      <c r="B307" s="2" t="str">
        <f t="shared" si="4"/>
        <v>qua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DATE(Configurações!$B$3,10,14)</f>
        <v>46309</v>
      </c>
      <c r="B308" s="2" t="str">
        <f t="shared" si="4"/>
        <v>qua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DATE(Configurações!$B$3,10,14)</f>
        <v>46309</v>
      </c>
      <c r="B309" s="2" t="str">
        <f t="shared" si="4"/>
        <v>qua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DATE(Configurações!$B$3,10,14)</f>
        <v>46309</v>
      </c>
      <c r="B310" s="2" t="str">
        <f t="shared" si="4"/>
        <v>qua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DATE(Configurações!$B$3,10,14)</f>
        <v>46309</v>
      </c>
      <c r="B311" s="2" t="str">
        <f t="shared" si="4"/>
        <v>qua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DATE(Configurações!$B$3,10,14)</f>
        <v>46309</v>
      </c>
      <c r="B312" s="2" t="str">
        <f t="shared" si="4"/>
        <v>qua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DATE(Configurações!$B$3,10,14)</f>
        <v>46309</v>
      </c>
      <c r="B313" s="2" t="str">
        <f t="shared" si="4"/>
        <v>qua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DATE(Configurações!$B$3,10,14)</f>
        <v>46309</v>
      </c>
      <c r="B314" s="2" t="str">
        <f t="shared" si="4"/>
        <v>qua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DATE(Configurações!$B$3,10,14)</f>
        <v>46309</v>
      </c>
      <c r="B315" s="2" t="str">
        <f t="shared" si="4"/>
        <v>qua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DATE(Configurações!$B$3,10,14)</f>
        <v>46309</v>
      </c>
      <c r="B316" s="2" t="str">
        <f t="shared" si="4"/>
        <v>qua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DATE(Configurações!$B$3,10,14)</f>
        <v>46309</v>
      </c>
      <c r="B317" s="2" t="str">
        <f t="shared" si="4"/>
        <v>qua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DATE(Configurações!$B$3,10,14)</f>
        <v>46309</v>
      </c>
      <c r="B318" s="2" t="str">
        <f t="shared" si="4"/>
        <v>qua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DATE(Configurações!$B$3,10,14)</f>
        <v>46309</v>
      </c>
      <c r="B319" s="2" t="str">
        <f t="shared" si="4"/>
        <v>qua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DATE(Configurações!$B$3,10,14)</f>
        <v>46309</v>
      </c>
      <c r="B320" s="2" t="str">
        <f t="shared" si="4"/>
        <v>qua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DATE(Configurações!$B$3,10,14)</f>
        <v>46309</v>
      </c>
      <c r="B321" s="2" t="str">
        <f t="shared" si="4"/>
        <v>qua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DATE(Configurações!$B$3,10,14)</f>
        <v>46309</v>
      </c>
      <c r="B322" s="2" t="str">
        <f t="shared" si="4"/>
        <v>qua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DATE(Configurações!$B$3,10,14)</f>
        <v>46309</v>
      </c>
      <c r="B323" s="2" t="str">
        <f t="shared" si="4"/>
        <v>qua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DATE(Configurações!$B$3,10,14)</f>
        <v>46309</v>
      </c>
      <c r="B324" s="2" t="str">
        <f t="shared" si="4"/>
        <v>qua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DATE(Configurações!$B$3,10,14)</f>
        <v>46309</v>
      </c>
      <c r="B325" s="2" t="str">
        <f t="shared" si="4"/>
        <v>qua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DATE(Configurações!$B$3,10,14)</f>
        <v>46309</v>
      </c>
      <c r="B326" s="2" t="str">
        <f t="shared" ref="B326:B389" si="5">TEXT(A326,"ddd")</f>
        <v>qua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DATE(Configurações!$B$3,10,14)</f>
        <v>46309</v>
      </c>
      <c r="B327" s="2" t="str">
        <f t="shared" si="5"/>
        <v>qua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DATE(Configurações!$B$3,10,15)</f>
        <v>46310</v>
      </c>
      <c r="B328" s="2" t="str">
        <f t="shared" si="5"/>
        <v>qui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DATE(Configurações!$B$3,10,15)</f>
        <v>46310</v>
      </c>
      <c r="B329" s="2" t="str">
        <f t="shared" si="5"/>
        <v>qui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DATE(Configurações!$B$3,10,15)</f>
        <v>46310</v>
      </c>
      <c r="B330" s="2" t="str">
        <f t="shared" si="5"/>
        <v>qui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DATE(Configurações!$B$3,10,15)</f>
        <v>46310</v>
      </c>
      <c r="B331" s="2" t="str">
        <f t="shared" si="5"/>
        <v>qui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DATE(Configurações!$B$3,10,15)</f>
        <v>46310</v>
      </c>
      <c r="B332" s="2" t="str">
        <f t="shared" si="5"/>
        <v>qui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DATE(Configurações!$B$3,10,15)</f>
        <v>46310</v>
      </c>
      <c r="B333" s="2" t="str">
        <f t="shared" si="5"/>
        <v>qui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DATE(Configurações!$B$3,10,15)</f>
        <v>46310</v>
      </c>
      <c r="B334" s="2" t="str">
        <f t="shared" si="5"/>
        <v>qui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DATE(Configurações!$B$3,10,15)</f>
        <v>46310</v>
      </c>
      <c r="B335" s="2" t="str">
        <f t="shared" si="5"/>
        <v>qui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DATE(Configurações!$B$3,10,15)</f>
        <v>46310</v>
      </c>
      <c r="B336" s="2" t="str">
        <f t="shared" si="5"/>
        <v>qui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DATE(Configurações!$B$3,10,15)</f>
        <v>46310</v>
      </c>
      <c r="B337" s="2" t="str">
        <f t="shared" si="5"/>
        <v>qui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DATE(Configurações!$B$3,10,15)</f>
        <v>46310</v>
      </c>
      <c r="B338" s="2" t="str">
        <f t="shared" si="5"/>
        <v>qui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DATE(Configurações!$B$3,10,15)</f>
        <v>46310</v>
      </c>
      <c r="B339" s="2" t="str">
        <f t="shared" si="5"/>
        <v>qui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DATE(Configurações!$B$3,10,15)</f>
        <v>46310</v>
      </c>
      <c r="B340" s="2" t="str">
        <f t="shared" si="5"/>
        <v>qui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DATE(Configurações!$B$3,10,15)</f>
        <v>46310</v>
      </c>
      <c r="B341" s="2" t="str">
        <f t="shared" si="5"/>
        <v>qui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DATE(Configurações!$B$3,10,15)</f>
        <v>46310</v>
      </c>
      <c r="B342" s="2" t="str">
        <f t="shared" si="5"/>
        <v>qui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DATE(Configurações!$B$3,10,15)</f>
        <v>46310</v>
      </c>
      <c r="B343" s="2" t="str">
        <f t="shared" si="5"/>
        <v>qui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DATE(Configurações!$B$3,10,15)</f>
        <v>46310</v>
      </c>
      <c r="B344" s="2" t="str">
        <f t="shared" si="5"/>
        <v>qui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DATE(Configurações!$B$3,10,15)</f>
        <v>46310</v>
      </c>
      <c r="B345" s="2" t="str">
        <f t="shared" si="5"/>
        <v>qui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DATE(Configurações!$B$3,10,15)</f>
        <v>46310</v>
      </c>
      <c r="B346" s="2" t="str">
        <f t="shared" si="5"/>
        <v>qui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DATE(Configurações!$B$3,10,15)</f>
        <v>46310</v>
      </c>
      <c r="B347" s="2" t="str">
        <f t="shared" si="5"/>
        <v>qui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DATE(Configurações!$B$3,10,15)</f>
        <v>46310</v>
      </c>
      <c r="B348" s="2" t="str">
        <f t="shared" si="5"/>
        <v>qui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DATE(Configurações!$B$3,10,15)</f>
        <v>46310</v>
      </c>
      <c r="B349" s="2" t="str">
        <f t="shared" si="5"/>
        <v>qui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DATE(Configurações!$B$3,10,15)</f>
        <v>46310</v>
      </c>
      <c r="B350" s="2" t="str">
        <f t="shared" si="5"/>
        <v>qui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DATE(Configurações!$B$3,10,16)</f>
        <v>46311</v>
      </c>
      <c r="B351" s="2" t="str">
        <f t="shared" si="5"/>
        <v>sex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DATE(Configurações!$B$3,10,16)</f>
        <v>46311</v>
      </c>
      <c r="B352" s="2" t="str">
        <f t="shared" si="5"/>
        <v>sex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DATE(Configurações!$B$3,10,16)</f>
        <v>46311</v>
      </c>
      <c r="B353" s="2" t="str">
        <f t="shared" si="5"/>
        <v>sex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DATE(Configurações!$B$3,10,16)</f>
        <v>46311</v>
      </c>
      <c r="B354" s="2" t="str">
        <f t="shared" si="5"/>
        <v>sex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DATE(Configurações!$B$3,10,16)</f>
        <v>46311</v>
      </c>
      <c r="B355" s="2" t="str">
        <f t="shared" si="5"/>
        <v>sex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DATE(Configurações!$B$3,10,16)</f>
        <v>46311</v>
      </c>
      <c r="B356" s="2" t="str">
        <f t="shared" si="5"/>
        <v>sex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DATE(Configurações!$B$3,10,16)</f>
        <v>46311</v>
      </c>
      <c r="B357" s="2" t="str">
        <f t="shared" si="5"/>
        <v>sex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DATE(Configurações!$B$3,10,16)</f>
        <v>46311</v>
      </c>
      <c r="B358" s="2" t="str">
        <f t="shared" si="5"/>
        <v>sex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DATE(Configurações!$B$3,10,16)</f>
        <v>46311</v>
      </c>
      <c r="B359" s="2" t="str">
        <f t="shared" si="5"/>
        <v>sex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DATE(Configurações!$B$3,10,16)</f>
        <v>46311</v>
      </c>
      <c r="B360" s="2" t="str">
        <f t="shared" si="5"/>
        <v>sex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DATE(Configurações!$B$3,10,16)</f>
        <v>46311</v>
      </c>
      <c r="B361" s="2" t="str">
        <f t="shared" si="5"/>
        <v>sex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DATE(Configurações!$B$3,10,16)</f>
        <v>46311</v>
      </c>
      <c r="B362" s="2" t="str">
        <f t="shared" si="5"/>
        <v>sex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DATE(Configurações!$B$3,10,16)</f>
        <v>46311</v>
      </c>
      <c r="B363" s="2" t="str">
        <f t="shared" si="5"/>
        <v>sex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DATE(Configurações!$B$3,10,16)</f>
        <v>46311</v>
      </c>
      <c r="B364" s="2" t="str">
        <f t="shared" si="5"/>
        <v>sex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DATE(Configurações!$B$3,10,16)</f>
        <v>46311</v>
      </c>
      <c r="B365" s="2" t="str">
        <f t="shared" si="5"/>
        <v>sex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DATE(Configurações!$B$3,10,16)</f>
        <v>46311</v>
      </c>
      <c r="B366" s="2" t="str">
        <f t="shared" si="5"/>
        <v>sex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DATE(Configurações!$B$3,10,16)</f>
        <v>46311</v>
      </c>
      <c r="B367" s="2" t="str">
        <f t="shared" si="5"/>
        <v>sex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DATE(Configurações!$B$3,10,16)</f>
        <v>46311</v>
      </c>
      <c r="B368" s="2" t="str">
        <f t="shared" si="5"/>
        <v>sex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DATE(Configurações!$B$3,10,16)</f>
        <v>46311</v>
      </c>
      <c r="B369" s="2" t="str">
        <f t="shared" si="5"/>
        <v>sex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DATE(Configurações!$B$3,10,16)</f>
        <v>46311</v>
      </c>
      <c r="B370" s="2" t="str">
        <f t="shared" si="5"/>
        <v>sex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DATE(Configurações!$B$3,10,16)</f>
        <v>46311</v>
      </c>
      <c r="B371" s="2" t="str">
        <f t="shared" si="5"/>
        <v>sex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DATE(Configurações!$B$3,10,16)</f>
        <v>46311</v>
      </c>
      <c r="B372" s="2" t="str">
        <f t="shared" si="5"/>
        <v>sex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DATE(Configurações!$B$3,10,16)</f>
        <v>46311</v>
      </c>
      <c r="B373" s="2" t="str">
        <f t="shared" si="5"/>
        <v>sex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DATE(Configurações!$B$3,10,17)</f>
        <v>46312</v>
      </c>
      <c r="B374" s="2" t="str">
        <f t="shared" si="5"/>
        <v>sáb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DATE(Configurações!$B$3,10,17)</f>
        <v>46312</v>
      </c>
      <c r="B375" s="2" t="str">
        <f t="shared" si="5"/>
        <v>sáb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DATE(Configurações!$B$3,10,17)</f>
        <v>46312</v>
      </c>
      <c r="B376" s="2" t="str">
        <f t="shared" si="5"/>
        <v>sáb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DATE(Configurações!$B$3,10,17)</f>
        <v>46312</v>
      </c>
      <c r="B377" s="2" t="str">
        <f t="shared" si="5"/>
        <v>sáb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DATE(Configurações!$B$3,10,17)</f>
        <v>46312</v>
      </c>
      <c r="B378" s="2" t="str">
        <f t="shared" si="5"/>
        <v>sáb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DATE(Configurações!$B$3,10,17)</f>
        <v>46312</v>
      </c>
      <c r="B379" s="2" t="str">
        <f t="shared" si="5"/>
        <v>sáb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DATE(Configurações!$B$3,10,17)</f>
        <v>46312</v>
      </c>
      <c r="B380" s="2" t="str">
        <f t="shared" si="5"/>
        <v>sáb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DATE(Configurações!$B$3,10,17)</f>
        <v>46312</v>
      </c>
      <c r="B381" s="2" t="str">
        <f t="shared" si="5"/>
        <v>sáb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DATE(Configurações!$B$3,10,17)</f>
        <v>46312</v>
      </c>
      <c r="B382" s="2" t="str">
        <f t="shared" si="5"/>
        <v>sáb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DATE(Configurações!$B$3,10,17)</f>
        <v>46312</v>
      </c>
      <c r="B383" s="2" t="str">
        <f t="shared" si="5"/>
        <v>sáb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DATE(Configurações!$B$3,10,17)</f>
        <v>46312</v>
      </c>
      <c r="B384" s="2" t="str">
        <f t="shared" si="5"/>
        <v>sáb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DATE(Configurações!$B$3,10,17)</f>
        <v>46312</v>
      </c>
      <c r="B385" s="2" t="str">
        <f t="shared" si="5"/>
        <v>sáb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DATE(Configurações!$B$3,10,17)</f>
        <v>46312</v>
      </c>
      <c r="B386" s="2" t="str">
        <f t="shared" si="5"/>
        <v>sáb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DATE(Configurações!$B$3,10,17)</f>
        <v>46312</v>
      </c>
      <c r="B387" s="2" t="str">
        <f t="shared" si="5"/>
        <v>sáb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DATE(Configurações!$B$3,10,17)</f>
        <v>46312</v>
      </c>
      <c r="B388" s="2" t="str">
        <f t="shared" si="5"/>
        <v>sáb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DATE(Configurações!$B$3,10,17)</f>
        <v>46312</v>
      </c>
      <c r="B389" s="2" t="str">
        <f t="shared" si="5"/>
        <v>sáb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DATE(Configurações!$B$3,10,17)</f>
        <v>46312</v>
      </c>
      <c r="B390" s="2" t="str">
        <f t="shared" ref="B390:B453" si="6">TEXT(A390,"ddd")</f>
        <v>sáb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DATE(Configurações!$B$3,10,17)</f>
        <v>46312</v>
      </c>
      <c r="B391" s="2" t="str">
        <f t="shared" si="6"/>
        <v>sáb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DATE(Configurações!$B$3,10,17)</f>
        <v>46312</v>
      </c>
      <c r="B392" s="2" t="str">
        <f t="shared" si="6"/>
        <v>sáb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DATE(Configurações!$B$3,10,17)</f>
        <v>46312</v>
      </c>
      <c r="B393" s="2" t="str">
        <f t="shared" si="6"/>
        <v>sáb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DATE(Configurações!$B$3,10,17)</f>
        <v>46312</v>
      </c>
      <c r="B394" s="2" t="str">
        <f t="shared" si="6"/>
        <v>sáb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DATE(Configurações!$B$3,10,17)</f>
        <v>46312</v>
      </c>
      <c r="B395" s="2" t="str">
        <f t="shared" si="6"/>
        <v>sáb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DATE(Configurações!$B$3,10,17)</f>
        <v>46312</v>
      </c>
      <c r="B396" s="2" t="str">
        <f t="shared" si="6"/>
        <v>sáb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DATE(Configurações!$B$3,10,18)</f>
        <v>46313</v>
      </c>
      <c r="B397" s="2" t="str">
        <f t="shared" si="6"/>
        <v>dom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DATE(Configurações!$B$3,10,18)</f>
        <v>46313</v>
      </c>
      <c r="B398" s="2" t="str">
        <f t="shared" si="6"/>
        <v>dom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DATE(Configurações!$B$3,10,18)</f>
        <v>46313</v>
      </c>
      <c r="B399" s="2" t="str">
        <f t="shared" si="6"/>
        <v>dom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DATE(Configurações!$B$3,10,18)</f>
        <v>46313</v>
      </c>
      <c r="B400" s="2" t="str">
        <f t="shared" si="6"/>
        <v>dom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DATE(Configurações!$B$3,10,18)</f>
        <v>46313</v>
      </c>
      <c r="B401" s="2" t="str">
        <f t="shared" si="6"/>
        <v>dom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DATE(Configurações!$B$3,10,18)</f>
        <v>46313</v>
      </c>
      <c r="B402" s="2" t="str">
        <f t="shared" si="6"/>
        <v>dom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DATE(Configurações!$B$3,10,18)</f>
        <v>46313</v>
      </c>
      <c r="B403" s="2" t="str">
        <f t="shared" si="6"/>
        <v>dom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DATE(Configurações!$B$3,10,18)</f>
        <v>46313</v>
      </c>
      <c r="B404" s="2" t="str">
        <f t="shared" si="6"/>
        <v>dom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DATE(Configurações!$B$3,10,18)</f>
        <v>46313</v>
      </c>
      <c r="B405" s="2" t="str">
        <f t="shared" si="6"/>
        <v>dom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DATE(Configurações!$B$3,10,18)</f>
        <v>46313</v>
      </c>
      <c r="B406" s="2" t="str">
        <f t="shared" si="6"/>
        <v>dom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DATE(Configurações!$B$3,10,18)</f>
        <v>46313</v>
      </c>
      <c r="B407" s="2" t="str">
        <f t="shared" si="6"/>
        <v>dom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DATE(Configurações!$B$3,10,18)</f>
        <v>46313</v>
      </c>
      <c r="B408" s="2" t="str">
        <f t="shared" si="6"/>
        <v>dom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DATE(Configurações!$B$3,10,18)</f>
        <v>46313</v>
      </c>
      <c r="B409" s="2" t="str">
        <f t="shared" si="6"/>
        <v>dom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DATE(Configurações!$B$3,10,18)</f>
        <v>46313</v>
      </c>
      <c r="B410" s="2" t="str">
        <f t="shared" si="6"/>
        <v>dom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DATE(Configurações!$B$3,10,18)</f>
        <v>46313</v>
      </c>
      <c r="B411" s="2" t="str">
        <f t="shared" si="6"/>
        <v>dom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DATE(Configurações!$B$3,10,18)</f>
        <v>46313</v>
      </c>
      <c r="B412" s="2" t="str">
        <f t="shared" si="6"/>
        <v>dom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DATE(Configurações!$B$3,10,18)</f>
        <v>46313</v>
      </c>
      <c r="B413" s="2" t="str">
        <f t="shared" si="6"/>
        <v>dom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DATE(Configurações!$B$3,10,18)</f>
        <v>46313</v>
      </c>
      <c r="B414" s="2" t="str">
        <f t="shared" si="6"/>
        <v>dom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DATE(Configurações!$B$3,10,18)</f>
        <v>46313</v>
      </c>
      <c r="B415" s="2" t="str">
        <f t="shared" si="6"/>
        <v>dom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DATE(Configurações!$B$3,10,18)</f>
        <v>46313</v>
      </c>
      <c r="B416" s="2" t="str">
        <f t="shared" si="6"/>
        <v>dom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DATE(Configurações!$B$3,10,18)</f>
        <v>46313</v>
      </c>
      <c r="B417" s="2" t="str">
        <f t="shared" si="6"/>
        <v>dom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DATE(Configurações!$B$3,10,18)</f>
        <v>46313</v>
      </c>
      <c r="B418" s="2" t="str">
        <f t="shared" si="6"/>
        <v>dom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DATE(Configurações!$B$3,10,18)</f>
        <v>46313</v>
      </c>
      <c r="B419" s="2" t="str">
        <f t="shared" si="6"/>
        <v>dom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DATE(Configurações!$B$3,10,19)</f>
        <v>46314</v>
      </c>
      <c r="B420" s="2" t="str">
        <f t="shared" si="6"/>
        <v>seg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DATE(Configurações!$B$3,10,19)</f>
        <v>46314</v>
      </c>
      <c r="B421" s="2" t="str">
        <f t="shared" si="6"/>
        <v>seg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DATE(Configurações!$B$3,10,19)</f>
        <v>46314</v>
      </c>
      <c r="B422" s="2" t="str">
        <f t="shared" si="6"/>
        <v>seg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DATE(Configurações!$B$3,10,19)</f>
        <v>46314</v>
      </c>
      <c r="B423" s="2" t="str">
        <f t="shared" si="6"/>
        <v>seg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DATE(Configurações!$B$3,10,19)</f>
        <v>46314</v>
      </c>
      <c r="B424" s="2" t="str">
        <f t="shared" si="6"/>
        <v>seg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DATE(Configurações!$B$3,10,19)</f>
        <v>46314</v>
      </c>
      <c r="B425" s="2" t="str">
        <f t="shared" si="6"/>
        <v>seg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DATE(Configurações!$B$3,10,19)</f>
        <v>46314</v>
      </c>
      <c r="B426" s="2" t="str">
        <f t="shared" si="6"/>
        <v>seg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DATE(Configurações!$B$3,10,19)</f>
        <v>46314</v>
      </c>
      <c r="B427" s="2" t="str">
        <f t="shared" si="6"/>
        <v>seg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DATE(Configurações!$B$3,10,19)</f>
        <v>46314</v>
      </c>
      <c r="B428" s="2" t="str">
        <f t="shared" si="6"/>
        <v>seg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DATE(Configurações!$B$3,10,19)</f>
        <v>46314</v>
      </c>
      <c r="B429" s="2" t="str">
        <f t="shared" si="6"/>
        <v>seg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DATE(Configurações!$B$3,10,19)</f>
        <v>46314</v>
      </c>
      <c r="B430" s="2" t="str">
        <f t="shared" si="6"/>
        <v>seg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DATE(Configurações!$B$3,10,19)</f>
        <v>46314</v>
      </c>
      <c r="B431" s="2" t="str">
        <f t="shared" si="6"/>
        <v>seg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DATE(Configurações!$B$3,10,19)</f>
        <v>46314</v>
      </c>
      <c r="B432" s="2" t="str">
        <f t="shared" si="6"/>
        <v>seg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DATE(Configurações!$B$3,10,19)</f>
        <v>46314</v>
      </c>
      <c r="B433" s="2" t="str">
        <f t="shared" si="6"/>
        <v>seg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DATE(Configurações!$B$3,10,19)</f>
        <v>46314</v>
      </c>
      <c r="B434" s="2" t="str">
        <f t="shared" si="6"/>
        <v>seg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DATE(Configurações!$B$3,10,19)</f>
        <v>46314</v>
      </c>
      <c r="B435" s="2" t="str">
        <f t="shared" si="6"/>
        <v>seg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DATE(Configurações!$B$3,10,19)</f>
        <v>46314</v>
      </c>
      <c r="B436" s="2" t="str">
        <f t="shared" si="6"/>
        <v>seg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DATE(Configurações!$B$3,10,19)</f>
        <v>46314</v>
      </c>
      <c r="B437" s="2" t="str">
        <f t="shared" si="6"/>
        <v>seg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DATE(Configurações!$B$3,10,19)</f>
        <v>46314</v>
      </c>
      <c r="B438" s="2" t="str">
        <f t="shared" si="6"/>
        <v>seg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DATE(Configurações!$B$3,10,19)</f>
        <v>46314</v>
      </c>
      <c r="B439" s="2" t="str">
        <f t="shared" si="6"/>
        <v>seg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DATE(Configurações!$B$3,10,19)</f>
        <v>46314</v>
      </c>
      <c r="B440" s="2" t="str">
        <f t="shared" si="6"/>
        <v>seg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DATE(Configurações!$B$3,10,19)</f>
        <v>46314</v>
      </c>
      <c r="B441" s="2" t="str">
        <f t="shared" si="6"/>
        <v>seg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DATE(Configurações!$B$3,10,19)</f>
        <v>46314</v>
      </c>
      <c r="B442" s="2" t="str">
        <f t="shared" si="6"/>
        <v>seg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DATE(Configurações!$B$3,10,20)</f>
        <v>46315</v>
      </c>
      <c r="B443" s="2" t="str">
        <f t="shared" si="6"/>
        <v>ter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DATE(Configurações!$B$3,10,20)</f>
        <v>46315</v>
      </c>
      <c r="B444" s="2" t="str">
        <f t="shared" si="6"/>
        <v>ter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DATE(Configurações!$B$3,10,20)</f>
        <v>46315</v>
      </c>
      <c r="B445" s="2" t="str">
        <f t="shared" si="6"/>
        <v>ter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DATE(Configurações!$B$3,10,20)</f>
        <v>46315</v>
      </c>
      <c r="B446" s="2" t="str">
        <f t="shared" si="6"/>
        <v>ter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DATE(Configurações!$B$3,10,20)</f>
        <v>46315</v>
      </c>
      <c r="B447" s="2" t="str">
        <f t="shared" si="6"/>
        <v>ter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DATE(Configurações!$B$3,10,20)</f>
        <v>46315</v>
      </c>
      <c r="B448" s="2" t="str">
        <f t="shared" si="6"/>
        <v>ter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DATE(Configurações!$B$3,10,20)</f>
        <v>46315</v>
      </c>
      <c r="B449" s="2" t="str">
        <f t="shared" si="6"/>
        <v>ter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DATE(Configurações!$B$3,10,20)</f>
        <v>46315</v>
      </c>
      <c r="B450" s="2" t="str">
        <f t="shared" si="6"/>
        <v>ter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DATE(Configurações!$B$3,10,20)</f>
        <v>46315</v>
      </c>
      <c r="B451" s="2" t="str">
        <f t="shared" si="6"/>
        <v>ter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DATE(Configurações!$B$3,10,20)</f>
        <v>46315</v>
      </c>
      <c r="B452" s="2" t="str">
        <f t="shared" si="6"/>
        <v>ter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DATE(Configurações!$B$3,10,20)</f>
        <v>46315</v>
      </c>
      <c r="B453" s="2" t="str">
        <f t="shared" si="6"/>
        <v>ter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DATE(Configurações!$B$3,10,20)</f>
        <v>46315</v>
      </c>
      <c r="B454" s="2" t="str">
        <f t="shared" ref="B454:B517" si="7">TEXT(A454,"ddd")</f>
        <v>ter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DATE(Configurações!$B$3,10,20)</f>
        <v>46315</v>
      </c>
      <c r="B455" s="2" t="str">
        <f t="shared" si="7"/>
        <v>ter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DATE(Configurações!$B$3,10,20)</f>
        <v>46315</v>
      </c>
      <c r="B456" s="2" t="str">
        <f t="shared" si="7"/>
        <v>ter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DATE(Configurações!$B$3,10,20)</f>
        <v>46315</v>
      </c>
      <c r="B457" s="2" t="str">
        <f t="shared" si="7"/>
        <v>ter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DATE(Configurações!$B$3,10,20)</f>
        <v>46315</v>
      </c>
      <c r="B458" s="2" t="str">
        <f t="shared" si="7"/>
        <v>ter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DATE(Configurações!$B$3,10,20)</f>
        <v>46315</v>
      </c>
      <c r="B459" s="2" t="str">
        <f t="shared" si="7"/>
        <v>ter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DATE(Configurações!$B$3,10,20)</f>
        <v>46315</v>
      </c>
      <c r="B460" s="2" t="str">
        <f t="shared" si="7"/>
        <v>ter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DATE(Configurações!$B$3,10,20)</f>
        <v>46315</v>
      </c>
      <c r="B461" s="2" t="str">
        <f t="shared" si="7"/>
        <v>ter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DATE(Configurações!$B$3,10,20)</f>
        <v>46315</v>
      </c>
      <c r="B462" s="2" t="str">
        <f t="shared" si="7"/>
        <v>ter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DATE(Configurações!$B$3,10,20)</f>
        <v>46315</v>
      </c>
      <c r="B463" s="2" t="str">
        <f t="shared" si="7"/>
        <v>ter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DATE(Configurações!$B$3,10,20)</f>
        <v>46315</v>
      </c>
      <c r="B464" s="2" t="str">
        <f t="shared" si="7"/>
        <v>ter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DATE(Configurações!$B$3,10,20)</f>
        <v>46315</v>
      </c>
      <c r="B465" s="2" t="str">
        <f t="shared" si="7"/>
        <v>ter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DATE(Configurações!$B$3,10,21)</f>
        <v>46316</v>
      </c>
      <c r="B466" s="2" t="str">
        <f t="shared" si="7"/>
        <v>qua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DATE(Configurações!$B$3,10,21)</f>
        <v>46316</v>
      </c>
      <c r="B467" s="2" t="str">
        <f t="shared" si="7"/>
        <v>qua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DATE(Configurações!$B$3,10,21)</f>
        <v>46316</v>
      </c>
      <c r="B468" s="2" t="str">
        <f t="shared" si="7"/>
        <v>qua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DATE(Configurações!$B$3,10,21)</f>
        <v>46316</v>
      </c>
      <c r="B469" s="2" t="str">
        <f t="shared" si="7"/>
        <v>qua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DATE(Configurações!$B$3,10,21)</f>
        <v>46316</v>
      </c>
      <c r="B470" s="2" t="str">
        <f t="shared" si="7"/>
        <v>qua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DATE(Configurações!$B$3,10,21)</f>
        <v>46316</v>
      </c>
      <c r="B471" s="2" t="str">
        <f t="shared" si="7"/>
        <v>qua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DATE(Configurações!$B$3,10,21)</f>
        <v>46316</v>
      </c>
      <c r="B472" s="2" t="str">
        <f t="shared" si="7"/>
        <v>qua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DATE(Configurações!$B$3,10,21)</f>
        <v>46316</v>
      </c>
      <c r="B473" s="2" t="str">
        <f t="shared" si="7"/>
        <v>qua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DATE(Configurações!$B$3,10,21)</f>
        <v>46316</v>
      </c>
      <c r="B474" s="2" t="str">
        <f t="shared" si="7"/>
        <v>qua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DATE(Configurações!$B$3,10,21)</f>
        <v>46316</v>
      </c>
      <c r="B475" s="2" t="str">
        <f t="shared" si="7"/>
        <v>qua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DATE(Configurações!$B$3,10,21)</f>
        <v>46316</v>
      </c>
      <c r="B476" s="2" t="str">
        <f t="shared" si="7"/>
        <v>qua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DATE(Configurações!$B$3,10,21)</f>
        <v>46316</v>
      </c>
      <c r="B477" s="2" t="str">
        <f t="shared" si="7"/>
        <v>qua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DATE(Configurações!$B$3,10,21)</f>
        <v>46316</v>
      </c>
      <c r="B478" s="2" t="str">
        <f t="shared" si="7"/>
        <v>qua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DATE(Configurações!$B$3,10,21)</f>
        <v>46316</v>
      </c>
      <c r="B479" s="2" t="str">
        <f t="shared" si="7"/>
        <v>qua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DATE(Configurações!$B$3,10,21)</f>
        <v>46316</v>
      </c>
      <c r="B480" s="2" t="str">
        <f t="shared" si="7"/>
        <v>qua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DATE(Configurações!$B$3,10,21)</f>
        <v>46316</v>
      </c>
      <c r="B481" s="2" t="str">
        <f t="shared" si="7"/>
        <v>qua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DATE(Configurações!$B$3,10,21)</f>
        <v>46316</v>
      </c>
      <c r="B482" s="2" t="str">
        <f t="shared" si="7"/>
        <v>qua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DATE(Configurações!$B$3,10,21)</f>
        <v>46316</v>
      </c>
      <c r="B483" s="2" t="str">
        <f t="shared" si="7"/>
        <v>qua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DATE(Configurações!$B$3,10,21)</f>
        <v>46316</v>
      </c>
      <c r="B484" s="2" t="str">
        <f t="shared" si="7"/>
        <v>qua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DATE(Configurações!$B$3,10,21)</f>
        <v>46316</v>
      </c>
      <c r="B485" s="2" t="str">
        <f t="shared" si="7"/>
        <v>qua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DATE(Configurações!$B$3,10,21)</f>
        <v>46316</v>
      </c>
      <c r="B486" s="2" t="str">
        <f t="shared" si="7"/>
        <v>qua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DATE(Configurações!$B$3,10,21)</f>
        <v>46316</v>
      </c>
      <c r="B487" s="2" t="str">
        <f t="shared" si="7"/>
        <v>qua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DATE(Configurações!$B$3,10,21)</f>
        <v>46316</v>
      </c>
      <c r="B488" s="2" t="str">
        <f t="shared" si="7"/>
        <v>qua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DATE(Configurações!$B$3,10,22)</f>
        <v>46317</v>
      </c>
      <c r="B489" s="2" t="str">
        <f t="shared" si="7"/>
        <v>qui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DATE(Configurações!$B$3,10,22)</f>
        <v>46317</v>
      </c>
      <c r="B490" s="2" t="str">
        <f t="shared" si="7"/>
        <v>qui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DATE(Configurações!$B$3,10,22)</f>
        <v>46317</v>
      </c>
      <c r="B491" s="2" t="str">
        <f t="shared" si="7"/>
        <v>qui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DATE(Configurações!$B$3,10,22)</f>
        <v>46317</v>
      </c>
      <c r="B492" s="2" t="str">
        <f t="shared" si="7"/>
        <v>qui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DATE(Configurações!$B$3,10,22)</f>
        <v>46317</v>
      </c>
      <c r="B493" s="2" t="str">
        <f t="shared" si="7"/>
        <v>qui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DATE(Configurações!$B$3,10,22)</f>
        <v>46317</v>
      </c>
      <c r="B494" s="2" t="str">
        <f t="shared" si="7"/>
        <v>qui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DATE(Configurações!$B$3,10,22)</f>
        <v>46317</v>
      </c>
      <c r="B495" s="2" t="str">
        <f t="shared" si="7"/>
        <v>qui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DATE(Configurações!$B$3,10,22)</f>
        <v>46317</v>
      </c>
      <c r="B496" s="2" t="str">
        <f t="shared" si="7"/>
        <v>qui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DATE(Configurações!$B$3,10,22)</f>
        <v>46317</v>
      </c>
      <c r="B497" s="2" t="str">
        <f t="shared" si="7"/>
        <v>qui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DATE(Configurações!$B$3,10,22)</f>
        <v>46317</v>
      </c>
      <c r="B498" s="2" t="str">
        <f t="shared" si="7"/>
        <v>qui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DATE(Configurações!$B$3,10,22)</f>
        <v>46317</v>
      </c>
      <c r="B499" s="2" t="str">
        <f t="shared" si="7"/>
        <v>qui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DATE(Configurações!$B$3,10,22)</f>
        <v>46317</v>
      </c>
      <c r="B500" s="2" t="str">
        <f t="shared" si="7"/>
        <v>qui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DATE(Configurações!$B$3,10,22)</f>
        <v>46317</v>
      </c>
      <c r="B501" s="2" t="str">
        <f t="shared" si="7"/>
        <v>qui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DATE(Configurações!$B$3,10,22)</f>
        <v>46317</v>
      </c>
      <c r="B502" s="2" t="str">
        <f t="shared" si="7"/>
        <v>qui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DATE(Configurações!$B$3,10,22)</f>
        <v>46317</v>
      </c>
      <c r="B503" s="2" t="str">
        <f t="shared" si="7"/>
        <v>qui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DATE(Configurações!$B$3,10,22)</f>
        <v>46317</v>
      </c>
      <c r="B504" s="2" t="str">
        <f t="shared" si="7"/>
        <v>qui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DATE(Configurações!$B$3,10,22)</f>
        <v>46317</v>
      </c>
      <c r="B505" s="2" t="str">
        <f t="shared" si="7"/>
        <v>qui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DATE(Configurações!$B$3,10,22)</f>
        <v>46317</v>
      </c>
      <c r="B506" s="2" t="str">
        <f t="shared" si="7"/>
        <v>qui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DATE(Configurações!$B$3,10,22)</f>
        <v>46317</v>
      </c>
      <c r="B507" s="2" t="str">
        <f t="shared" si="7"/>
        <v>qui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DATE(Configurações!$B$3,10,22)</f>
        <v>46317</v>
      </c>
      <c r="B508" s="2" t="str">
        <f t="shared" si="7"/>
        <v>qui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DATE(Configurações!$B$3,10,22)</f>
        <v>46317</v>
      </c>
      <c r="B509" s="2" t="str">
        <f t="shared" si="7"/>
        <v>qui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DATE(Configurações!$B$3,10,22)</f>
        <v>46317</v>
      </c>
      <c r="B510" s="2" t="str">
        <f t="shared" si="7"/>
        <v>qui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DATE(Configurações!$B$3,10,22)</f>
        <v>46317</v>
      </c>
      <c r="B511" s="2" t="str">
        <f t="shared" si="7"/>
        <v>qui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DATE(Configurações!$B$3,10,23)</f>
        <v>46318</v>
      </c>
      <c r="B512" s="2" t="str">
        <f t="shared" si="7"/>
        <v>sex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DATE(Configurações!$B$3,10,23)</f>
        <v>46318</v>
      </c>
      <c r="B513" s="2" t="str">
        <f t="shared" si="7"/>
        <v>sex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DATE(Configurações!$B$3,10,23)</f>
        <v>46318</v>
      </c>
      <c r="B514" s="2" t="str">
        <f t="shared" si="7"/>
        <v>sex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DATE(Configurações!$B$3,10,23)</f>
        <v>46318</v>
      </c>
      <c r="B515" s="2" t="str">
        <f t="shared" si="7"/>
        <v>sex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DATE(Configurações!$B$3,10,23)</f>
        <v>46318</v>
      </c>
      <c r="B516" s="2" t="str">
        <f t="shared" si="7"/>
        <v>sex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DATE(Configurações!$B$3,10,23)</f>
        <v>46318</v>
      </c>
      <c r="B517" s="2" t="str">
        <f t="shared" si="7"/>
        <v>sex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DATE(Configurações!$B$3,10,23)</f>
        <v>46318</v>
      </c>
      <c r="B518" s="2" t="str">
        <f t="shared" ref="B518:B581" si="8">TEXT(A518,"ddd")</f>
        <v>sex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DATE(Configurações!$B$3,10,23)</f>
        <v>46318</v>
      </c>
      <c r="B519" s="2" t="str">
        <f t="shared" si="8"/>
        <v>sex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DATE(Configurações!$B$3,10,23)</f>
        <v>46318</v>
      </c>
      <c r="B520" s="2" t="str">
        <f t="shared" si="8"/>
        <v>sex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DATE(Configurações!$B$3,10,23)</f>
        <v>46318</v>
      </c>
      <c r="B521" s="2" t="str">
        <f t="shared" si="8"/>
        <v>sex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DATE(Configurações!$B$3,10,23)</f>
        <v>46318</v>
      </c>
      <c r="B522" s="2" t="str">
        <f t="shared" si="8"/>
        <v>sex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DATE(Configurações!$B$3,10,23)</f>
        <v>46318</v>
      </c>
      <c r="B523" s="2" t="str">
        <f t="shared" si="8"/>
        <v>sex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DATE(Configurações!$B$3,10,23)</f>
        <v>46318</v>
      </c>
      <c r="B524" s="2" t="str">
        <f t="shared" si="8"/>
        <v>sex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DATE(Configurações!$B$3,10,23)</f>
        <v>46318</v>
      </c>
      <c r="B525" s="2" t="str">
        <f t="shared" si="8"/>
        <v>sex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DATE(Configurações!$B$3,10,23)</f>
        <v>46318</v>
      </c>
      <c r="B526" s="2" t="str">
        <f t="shared" si="8"/>
        <v>sex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DATE(Configurações!$B$3,10,23)</f>
        <v>46318</v>
      </c>
      <c r="B527" s="2" t="str">
        <f t="shared" si="8"/>
        <v>sex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DATE(Configurações!$B$3,10,23)</f>
        <v>46318</v>
      </c>
      <c r="B528" s="2" t="str">
        <f t="shared" si="8"/>
        <v>sex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DATE(Configurações!$B$3,10,23)</f>
        <v>46318</v>
      </c>
      <c r="B529" s="2" t="str">
        <f t="shared" si="8"/>
        <v>sex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DATE(Configurações!$B$3,10,23)</f>
        <v>46318</v>
      </c>
      <c r="B530" s="2" t="str">
        <f t="shared" si="8"/>
        <v>sex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DATE(Configurações!$B$3,10,23)</f>
        <v>46318</v>
      </c>
      <c r="B531" s="2" t="str">
        <f t="shared" si="8"/>
        <v>sex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DATE(Configurações!$B$3,10,23)</f>
        <v>46318</v>
      </c>
      <c r="B532" s="2" t="str">
        <f t="shared" si="8"/>
        <v>sex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DATE(Configurações!$B$3,10,23)</f>
        <v>46318</v>
      </c>
      <c r="B533" s="2" t="str">
        <f t="shared" si="8"/>
        <v>sex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DATE(Configurações!$B$3,10,23)</f>
        <v>46318</v>
      </c>
      <c r="B534" s="2" t="str">
        <f t="shared" si="8"/>
        <v>sex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DATE(Configurações!$B$3,10,24)</f>
        <v>46319</v>
      </c>
      <c r="B535" s="2" t="str">
        <f t="shared" si="8"/>
        <v>sáb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DATE(Configurações!$B$3,10,24)</f>
        <v>46319</v>
      </c>
      <c r="B536" s="2" t="str">
        <f t="shared" si="8"/>
        <v>sáb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DATE(Configurações!$B$3,10,24)</f>
        <v>46319</v>
      </c>
      <c r="B537" s="2" t="str">
        <f t="shared" si="8"/>
        <v>sáb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DATE(Configurações!$B$3,10,24)</f>
        <v>46319</v>
      </c>
      <c r="B538" s="2" t="str">
        <f t="shared" si="8"/>
        <v>sáb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DATE(Configurações!$B$3,10,24)</f>
        <v>46319</v>
      </c>
      <c r="B539" s="2" t="str">
        <f t="shared" si="8"/>
        <v>sáb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DATE(Configurações!$B$3,10,24)</f>
        <v>46319</v>
      </c>
      <c r="B540" s="2" t="str">
        <f t="shared" si="8"/>
        <v>sáb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DATE(Configurações!$B$3,10,24)</f>
        <v>46319</v>
      </c>
      <c r="B541" s="2" t="str">
        <f t="shared" si="8"/>
        <v>sáb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DATE(Configurações!$B$3,10,24)</f>
        <v>46319</v>
      </c>
      <c r="B542" s="2" t="str">
        <f t="shared" si="8"/>
        <v>sáb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DATE(Configurações!$B$3,10,24)</f>
        <v>46319</v>
      </c>
      <c r="B543" s="2" t="str">
        <f t="shared" si="8"/>
        <v>sáb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DATE(Configurações!$B$3,10,24)</f>
        <v>46319</v>
      </c>
      <c r="B544" s="2" t="str">
        <f t="shared" si="8"/>
        <v>sáb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DATE(Configurações!$B$3,10,24)</f>
        <v>46319</v>
      </c>
      <c r="B545" s="2" t="str">
        <f t="shared" si="8"/>
        <v>sáb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DATE(Configurações!$B$3,10,24)</f>
        <v>46319</v>
      </c>
      <c r="B546" s="2" t="str">
        <f t="shared" si="8"/>
        <v>sáb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DATE(Configurações!$B$3,10,24)</f>
        <v>46319</v>
      </c>
      <c r="B547" s="2" t="str">
        <f t="shared" si="8"/>
        <v>sáb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DATE(Configurações!$B$3,10,24)</f>
        <v>46319</v>
      </c>
      <c r="B548" s="2" t="str">
        <f t="shared" si="8"/>
        <v>sáb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DATE(Configurações!$B$3,10,24)</f>
        <v>46319</v>
      </c>
      <c r="B549" s="2" t="str">
        <f t="shared" si="8"/>
        <v>sáb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DATE(Configurações!$B$3,10,24)</f>
        <v>46319</v>
      </c>
      <c r="B550" s="2" t="str">
        <f t="shared" si="8"/>
        <v>sáb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DATE(Configurações!$B$3,10,24)</f>
        <v>46319</v>
      </c>
      <c r="B551" s="2" t="str">
        <f t="shared" si="8"/>
        <v>sáb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DATE(Configurações!$B$3,10,24)</f>
        <v>46319</v>
      </c>
      <c r="B552" s="2" t="str">
        <f t="shared" si="8"/>
        <v>sáb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DATE(Configurações!$B$3,10,24)</f>
        <v>46319</v>
      </c>
      <c r="B553" s="2" t="str">
        <f t="shared" si="8"/>
        <v>sáb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DATE(Configurações!$B$3,10,24)</f>
        <v>46319</v>
      </c>
      <c r="B554" s="2" t="str">
        <f t="shared" si="8"/>
        <v>sáb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DATE(Configurações!$B$3,10,24)</f>
        <v>46319</v>
      </c>
      <c r="B555" s="2" t="str">
        <f t="shared" si="8"/>
        <v>sáb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DATE(Configurações!$B$3,10,24)</f>
        <v>46319</v>
      </c>
      <c r="B556" s="2" t="str">
        <f t="shared" si="8"/>
        <v>sáb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DATE(Configurações!$B$3,10,24)</f>
        <v>46319</v>
      </c>
      <c r="B557" s="2" t="str">
        <f t="shared" si="8"/>
        <v>sáb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DATE(Configurações!$B$3,10,25)</f>
        <v>46320</v>
      </c>
      <c r="B558" s="2" t="str">
        <f t="shared" si="8"/>
        <v>dom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DATE(Configurações!$B$3,10,25)</f>
        <v>46320</v>
      </c>
      <c r="B559" s="2" t="str">
        <f t="shared" si="8"/>
        <v>dom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DATE(Configurações!$B$3,10,25)</f>
        <v>46320</v>
      </c>
      <c r="B560" s="2" t="str">
        <f t="shared" si="8"/>
        <v>dom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DATE(Configurações!$B$3,10,25)</f>
        <v>46320</v>
      </c>
      <c r="B561" s="2" t="str">
        <f t="shared" si="8"/>
        <v>dom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DATE(Configurações!$B$3,10,25)</f>
        <v>46320</v>
      </c>
      <c r="B562" s="2" t="str">
        <f t="shared" si="8"/>
        <v>dom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DATE(Configurações!$B$3,10,25)</f>
        <v>46320</v>
      </c>
      <c r="B563" s="2" t="str">
        <f t="shared" si="8"/>
        <v>dom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DATE(Configurações!$B$3,10,25)</f>
        <v>46320</v>
      </c>
      <c r="B564" s="2" t="str">
        <f t="shared" si="8"/>
        <v>dom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DATE(Configurações!$B$3,10,25)</f>
        <v>46320</v>
      </c>
      <c r="B565" s="2" t="str">
        <f t="shared" si="8"/>
        <v>dom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DATE(Configurações!$B$3,10,25)</f>
        <v>46320</v>
      </c>
      <c r="B566" s="2" t="str">
        <f t="shared" si="8"/>
        <v>dom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DATE(Configurações!$B$3,10,25)</f>
        <v>46320</v>
      </c>
      <c r="B567" s="2" t="str">
        <f t="shared" si="8"/>
        <v>dom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DATE(Configurações!$B$3,10,25)</f>
        <v>46320</v>
      </c>
      <c r="B568" s="2" t="str">
        <f t="shared" si="8"/>
        <v>dom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DATE(Configurações!$B$3,10,25)</f>
        <v>46320</v>
      </c>
      <c r="B569" s="2" t="str">
        <f t="shared" si="8"/>
        <v>dom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DATE(Configurações!$B$3,10,25)</f>
        <v>46320</v>
      </c>
      <c r="B570" s="2" t="str">
        <f t="shared" si="8"/>
        <v>dom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DATE(Configurações!$B$3,10,25)</f>
        <v>46320</v>
      </c>
      <c r="B571" s="2" t="str">
        <f t="shared" si="8"/>
        <v>dom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DATE(Configurações!$B$3,10,25)</f>
        <v>46320</v>
      </c>
      <c r="B572" s="2" t="str">
        <f t="shared" si="8"/>
        <v>dom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DATE(Configurações!$B$3,10,25)</f>
        <v>46320</v>
      </c>
      <c r="B573" s="2" t="str">
        <f t="shared" si="8"/>
        <v>dom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DATE(Configurações!$B$3,10,25)</f>
        <v>46320</v>
      </c>
      <c r="B574" s="2" t="str">
        <f t="shared" si="8"/>
        <v>dom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DATE(Configurações!$B$3,10,25)</f>
        <v>46320</v>
      </c>
      <c r="B575" s="2" t="str">
        <f t="shared" si="8"/>
        <v>dom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DATE(Configurações!$B$3,10,25)</f>
        <v>46320</v>
      </c>
      <c r="B576" s="2" t="str">
        <f t="shared" si="8"/>
        <v>dom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DATE(Configurações!$B$3,10,25)</f>
        <v>46320</v>
      </c>
      <c r="B577" s="2" t="str">
        <f t="shared" si="8"/>
        <v>dom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DATE(Configurações!$B$3,10,25)</f>
        <v>46320</v>
      </c>
      <c r="B578" s="2" t="str">
        <f t="shared" si="8"/>
        <v>dom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DATE(Configurações!$B$3,10,25)</f>
        <v>46320</v>
      </c>
      <c r="B579" s="2" t="str">
        <f t="shared" si="8"/>
        <v>dom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DATE(Configurações!$B$3,10,25)</f>
        <v>46320</v>
      </c>
      <c r="B580" s="2" t="str">
        <f t="shared" si="8"/>
        <v>dom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DATE(Configurações!$B$3,10,26)</f>
        <v>46321</v>
      </c>
      <c r="B581" s="2" t="str">
        <f t="shared" si="8"/>
        <v>seg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DATE(Configurações!$B$3,10,26)</f>
        <v>46321</v>
      </c>
      <c r="B582" s="2" t="str">
        <f t="shared" ref="B582:B645" si="9">TEXT(A582,"ddd")</f>
        <v>seg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DATE(Configurações!$B$3,10,26)</f>
        <v>46321</v>
      </c>
      <c r="B583" s="2" t="str">
        <f t="shared" si="9"/>
        <v>seg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DATE(Configurações!$B$3,10,26)</f>
        <v>46321</v>
      </c>
      <c r="B584" s="2" t="str">
        <f t="shared" si="9"/>
        <v>seg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DATE(Configurações!$B$3,10,26)</f>
        <v>46321</v>
      </c>
      <c r="B585" s="2" t="str">
        <f t="shared" si="9"/>
        <v>seg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DATE(Configurações!$B$3,10,26)</f>
        <v>46321</v>
      </c>
      <c r="B586" s="2" t="str">
        <f t="shared" si="9"/>
        <v>seg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DATE(Configurações!$B$3,10,26)</f>
        <v>46321</v>
      </c>
      <c r="B587" s="2" t="str">
        <f t="shared" si="9"/>
        <v>seg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DATE(Configurações!$B$3,10,26)</f>
        <v>46321</v>
      </c>
      <c r="B588" s="2" t="str">
        <f t="shared" si="9"/>
        <v>seg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DATE(Configurações!$B$3,10,26)</f>
        <v>46321</v>
      </c>
      <c r="B589" s="2" t="str">
        <f t="shared" si="9"/>
        <v>seg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DATE(Configurações!$B$3,10,26)</f>
        <v>46321</v>
      </c>
      <c r="B590" s="2" t="str">
        <f t="shared" si="9"/>
        <v>seg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DATE(Configurações!$B$3,10,26)</f>
        <v>46321</v>
      </c>
      <c r="B591" s="2" t="str">
        <f t="shared" si="9"/>
        <v>seg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DATE(Configurações!$B$3,10,26)</f>
        <v>46321</v>
      </c>
      <c r="B592" s="2" t="str">
        <f t="shared" si="9"/>
        <v>seg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DATE(Configurações!$B$3,10,26)</f>
        <v>46321</v>
      </c>
      <c r="B593" s="2" t="str">
        <f t="shared" si="9"/>
        <v>seg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DATE(Configurações!$B$3,10,26)</f>
        <v>46321</v>
      </c>
      <c r="B594" s="2" t="str">
        <f t="shared" si="9"/>
        <v>seg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DATE(Configurações!$B$3,10,26)</f>
        <v>46321</v>
      </c>
      <c r="B595" s="2" t="str">
        <f t="shared" si="9"/>
        <v>seg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DATE(Configurações!$B$3,10,26)</f>
        <v>46321</v>
      </c>
      <c r="B596" s="2" t="str">
        <f t="shared" si="9"/>
        <v>seg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DATE(Configurações!$B$3,10,26)</f>
        <v>46321</v>
      </c>
      <c r="B597" s="2" t="str">
        <f t="shared" si="9"/>
        <v>seg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DATE(Configurações!$B$3,10,26)</f>
        <v>46321</v>
      </c>
      <c r="B598" s="2" t="str">
        <f t="shared" si="9"/>
        <v>seg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DATE(Configurações!$B$3,10,26)</f>
        <v>46321</v>
      </c>
      <c r="B599" s="2" t="str">
        <f t="shared" si="9"/>
        <v>seg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DATE(Configurações!$B$3,10,26)</f>
        <v>46321</v>
      </c>
      <c r="B600" s="2" t="str">
        <f t="shared" si="9"/>
        <v>seg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DATE(Configurações!$B$3,10,26)</f>
        <v>46321</v>
      </c>
      <c r="B601" s="2" t="str">
        <f t="shared" si="9"/>
        <v>seg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DATE(Configurações!$B$3,10,26)</f>
        <v>46321</v>
      </c>
      <c r="B602" s="2" t="str">
        <f t="shared" si="9"/>
        <v>seg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DATE(Configurações!$B$3,10,26)</f>
        <v>46321</v>
      </c>
      <c r="B603" s="2" t="str">
        <f t="shared" si="9"/>
        <v>seg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DATE(Configurações!$B$3,10,27)</f>
        <v>46322</v>
      </c>
      <c r="B604" s="2" t="str">
        <f t="shared" si="9"/>
        <v>ter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DATE(Configurações!$B$3,10,27)</f>
        <v>46322</v>
      </c>
      <c r="B605" s="2" t="str">
        <f t="shared" si="9"/>
        <v>ter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DATE(Configurações!$B$3,10,27)</f>
        <v>46322</v>
      </c>
      <c r="B606" s="2" t="str">
        <f t="shared" si="9"/>
        <v>ter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DATE(Configurações!$B$3,10,27)</f>
        <v>46322</v>
      </c>
      <c r="B607" s="2" t="str">
        <f t="shared" si="9"/>
        <v>ter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DATE(Configurações!$B$3,10,27)</f>
        <v>46322</v>
      </c>
      <c r="B608" s="2" t="str">
        <f t="shared" si="9"/>
        <v>ter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DATE(Configurações!$B$3,10,27)</f>
        <v>46322</v>
      </c>
      <c r="B609" s="2" t="str">
        <f t="shared" si="9"/>
        <v>ter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DATE(Configurações!$B$3,10,27)</f>
        <v>46322</v>
      </c>
      <c r="B610" s="2" t="str">
        <f t="shared" si="9"/>
        <v>ter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DATE(Configurações!$B$3,10,27)</f>
        <v>46322</v>
      </c>
      <c r="B611" s="2" t="str">
        <f t="shared" si="9"/>
        <v>ter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DATE(Configurações!$B$3,10,27)</f>
        <v>46322</v>
      </c>
      <c r="B612" s="2" t="str">
        <f t="shared" si="9"/>
        <v>ter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DATE(Configurações!$B$3,10,27)</f>
        <v>46322</v>
      </c>
      <c r="B613" s="2" t="str">
        <f t="shared" si="9"/>
        <v>ter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DATE(Configurações!$B$3,10,27)</f>
        <v>46322</v>
      </c>
      <c r="B614" s="2" t="str">
        <f t="shared" si="9"/>
        <v>ter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DATE(Configurações!$B$3,10,27)</f>
        <v>46322</v>
      </c>
      <c r="B615" s="2" t="str">
        <f t="shared" si="9"/>
        <v>ter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DATE(Configurações!$B$3,10,27)</f>
        <v>46322</v>
      </c>
      <c r="B616" s="2" t="str">
        <f t="shared" si="9"/>
        <v>ter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DATE(Configurações!$B$3,10,27)</f>
        <v>46322</v>
      </c>
      <c r="B617" s="2" t="str">
        <f t="shared" si="9"/>
        <v>ter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DATE(Configurações!$B$3,10,27)</f>
        <v>46322</v>
      </c>
      <c r="B618" s="2" t="str">
        <f t="shared" si="9"/>
        <v>ter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DATE(Configurações!$B$3,10,27)</f>
        <v>46322</v>
      </c>
      <c r="B619" s="2" t="str">
        <f t="shared" si="9"/>
        <v>ter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DATE(Configurações!$B$3,10,27)</f>
        <v>46322</v>
      </c>
      <c r="B620" s="2" t="str">
        <f t="shared" si="9"/>
        <v>ter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DATE(Configurações!$B$3,10,27)</f>
        <v>46322</v>
      </c>
      <c r="B621" s="2" t="str">
        <f t="shared" si="9"/>
        <v>ter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DATE(Configurações!$B$3,10,27)</f>
        <v>46322</v>
      </c>
      <c r="B622" s="2" t="str">
        <f t="shared" si="9"/>
        <v>ter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DATE(Configurações!$B$3,10,27)</f>
        <v>46322</v>
      </c>
      <c r="B623" s="2" t="str">
        <f t="shared" si="9"/>
        <v>ter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DATE(Configurações!$B$3,10,27)</f>
        <v>46322</v>
      </c>
      <c r="B624" s="2" t="str">
        <f t="shared" si="9"/>
        <v>ter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DATE(Configurações!$B$3,10,27)</f>
        <v>46322</v>
      </c>
      <c r="B625" s="2" t="str">
        <f t="shared" si="9"/>
        <v>ter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DATE(Configurações!$B$3,10,27)</f>
        <v>46322</v>
      </c>
      <c r="B626" s="2" t="str">
        <f t="shared" si="9"/>
        <v>ter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DATE(Configurações!$B$3,10,28)</f>
        <v>46323</v>
      </c>
      <c r="B627" s="2" t="str">
        <f t="shared" si="9"/>
        <v>qua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DATE(Configurações!$B$3,10,28)</f>
        <v>46323</v>
      </c>
      <c r="B628" s="2" t="str">
        <f t="shared" si="9"/>
        <v>qua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DATE(Configurações!$B$3,10,28)</f>
        <v>46323</v>
      </c>
      <c r="B629" s="2" t="str">
        <f t="shared" si="9"/>
        <v>qua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DATE(Configurações!$B$3,10,28)</f>
        <v>46323</v>
      </c>
      <c r="B630" s="2" t="str">
        <f t="shared" si="9"/>
        <v>qua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DATE(Configurações!$B$3,10,28)</f>
        <v>46323</v>
      </c>
      <c r="B631" s="2" t="str">
        <f t="shared" si="9"/>
        <v>qua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DATE(Configurações!$B$3,10,28)</f>
        <v>46323</v>
      </c>
      <c r="B632" s="2" t="str">
        <f t="shared" si="9"/>
        <v>qua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DATE(Configurações!$B$3,10,28)</f>
        <v>46323</v>
      </c>
      <c r="B633" s="2" t="str">
        <f t="shared" si="9"/>
        <v>qua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DATE(Configurações!$B$3,10,28)</f>
        <v>46323</v>
      </c>
      <c r="B634" s="2" t="str">
        <f t="shared" si="9"/>
        <v>qua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DATE(Configurações!$B$3,10,28)</f>
        <v>46323</v>
      </c>
      <c r="B635" s="2" t="str">
        <f t="shared" si="9"/>
        <v>qua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DATE(Configurações!$B$3,10,28)</f>
        <v>46323</v>
      </c>
      <c r="B636" s="2" t="str">
        <f t="shared" si="9"/>
        <v>qua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DATE(Configurações!$B$3,10,28)</f>
        <v>46323</v>
      </c>
      <c r="B637" s="2" t="str">
        <f t="shared" si="9"/>
        <v>qua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DATE(Configurações!$B$3,10,28)</f>
        <v>46323</v>
      </c>
      <c r="B638" s="2" t="str">
        <f t="shared" si="9"/>
        <v>qua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DATE(Configurações!$B$3,10,28)</f>
        <v>46323</v>
      </c>
      <c r="B639" s="2" t="str">
        <f t="shared" si="9"/>
        <v>qua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DATE(Configurações!$B$3,10,28)</f>
        <v>46323</v>
      </c>
      <c r="B640" s="2" t="str">
        <f t="shared" si="9"/>
        <v>qua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DATE(Configurações!$B$3,10,28)</f>
        <v>46323</v>
      </c>
      <c r="B641" s="2" t="str">
        <f t="shared" si="9"/>
        <v>qua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DATE(Configurações!$B$3,10,28)</f>
        <v>46323</v>
      </c>
      <c r="B642" s="2" t="str">
        <f t="shared" si="9"/>
        <v>qua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DATE(Configurações!$B$3,10,28)</f>
        <v>46323</v>
      </c>
      <c r="B643" s="2" t="str">
        <f t="shared" si="9"/>
        <v>qua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DATE(Configurações!$B$3,10,28)</f>
        <v>46323</v>
      </c>
      <c r="B644" s="2" t="str">
        <f t="shared" si="9"/>
        <v>qua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DATE(Configurações!$B$3,10,28)</f>
        <v>46323</v>
      </c>
      <c r="B645" s="2" t="str">
        <f t="shared" si="9"/>
        <v>qua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DATE(Configurações!$B$3,10,28)</f>
        <v>46323</v>
      </c>
      <c r="B646" s="2" t="str">
        <f t="shared" ref="B646:B709" si="10">TEXT(A646,"ddd")</f>
        <v>qua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DATE(Configurações!$B$3,10,28)</f>
        <v>46323</v>
      </c>
      <c r="B647" s="2" t="str">
        <f t="shared" si="10"/>
        <v>qua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DATE(Configurações!$B$3,10,28)</f>
        <v>46323</v>
      </c>
      <c r="B648" s="2" t="str">
        <f t="shared" si="10"/>
        <v>qua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DATE(Configurações!$B$3,10,28)</f>
        <v>46323</v>
      </c>
      <c r="B649" s="2" t="str">
        <f t="shared" si="10"/>
        <v>qua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DATE(Configurações!$B$3,10,29)</f>
        <v>46324</v>
      </c>
      <c r="B650" s="2" t="str">
        <f t="shared" si="10"/>
        <v>qui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DATE(Configurações!$B$3,10,29)</f>
        <v>46324</v>
      </c>
      <c r="B651" s="2" t="str">
        <f t="shared" si="10"/>
        <v>qui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DATE(Configurações!$B$3,10,29)</f>
        <v>46324</v>
      </c>
      <c r="B652" s="2" t="str">
        <f t="shared" si="10"/>
        <v>qui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DATE(Configurações!$B$3,10,29)</f>
        <v>46324</v>
      </c>
      <c r="B653" s="2" t="str">
        <f t="shared" si="10"/>
        <v>qui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DATE(Configurações!$B$3,10,29)</f>
        <v>46324</v>
      </c>
      <c r="B654" s="2" t="str">
        <f t="shared" si="10"/>
        <v>qui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DATE(Configurações!$B$3,10,29)</f>
        <v>46324</v>
      </c>
      <c r="B655" s="2" t="str">
        <f t="shared" si="10"/>
        <v>qui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DATE(Configurações!$B$3,10,29)</f>
        <v>46324</v>
      </c>
      <c r="B656" s="2" t="str">
        <f t="shared" si="10"/>
        <v>qui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DATE(Configurações!$B$3,10,29)</f>
        <v>46324</v>
      </c>
      <c r="B657" s="2" t="str">
        <f t="shared" si="10"/>
        <v>qui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DATE(Configurações!$B$3,10,29)</f>
        <v>46324</v>
      </c>
      <c r="B658" s="2" t="str">
        <f t="shared" si="10"/>
        <v>qui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DATE(Configurações!$B$3,10,29)</f>
        <v>46324</v>
      </c>
      <c r="B659" s="2" t="str">
        <f t="shared" si="10"/>
        <v>qui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DATE(Configurações!$B$3,10,29)</f>
        <v>46324</v>
      </c>
      <c r="B660" s="2" t="str">
        <f t="shared" si="10"/>
        <v>qui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DATE(Configurações!$B$3,10,29)</f>
        <v>46324</v>
      </c>
      <c r="B661" s="2" t="str">
        <f t="shared" si="10"/>
        <v>qui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DATE(Configurações!$B$3,10,29)</f>
        <v>46324</v>
      </c>
      <c r="B662" s="2" t="str">
        <f t="shared" si="10"/>
        <v>qui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DATE(Configurações!$B$3,10,29)</f>
        <v>46324</v>
      </c>
      <c r="B663" s="2" t="str">
        <f t="shared" si="10"/>
        <v>qui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DATE(Configurações!$B$3,10,29)</f>
        <v>46324</v>
      </c>
      <c r="B664" s="2" t="str">
        <f t="shared" si="10"/>
        <v>qui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DATE(Configurações!$B$3,10,29)</f>
        <v>46324</v>
      </c>
      <c r="B665" s="2" t="str">
        <f t="shared" si="10"/>
        <v>qui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DATE(Configurações!$B$3,10,29)</f>
        <v>46324</v>
      </c>
      <c r="B666" s="2" t="str">
        <f t="shared" si="10"/>
        <v>qui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DATE(Configurações!$B$3,10,29)</f>
        <v>46324</v>
      </c>
      <c r="B667" s="2" t="str">
        <f t="shared" si="10"/>
        <v>qui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DATE(Configurações!$B$3,10,29)</f>
        <v>46324</v>
      </c>
      <c r="B668" s="2" t="str">
        <f t="shared" si="10"/>
        <v>qui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DATE(Configurações!$B$3,10,29)</f>
        <v>46324</v>
      </c>
      <c r="B669" s="2" t="str">
        <f t="shared" si="10"/>
        <v>qui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DATE(Configurações!$B$3,10,29)</f>
        <v>46324</v>
      </c>
      <c r="B670" s="2" t="str">
        <f t="shared" si="10"/>
        <v>qui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DATE(Configurações!$B$3,10,29)</f>
        <v>46324</v>
      </c>
      <c r="B671" s="2" t="str">
        <f t="shared" si="10"/>
        <v>qui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DATE(Configurações!$B$3,10,29)</f>
        <v>46324</v>
      </c>
      <c r="B672" s="2" t="str">
        <f t="shared" si="10"/>
        <v>qui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DATE(Configurações!$B$3,10,30)</f>
        <v>46325</v>
      </c>
      <c r="B673" s="2" t="str">
        <f t="shared" si="10"/>
        <v>sex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DATE(Configurações!$B$3,10,30)</f>
        <v>46325</v>
      </c>
      <c r="B674" s="2" t="str">
        <f t="shared" si="10"/>
        <v>sex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DATE(Configurações!$B$3,10,30)</f>
        <v>46325</v>
      </c>
      <c r="B675" s="2" t="str">
        <f t="shared" si="10"/>
        <v>sex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DATE(Configurações!$B$3,10,30)</f>
        <v>46325</v>
      </c>
      <c r="B676" s="2" t="str">
        <f t="shared" si="10"/>
        <v>sex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DATE(Configurações!$B$3,10,30)</f>
        <v>46325</v>
      </c>
      <c r="B677" s="2" t="str">
        <f t="shared" si="10"/>
        <v>sex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DATE(Configurações!$B$3,10,30)</f>
        <v>46325</v>
      </c>
      <c r="B678" s="2" t="str">
        <f t="shared" si="10"/>
        <v>sex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DATE(Configurações!$B$3,10,30)</f>
        <v>46325</v>
      </c>
      <c r="B679" s="2" t="str">
        <f t="shared" si="10"/>
        <v>sex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DATE(Configurações!$B$3,10,30)</f>
        <v>46325</v>
      </c>
      <c r="B680" s="2" t="str">
        <f t="shared" si="10"/>
        <v>sex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DATE(Configurações!$B$3,10,30)</f>
        <v>46325</v>
      </c>
      <c r="B681" s="2" t="str">
        <f t="shared" si="10"/>
        <v>sex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DATE(Configurações!$B$3,10,30)</f>
        <v>46325</v>
      </c>
      <c r="B682" s="2" t="str">
        <f t="shared" si="10"/>
        <v>sex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DATE(Configurações!$B$3,10,30)</f>
        <v>46325</v>
      </c>
      <c r="B683" s="2" t="str">
        <f t="shared" si="10"/>
        <v>sex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DATE(Configurações!$B$3,10,30)</f>
        <v>46325</v>
      </c>
      <c r="B684" s="2" t="str">
        <f t="shared" si="10"/>
        <v>sex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DATE(Configurações!$B$3,10,30)</f>
        <v>46325</v>
      </c>
      <c r="B685" s="2" t="str">
        <f t="shared" si="10"/>
        <v>sex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DATE(Configurações!$B$3,10,30)</f>
        <v>46325</v>
      </c>
      <c r="B686" s="2" t="str">
        <f t="shared" si="10"/>
        <v>sex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DATE(Configurações!$B$3,10,30)</f>
        <v>46325</v>
      </c>
      <c r="B687" s="2" t="str">
        <f t="shared" si="10"/>
        <v>sex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DATE(Configurações!$B$3,10,30)</f>
        <v>46325</v>
      </c>
      <c r="B688" s="2" t="str">
        <f t="shared" si="10"/>
        <v>sex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DATE(Configurações!$B$3,10,30)</f>
        <v>46325</v>
      </c>
      <c r="B689" s="2" t="str">
        <f t="shared" si="10"/>
        <v>sex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DATE(Configurações!$B$3,10,30)</f>
        <v>46325</v>
      </c>
      <c r="B690" s="2" t="str">
        <f t="shared" si="10"/>
        <v>sex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DATE(Configurações!$B$3,10,30)</f>
        <v>46325</v>
      </c>
      <c r="B691" s="2" t="str">
        <f t="shared" si="10"/>
        <v>sex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DATE(Configurações!$B$3,10,30)</f>
        <v>46325</v>
      </c>
      <c r="B692" s="2" t="str">
        <f t="shared" si="10"/>
        <v>sex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DATE(Configurações!$B$3,10,30)</f>
        <v>46325</v>
      </c>
      <c r="B693" s="2" t="str">
        <f t="shared" si="10"/>
        <v>sex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DATE(Configurações!$B$3,10,30)</f>
        <v>46325</v>
      </c>
      <c r="B694" s="2" t="str">
        <f t="shared" si="10"/>
        <v>sex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DATE(Configurações!$B$3,10,30)</f>
        <v>46325</v>
      </c>
      <c r="B695" s="2" t="str">
        <f t="shared" si="10"/>
        <v>sex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DATE(Configurações!$B$3,10,31)</f>
        <v>46326</v>
      </c>
      <c r="B696" s="2" t="str">
        <f t="shared" si="10"/>
        <v>sáb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DATE(Configurações!$B$3,10,31)</f>
        <v>46326</v>
      </c>
      <c r="B697" s="2" t="str">
        <f t="shared" si="10"/>
        <v>sáb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DATE(Configurações!$B$3,10,31)</f>
        <v>46326</v>
      </c>
      <c r="B698" s="2" t="str">
        <f t="shared" si="10"/>
        <v>sáb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DATE(Configurações!$B$3,10,31)</f>
        <v>46326</v>
      </c>
      <c r="B699" s="2" t="str">
        <f t="shared" si="10"/>
        <v>sáb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DATE(Configurações!$B$3,10,31)</f>
        <v>46326</v>
      </c>
      <c r="B700" s="2" t="str">
        <f t="shared" si="10"/>
        <v>sáb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DATE(Configurações!$B$3,10,31)</f>
        <v>46326</v>
      </c>
      <c r="B701" s="2" t="str">
        <f t="shared" si="10"/>
        <v>sáb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DATE(Configurações!$B$3,10,31)</f>
        <v>46326</v>
      </c>
      <c r="B702" s="2" t="str">
        <f t="shared" si="10"/>
        <v>sáb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DATE(Configurações!$B$3,10,31)</f>
        <v>46326</v>
      </c>
      <c r="B703" s="2" t="str">
        <f t="shared" si="10"/>
        <v>sáb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DATE(Configurações!$B$3,10,31)</f>
        <v>46326</v>
      </c>
      <c r="B704" s="2" t="str">
        <f t="shared" si="10"/>
        <v>sáb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DATE(Configurações!$B$3,10,31)</f>
        <v>46326</v>
      </c>
      <c r="B705" s="2" t="str">
        <f t="shared" si="10"/>
        <v>sáb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DATE(Configurações!$B$3,10,31)</f>
        <v>46326</v>
      </c>
      <c r="B706" s="2" t="str">
        <f t="shared" si="10"/>
        <v>sáb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DATE(Configurações!$B$3,10,31)</f>
        <v>46326</v>
      </c>
      <c r="B707" s="2" t="str">
        <f t="shared" si="10"/>
        <v>sáb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DATE(Configurações!$B$3,10,31)</f>
        <v>46326</v>
      </c>
      <c r="B708" s="2" t="str">
        <f t="shared" si="10"/>
        <v>sáb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DATE(Configurações!$B$3,10,31)</f>
        <v>46326</v>
      </c>
      <c r="B709" s="2" t="str">
        <f t="shared" si="10"/>
        <v>sáb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DATE(Configurações!$B$3,10,31)</f>
        <v>46326</v>
      </c>
      <c r="B710" s="2" t="str">
        <f t="shared" ref="B710:B773" si="11">TEXT(A710,"ddd")</f>
        <v>sáb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DATE(Configurações!$B$3,10,31)</f>
        <v>46326</v>
      </c>
      <c r="B711" s="2" t="str">
        <f t="shared" si="11"/>
        <v>sáb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DATE(Configurações!$B$3,10,31)</f>
        <v>46326</v>
      </c>
      <c r="B712" s="2" t="str">
        <f t="shared" si="11"/>
        <v>sáb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DATE(Configurações!$B$3,10,31)</f>
        <v>46326</v>
      </c>
      <c r="B713" s="2" t="str">
        <f t="shared" si="11"/>
        <v>sáb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DATE(Configurações!$B$3,10,31)</f>
        <v>46326</v>
      </c>
      <c r="B714" s="2" t="str">
        <f t="shared" si="11"/>
        <v>sáb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DATE(Configurações!$B$3,10,31)</f>
        <v>46326</v>
      </c>
      <c r="B715" s="2" t="str">
        <f t="shared" si="11"/>
        <v>sáb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DATE(Configurações!$B$3,10,31)</f>
        <v>46326</v>
      </c>
      <c r="B716" s="2" t="str">
        <f t="shared" si="11"/>
        <v>sáb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DATE(Configurações!$B$3,10,31)</f>
        <v>46326</v>
      </c>
      <c r="B717" s="2" t="str">
        <f t="shared" si="11"/>
        <v>sáb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DATE(Configurações!$B$3,10,31)</f>
        <v>46326</v>
      </c>
      <c r="B718" s="2" t="str">
        <f t="shared" si="11"/>
        <v>sáb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11" priority="1">
      <formula>F6="Online"</formula>
    </cfRule>
    <cfRule type="expression" dxfId="10" priority="2">
      <formula>F6="Offline"</formula>
    </cfRule>
    <cfRule type="expression" dxfId="9" priority="3">
      <formula>F6="Manutenção"</formula>
    </cfRule>
    <cfRule type="expression" dxfId="8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B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117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DATE(Configurações!$B$3,11,1)</f>
        <v>46327</v>
      </c>
      <c r="B6" s="2" t="str">
        <f t="shared" ref="B6:B69" si="0">TEXT(A6,"ddd")</f>
        <v>dom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DATE(Configurações!$B$3,11,1)</f>
        <v>46327</v>
      </c>
      <c r="B7" s="2" t="str">
        <f t="shared" si="0"/>
        <v>dom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DATE(Configurações!$B$3,11,1)</f>
        <v>46327</v>
      </c>
      <c r="B8" s="2" t="str">
        <f t="shared" si="0"/>
        <v>dom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DATE(Configurações!$B$3,11,1)</f>
        <v>46327</v>
      </c>
      <c r="B9" s="2" t="str">
        <f t="shared" si="0"/>
        <v>dom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DATE(Configurações!$B$3,11,1)</f>
        <v>46327</v>
      </c>
      <c r="B10" s="2" t="str">
        <f t="shared" si="0"/>
        <v>dom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DATE(Configurações!$B$3,11,1)</f>
        <v>46327</v>
      </c>
      <c r="B11" s="2" t="str">
        <f t="shared" si="0"/>
        <v>dom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DATE(Configurações!$B$3,11,1)</f>
        <v>46327</v>
      </c>
      <c r="B12" s="2" t="str">
        <f t="shared" si="0"/>
        <v>dom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DATE(Configurações!$B$3,11,1)</f>
        <v>46327</v>
      </c>
      <c r="B13" s="2" t="str">
        <f t="shared" si="0"/>
        <v>dom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DATE(Configurações!$B$3,11,1)</f>
        <v>46327</v>
      </c>
      <c r="B14" s="2" t="str">
        <f t="shared" si="0"/>
        <v>dom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DATE(Configurações!$B$3,11,1)</f>
        <v>46327</v>
      </c>
      <c r="B15" s="2" t="str">
        <f t="shared" si="0"/>
        <v>dom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DATE(Configurações!$B$3,11,1)</f>
        <v>46327</v>
      </c>
      <c r="B16" s="2" t="str">
        <f t="shared" si="0"/>
        <v>dom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DATE(Configurações!$B$3,11,1)</f>
        <v>46327</v>
      </c>
      <c r="B17" s="2" t="str">
        <f t="shared" si="0"/>
        <v>dom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DATE(Configurações!$B$3,11,1)</f>
        <v>46327</v>
      </c>
      <c r="B18" s="2" t="str">
        <f t="shared" si="0"/>
        <v>dom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DATE(Configurações!$B$3,11,1)</f>
        <v>46327</v>
      </c>
      <c r="B19" s="2" t="str">
        <f t="shared" si="0"/>
        <v>dom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DATE(Configurações!$B$3,11,1)</f>
        <v>46327</v>
      </c>
      <c r="B20" s="2" t="str">
        <f t="shared" si="0"/>
        <v>dom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DATE(Configurações!$B$3,11,1)</f>
        <v>46327</v>
      </c>
      <c r="B21" s="2" t="str">
        <f t="shared" si="0"/>
        <v>dom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DATE(Configurações!$B$3,11,1)</f>
        <v>46327</v>
      </c>
      <c r="B22" s="2" t="str">
        <f t="shared" si="0"/>
        <v>dom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DATE(Configurações!$B$3,11,1)</f>
        <v>46327</v>
      </c>
      <c r="B23" s="2" t="str">
        <f t="shared" si="0"/>
        <v>dom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DATE(Configurações!$B$3,11,1)</f>
        <v>46327</v>
      </c>
      <c r="B24" s="2" t="str">
        <f t="shared" si="0"/>
        <v>dom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DATE(Configurações!$B$3,11,1)</f>
        <v>46327</v>
      </c>
      <c r="B25" s="2" t="str">
        <f t="shared" si="0"/>
        <v>dom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DATE(Configurações!$B$3,11,1)</f>
        <v>46327</v>
      </c>
      <c r="B26" s="2" t="str">
        <f t="shared" si="0"/>
        <v>dom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DATE(Configurações!$B$3,11,1)</f>
        <v>46327</v>
      </c>
      <c r="B27" s="2" t="str">
        <f t="shared" si="0"/>
        <v>dom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DATE(Configurações!$B$3,11,1)</f>
        <v>46327</v>
      </c>
      <c r="B28" s="2" t="str">
        <f t="shared" si="0"/>
        <v>dom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DATE(Configurações!$B$3,11,2)</f>
        <v>46328</v>
      </c>
      <c r="B29" s="2" t="str">
        <f t="shared" si="0"/>
        <v>seg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DATE(Configurações!$B$3,11,2)</f>
        <v>46328</v>
      </c>
      <c r="B30" s="2" t="str">
        <f t="shared" si="0"/>
        <v>seg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DATE(Configurações!$B$3,11,2)</f>
        <v>46328</v>
      </c>
      <c r="B31" s="2" t="str">
        <f t="shared" si="0"/>
        <v>seg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DATE(Configurações!$B$3,11,2)</f>
        <v>46328</v>
      </c>
      <c r="B32" s="2" t="str">
        <f t="shared" si="0"/>
        <v>seg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DATE(Configurações!$B$3,11,2)</f>
        <v>46328</v>
      </c>
      <c r="B33" s="2" t="str">
        <f t="shared" si="0"/>
        <v>seg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DATE(Configurações!$B$3,11,2)</f>
        <v>46328</v>
      </c>
      <c r="B34" s="2" t="str">
        <f t="shared" si="0"/>
        <v>seg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DATE(Configurações!$B$3,11,2)</f>
        <v>46328</v>
      </c>
      <c r="B35" s="2" t="str">
        <f t="shared" si="0"/>
        <v>seg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DATE(Configurações!$B$3,11,2)</f>
        <v>46328</v>
      </c>
      <c r="B36" s="2" t="str">
        <f t="shared" si="0"/>
        <v>seg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DATE(Configurações!$B$3,11,2)</f>
        <v>46328</v>
      </c>
      <c r="B37" s="2" t="str">
        <f t="shared" si="0"/>
        <v>seg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DATE(Configurações!$B$3,11,2)</f>
        <v>46328</v>
      </c>
      <c r="B38" s="2" t="str">
        <f t="shared" si="0"/>
        <v>seg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DATE(Configurações!$B$3,11,2)</f>
        <v>46328</v>
      </c>
      <c r="B39" s="2" t="str">
        <f t="shared" si="0"/>
        <v>seg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DATE(Configurações!$B$3,11,2)</f>
        <v>46328</v>
      </c>
      <c r="B40" s="2" t="str">
        <f t="shared" si="0"/>
        <v>seg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DATE(Configurações!$B$3,11,2)</f>
        <v>46328</v>
      </c>
      <c r="B41" s="2" t="str">
        <f t="shared" si="0"/>
        <v>seg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DATE(Configurações!$B$3,11,2)</f>
        <v>46328</v>
      </c>
      <c r="B42" s="2" t="str">
        <f t="shared" si="0"/>
        <v>seg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DATE(Configurações!$B$3,11,2)</f>
        <v>46328</v>
      </c>
      <c r="B43" s="2" t="str">
        <f t="shared" si="0"/>
        <v>seg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DATE(Configurações!$B$3,11,2)</f>
        <v>46328</v>
      </c>
      <c r="B44" s="2" t="str">
        <f t="shared" si="0"/>
        <v>seg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DATE(Configurações!$B$3,11,2)</f>
        <v>46328</v>
      </c>
      <c r="B45" s="2" t="str">
        <f t="shared" si="0"/>
        <v>seg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DATE(Configurações!$B$3,11,2)</f>
        <v>46328</v>
      </c>
      <c r="B46" s="2" t="str">
        <f t="shared" si="0"/>
        <v>seg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DATE(Configurações!$B$3,11,2)</f>
        <v>46328</v>
      </c>
      <c r="B47" s="2" t="str">
        <f t="shared" si="0"/>
        <v>seg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DATE(Configurações!$B$3,11,2)</f>
        <v>46328</v>
      </c>
      <c r="B48" s="2" t="str">
        <f t="shared" si="0"/>
        <v>seg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DATE(Configurações!$B$3,11,2)</f>
        <v>46328</v>
      </c>
      <c r="B49" s="2" t="str">
        <f t="shared" si="0"/>
        <v>seg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DATE(Configurações!$B$3,11,2)</f>
        <v>46328</v>
      </c>
      <c r="B50" s="2" t="str">
        <f t="shared" si="0"/>
        <v>seg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DATE(Configurações!$B$3,11,2)</f>
        <v>46328</v>
      </c>
      <c r="B51" s="2" t="str">
        <f t="shared" si="0"/>
        <v>seg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DATE(Configurações!$B$3,11,3)</f>
        <v>46329</v>
      </c>
      <c r="B52" s="2" t="str">
        <f t="shared" si="0"/>
        <v>ter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DATE(Configurações!$B$3,11,3)</f>
        <v>46329</v>
      </c>
      <c r="B53" s="2" t="str">
        <f t="shared" si="0"/>
        <v>ter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DATE(Configurações!$B$3,11,3)</f>
        <v>46329</v>
      </c>
      <c r="B54" s="2" t="str">
        <f t="shared" si="0"/>
        <v>ter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DATE(Configurações!$B$3,11,3)</f>
        <v>46329</v>
      </c>
      <c r="B55" s="2" t="str">
        <f t="shared" si="0"/>
        <v>ter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DATE(Configurações!$B$3,11,3)</f>
        <v>46329</v>
      </c>
      <c r="B56" s="2" t="str">
        <f t="shared" si="0"/>
        <v>ter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DATE(Configurações!$B$3,11,3)</f>
        <v>46329</v>
      </c>
      <c r="B57" s="2" t="str">
        <f t="shared" si="0"/>
        <v>ter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DATE(Configurações!$B$3,11,3)</f>
        <v>46329</v>
      </c>
      <c r="B58" s="2" t="str">
        <f t="shared" si="0"/>
        <v>ter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DATE(Configurações!$B$3,11,3)</f>
        <v>46329</v>
      </c>
      <c r="B59" s="2" t="str">
        <f t="shared" si="0"/>
        <v>ter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DATE(Configurações!$B$3,11,3)</f>
        <v>46329</v>
      </c>
      <c r="B60" s="2" t="str">
        <f t="shared" si="0"/>
        <v>ter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DATE(Configurações!$B$3,11,3)</f>
        <v>46329</v>
      </c>
      <c r="B61" s="2" t="str">
        <f t="shared" si="0"/>
        <v>ter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DATE(Configurações!$B$3,11,3)</f>
        <v>46329</v>
      </c>
      <c r="B62" s="2" t="str">
        <f t="shared" si="0"/>
        <v>ter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DATE(Configurações!$B$3,11,3)</f>
        <v>46329</v>
      </c>
      <c r="B63" s="2" t="str">
        <f t="shared" si="0"/>
        <v>ter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DATE(Configurações!$B$3,11,3)</f>
        <v>46329</v>
      </c>
      <c r="B64" s="2" t="str">
        <f t="shared" si="0"/>
        <v>ter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DATE(Configurações!$B$3,11,3)</f>
        <v>46329</v>
      </c>
      <c r="B65" s="2" t="str">
        <f t="shared" si="0"/>
        <v>ter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DATE(Configurações!$B$3,11,3)</f>
        <v>46329</v>
      </c>
      <c r="B66" s="2" t="str">
        <f t="shared" si="0"/>
        <v>ter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DATE(Configurações!$B$3,11,3)</f>
        <v>46329</v>
      </c>
      <c r="B67" s="2" t="str">
        <f t="shared" si="0"/>
        <v>ter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DATE(Configurações!$B$3,11,3)</f>
        <v>46329</v>
      </c>
      <c r="B68" s="2" t="str">
        <f t="shared" si="0"/>
        <v>ter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DATE(Configurações!$B$3,11,3)</f>
        <v>46329</v>
      </c>
      <c r="B69" s="2" t="str">
        <f t="shared" si="0"/>
        <v>ter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DATE(Configurações!$B$3,11,3)</f>
        <v>46329</v>
      </c>
      <c r="B70" s="2" t="str">
        <f t="shared" ref="B70:B133" si="1">TEXT(A70,"ddd")</f>
        <v>ter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DATE(Configurações!$B$3,11,3)</f>
        <v>46329</v>
      </c>
      <c r="B71" s="2" t="str">
        <f t="shared" si="1"/>
        <v>ter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DATE(Configurações!$B$3,11,3)</f>
        <v>46329</v>
      </c>
      <c r="B72" s="2" t="str">
        <f t="shared" si="1"/>
        <v>ter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DATE(Configurações!$B$3,11,3)</f>
        <v>46329</v>
      </c>
      <c r="B73" s="2" t="str">
        <f t="shared" si="1"/>
        <v>ter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DATE(Configurações!$B$3,11,3)</f>
        <v>46329</v>
      </c>
      <c r="B74" s="2" t="str">
        <f t="shared" si="1"/>
        <v>ter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DATE(Configurações!$B$3,11,4)</f>
        <v>46330</v>
      </c>
      <c r="B75" s="2" t="str">
        <f t="shared" si="1"/>
        <v>qua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DATE(Configurações!$B$3,11,4)</f>
        <v>46330</v>
      </c>
      <c r="B76" s="2" t="str">
        <f t="shared" si="1"/>
        <v>qua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DATE(Configurações!$B$3,11,4)</f>
        <v>46330</v>
      </c>
      <c r="B77" s="2" t="str">
        <f t="shared" si="1"/>
        <v>qua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DATE(Configurações!$B$3,11,4)</f>
        <v>46330</v>
      </c>
      <c r="B78" s="2" t="str">
        <f t="shared" si="1"/>
        <v>qua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DATE(Configurações!$B$3,11,4)</f>
        <v>46330</v>
      </c>
      <c r="B79" s="2" t="str">
        <f t="shared" si="1"/>
        <v>qua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DATE(Configurações!$B$3,11,4)</f>
        <v>46330</v>
      </c>
      <c r="B80" s="2" t="str">
        <f t="shared" si="1"/>
        <v>qua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DATE(Configurações!$B$3,11,4)</f>
        <v>46330</v>
      </c>
      <c r="B81" s="2" t="str">
        <f t="shared" si="1"/>
        <v>qua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DATE(Configurações!$B$3,11,4)</f>
        <v>46330</v>
      </c>
      <c r="B82" s="2" t="str">
        <f t="shared" si="1"/>
        <v>qua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DATE(Configurações!$B$3,11,4)</f>
        <v>46330</v>
      </c>
      <c r="B83" s="2" t="str">
        <f t="shared" si="1"/>
        <v>qua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DATE(Configurações!$B$3,11,4)</f>
        <v>46330</v>
      </c>
      <c r="B84" s="2" t="str">
        <f t="shared" si="1"/>
        <v>qua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DATE(Configurações!$B$3,11,4)</f>
        <v>46330</v>
      </c>
      <c r="B85" s="2" t="str">
        <f t="shared" si="1"/>
        <v>qua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DATE(Configurações!$B$3,11,4)</f>
        <v>46330</v>
      </c>
      <c r="B86" s="2" t="str">
        <f t="shared" si="1"/>
        <v>qua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DATE(Configurações!$B$3,11,4)</f>
        <v>46330</v>
      </c>
      <c r="B87" s="2" t="str">
        <f t="shared" si="1"/>
        <v>qua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DATE(Configurações!$B$3,11,4)</f>
        <v>46330</v>
      </c>
      <c r="B88" s="2" t="str">
        <f t="shared" si="1"/>
        <v>qua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DATE(Configurações!$B$3,11,4)</f>
        <v>46330</v>
      </c>
      <c r="B89" s="2" t="str">
        <f t="shared" si="1"/>
        <v>qua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DATE(Configurações!$B$3,11,4)</f>
        <v>46330</v>
      </c>
      <c r="B90" s="2" t="str">
        <f t="shared" si="1"/>
        <v>qua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DATE(Configurações!$B$3,11,4)</f>
        <v>46330</v>
      </c>
      <c r="B91" s="2" t="str">
        <f t="shared" si="1"/>
        <v>qua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DATE(Configurações!$B$3,11,4)</f>
        <v>46330</v>
      </c>
      <c r="B92" s="2" t="str">
        <f t="shared" si="1"/>
        <v>qua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DATE(Configurações!$B$3,11,4)</f>
        <v>46330</v>
      </c>
      <c r="B93" s="2" t="str">
        <f t="shared" si="1"/>
        <v>qua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DATE(Configurações!$B$3,11,4)</f>
        <v>46330</v>
      </c>
      <c r="B94" s="2" t="str">
        <f t="shared" si="1"/>
        <v>qua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DATE(Configurações!$B$3,11,4)</f>
        <v>46330</v>
      </c>
      <c r="B95" s="2" t="str">
        <f t="shared" si="1"/>
        <v>qua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DATE(Configurações!$B$3,11,4)</f>
        <v>46330</v>
      </c>
      <c r="B96" s="2" t="str">
        <f t="shared" si="1"/>
        <v>qua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DATE(Configurações!$B$3,11,4)</f>
        <v>46330</v>
      </c>
      <c r="B97" s="2" t="str">
        <f t="shared" si="1"/>
        <v>qua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DATE(Configurações!$B$3,11,5)</f>
        <v>46331</v>
      </c>
      <c r="B98" s="2" t="str">
        <f t="shared" si="1"/>
        <v>qui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DATE(Configurações!$B$3,11,5)</f>
        <v>46331</v>
      </c>
      <c r="B99" s="2" t="str">
        <f t="shared" si="1"/>
        <v>qui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DATE(Configurações!$B$3,11,5)</f>
        <v>46331</v>
      </c>
      <c r="B100" s="2" t="str">
        <f t="shared" si="1"/>
        <v>qui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DATE(Configurações!$B$3,11,5)</f>
        <v>46331</v>
      </c>
      <c r="B101" s="2" t="str">
        <f t="shared" si="1"/>
        <v>qui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DATE(Configurações!$B$3,11,5)</f>
        <v>46331</v>
      </c>
      <c r="B102" s="2" t="str">
        <f t="shared" si="1"/>
        <v>qui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DATE(Configurações!$B$3,11,5)</f>
        <v>46331</v>
      </c>
      <c r="B103" s="2" t="str">
        <f t="shared" si="1"/>
        <v>qui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DATE(Configurações!$B$3,11,5)</f>
        <v>46331</v>
      </c>
      <c r="B104" s="2" t="str">
        <f t="shared" si="1"/>
        <v>qui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DATE(Configurações!$B$3,11,5)</f>
        <v>46331</v>
      </c>
      <c r="B105" s="2" t="str">
        <f t="shared" si="1"/>
        <v>qui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DATE(Configurações!$B$3,11,5)</f>
        <v>46331</v>
      </c>
      <c r="B106" s="2" t="str">
        <f t="shared" si="1"/>
        <v>qui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DATE(Configurações!$B$3,11,5)</f>
        <v>46331</v>
      </c>
      <c r="B107" s="2" t="str">
        <f t="shared" si="1"/>
        <v>qui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DATE(Configurações!$B$3,11,5)</f>
        <v>46331</v>
      </c>
      <c r="B108" s="2" t="str">
        <f t="shared" si="1"/>
        <v>qui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DATE(Configurações!$B$3,11,5)</f>
        <v>46331</v>
      </c>
      <c r="B109" s="2" t="str">
        <f t="shared" si="1"/>
        <v>qui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DATE(Configurações!$B$3,11,5)</f>
        <v>46331</v>
      </c>
      <c r="B110" s="2" t="str">
        <f t="shared" si="1"/>
        <v>qui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DATE(Configurações!$B$3,11,5)</f>
        <v>46331</v>
      </c>
      <c r="B111" s="2" t="str">
        <f t="shared" si="1"/>
        <v>qui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DATE(Configurações!$B$3,11,5)</f>
        <v>46331</v>
      </c>
      <c r="B112" s="2" t="str">
        <f t="shared" si="1"/>
        <v>qui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DATE(Configurações!$B$3,11,5)</f>
        <v>46331</v>
      </c>
      <c r="B113" s="2" t="str">
        <f t="shared" si="1"/>
        <v>qui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DATE(Configurações!$B$3,11,5)</f>
        <v>46331</v>
      </c>
      <c r="B114" s="2" t="str">
        <f t="shared" si="1"/>
        <v>qui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DATE(Configurações!$B$3,11,5)</f>
        <v>46331</v>
      </c>
      <c r="B115" s="2" t="str">
        <f t="shared" si="1"/>
        <v>qui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DATE(Configurações!$B$3,11,5)</f>
        <v>46331</v>
      </c>
      <c r="B116" s="2" t="str">
        <f t="shared" si="1"/>
        <v>qui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DATE(Configurações!$B$3,11,5)</f>
        <v>46331</v>
      </c>
      <c r="B117" s="2" t="str">
        <f t="shared" si="1"/>
        <v>qui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DATE(Configurações!$B$3,11,5)</f>
        <v>46331</v>
      </c>
      <c r="B118" s="2" t="str">
        <f t="shared" si="1"/>
        <v>qui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DATE(Configurações!$B$3,11,5)</f>
        <v>46331</v>
      </c>
      <c r="B119" s="2" t="str">
        <f t="shared" si="1"/>
        <v>qui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DATE(Configurações!$B$3,11,5)</f>
        <v>46331</v>
      </c>
      <c r="B120" s="2" t="str">
        <f t="shared" si="1"/>
        <v>qui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DATE(Configurações!$B$3,11,6)</f>
        <v>46332</v>
      </c>
      <c r="B121" s="2" t="str">
        <f t="shared" si="1"/>
        <v>sex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DATE(Configurações!$B$3,11,6)</f>
        <v>46332</v>
      </c>
      <c r="B122" s="2" t="str">
        <f t="shared" si="1"/>
        <v>sex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DATE(Configurações!$B$3,11,6)</f>
        <v>46332</v>
      </c>
      <c r="B123" s="2" t="str">
        <f t="shared" si="1"/>
        <v>sex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DATE(Configurações!$B$3,11,6)</f>
        <v>46332</v>
      </c>
      <c r="B124" s="2" t="str">
        <f t="shared" si="1"/>
        <v>sex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DATE(Configurações!$B$3,11,6)</f>
        <v>46332</v>
      </c>
      <c r="B125" s="2" t="str">
        <f t="shared" si="1"/>
        <v>sex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DATE(Configurações!$B$3,11,6)</f>
        <v>46332</v>
      </c>
      <c r="B126" s="2" t="str">
        <f t="shared" si="1"/>
        <v>sex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DATE(Configurações!$B$3,11,6)</f>
        <v>46332</v>
      </c>
      <c r="B127" s="2" t="str">
        <f t="shared" si="1"/>
        <v>sex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DATE(Configurações!$B$3,11,6)</f>
        <v>46332</v>
      </c>
      <c r="B128" s="2" t="str">
        <f t="shared" si="1"/>
        <v>sex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DATE(Configurações!$B$3,11,6)</f>
        <v>46332</v>
      </c>
      <c r="B129" s="2" t="str">
        <f t="shared" si="1"/>
        <v>sex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DATE(Configurações!$B$3,11,6)</f>
        <v>46332</v>
      </c>
      <c r="B130" s="2" t="str">
        <f t="shared" si="1"/>
        <v>sex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DATE(Configurações!$B$3,11,6)</f>
        <v>46332</v>
      </c>
      <c r="B131" s="2" t="str">
        <f t="shared" si="1"/>
        <v>sex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DATE(Configurações!$B$3,11,6)</f>
        <v>46332</v>
      </c>
      <c r="B132" s="2" t="str">
        <f t="shared" si="1"/>
        <v>sex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DATE(Configurações!$B$3,11,6)</f>
        <v>46332</v>
      </c>
      <c r="B133" s="2" t="str">
        <f t="shared" si="1"/>
        <v>sex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DATE(Configurações!$B$3,11,6)</f>
        <v>46332</v>
      </c>
      <c r="B134" s="2" t="str">
        <f t="shared" ref="B134:B197" si="2">TEXT(A134,"ddd")</f>
        <v>sex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DATE(Configurações!$B$3,11,6)</f>
        <v>46332</v>
      </c>
      <c r="B135" s="2" t="str">
        <f t="shared" si="2"/>
        <v>sex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DATE(Configurações!$B$3,11,6)</f>
        <v>46332</v>
      </c>
      <c r="B136" s="2" t="str">
        <f t="shared" si="2"/>
        <v>sex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DATE(Configurações!$B$3,11,6)</f>
        <v>46332</v>
      </c>
      <c r="B137" s="2" t="str">
        <f t="shared" si="2"/>
        <v>sex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DATE(Configurações!$B$3,11,6)</f>
        <v>46332</v>
      </c>
      <c r="B138" s="2" t="str">
        <f t="shared" si="2"/>
        <v>sex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DATE(Configurações!$B$3,11,6)</f>
        <v>46332</v>
      </c>
      <c r="B139" s="2" t="str">
        <f t="shared" si="2"/>
        <v>sex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DATE(Configurações!$B$3,11,6)</f>
        <v>46332</v>
      </c>
      <c r="B140" s="2" t="str">
        <f t="shared" si="2"/>
        <v>sex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DATE(Configurações!$B$3,11,6)</f>
        <v>46332</v>
      </c>
      <c r="B141" s="2" t="str">
        <f t="shared" si="2"/>
        <v>sex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DATE(Configurações!$B$3,11,6)</f>
        <v>46332</v>
      </c>
      <c r="B142" s="2" t="str">
        <f t="shared" si="2"/>
        <v>sex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DATE(Configurações!$B$3,11,6)</f>
        <v>46332</v>
      </c>
      <c r="B143" s="2" t="str">
        <f t="shared" si="2"/>
        <v>sex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DATE(Configurações!$B$3,11,7)</f>
        <v>46333</v>
      </c>
      <c r="B144" s="2" t="str">
        <f t="shared" si="2"/>
        <v>sáb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DATE(Configurações!$B$3,11,7)</f>
        <v>46333</v>
      </c>
      <c r="B145" s="2" t="str">
        <f t="shared" si="2"/>
        <v>sáb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DATE(Configurações!$B$3,11,7)</f>
        <v>46333</v>
      </c>
      <c r="B146" s="2" t="str">
        <f t="shared" si="2"/>
        <v>sáb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DATE(Configurações!$B$3,11,7)</f>
        <v>46333</v>
      </c>
      <c r="B147" s="2" t="str">
        <f t="shared" si="2"/>
        <v>sáb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DATE(Configurações!$B$3,11,7)</f>
        <v>46333</v>
      </c>
      <c r="B148" s="2" t="str">
        <f t="shared" si="2"/>
        <v>sáb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DATE(Configurações!$B$3,11,7)</f>
        <v>46333</v>
      </c>
      <c r="B149" s="2" t="str">
        <f t="shared" si="2"/>
        <v>sáb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DATE(Configurações!$B$3,11,7)</f>
        <v>46333</v>
      </c>
      <c r="B150" s="2" t="str">
        <f t="shared" si="2"/>
        <v>sáb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DATE(Configurações!$B$3,11,7)</f>
        <v>46333</v>
      </c>
      <c r="B151" s="2" t="str">
        <f t="shared" si="2"/>
        <v>sáb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DATE(Configurações!$B$3,11,7)</f>
        <v>46333</v>
      </c>
      <c r="B152" s="2" t="str">
        <f t="shared" si="2"/>
        <v>sáb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DATE(Configurações!$B$3,11,7)</f>
        <v>46333</v>
      </c>
      <c r="B153" s="2" t="str">
        <f t="shared" si="2"/>
        <v>sáb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DATE(Configurações!$B$3,11,7)</f>
        <v>46333</v>
      </c>
      <c r="B154" s="2" t="str">
        <f t="shared" si="2"/>
        <v>sáb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DATE(Configurações!$B$3,11,7)</f>
        <v>46333</v>
      </c>
      <c r="B155" s="2" t="str">
        <f t="shared" si="2"/>
        <v>sáb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DATE(Configurações!$B$3,11,7)</f>
        <v>46333</v>
      </c>
      <c r="B156" s="2" t="str">
        <f t="shared" si="2"/>
        <v>sáb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DATE(Configurações!$B$3,11,7)</f>
        <v>46333</v>
      </c>
      <c r="B157" s="2" t="str">
        <f t="shared" si="2"/>
        <v>sáb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DATE(Configurações!$B$3,11,7)</f>
        <v>46333</v>
      </c>
      <c r="B158" s="2" t="str">
        <f t="shared" si="2"/>
        <v>sáb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DATE(Configurações!$B$3,11,7)</f>
        <v>46333</v>
      </c>
      <c r="B159" s="2" t="str">
        <f t="shared" si="2"/>
        <v>sáb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DATE(Configurações!$B$3,11,7)</f>
        <v>46333</v>
      </c>
      <c r="B160" s="2" t="str">
        <f t="shared" si="2"/>
        <v>sáb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DATE(Configurações!$B$3,11,7)</f>
        <v>46333</v>
      </c>
      <c r="B161" s="2" t="str">
        <f t="shared" si="2"/>
        <v>sáb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DATE(Configurações!$B$3,11,7)</f>
        <v>46333</v>
      </c>
      <c r="B162" s="2" t="str">
        <f t="shared" si="2"/>
        <v>sáb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DATE(Configurações!$B$3,11,7)</f>
        <v>46333</v>
      </c>
      <c r="B163" s="2" t="str">
        <f t="shared" si="2"/>
        <v>sáb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DATE(Configurações!$B$3,11,7)</f>
        <v>46333</v>
      </c>
      <c r="B164" s="2" t="str">
        <f t="shared" si="2"/>
        <v>sáb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DATE(Configurações!$B$3,11,7)</f>
        <v>46333</v>
      </c>
      <c r="B165" s="2" t="str">
        <f t="shared" si="2"/>
        <v>sáb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DATE(Configurações!$B$3,11,7)</f>
        <v>46333</v>
      </c>
      <c r="B166" s="2" t="str">
        <f t="shared" si="2"/>
        <v>sáb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DATE(Configurações!$B$3,11,8)</f>
        <v>46334</v>
      </c>
      <c r="B167" s="2" t="str">
        <f t="shared" si="2"/>
        <v>dom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DATE(Configurações!$B$3,11,8)</f>
        <v>46334</v>
      </c>
      <c r="B168" s="2" t="str">
        <f t="shared" si="2"/>
        <v>dom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DATE(Configurações!$B$3,11,8)</f>
        <v>46334</v>
      </c>
      <c r="B169" s="2" t="str">
        <f t="shared" si="2"/>
        <v>dom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DATE(Configurações!$B$3,11,8)</f>
        <v>46334</v>
      </c>
      <c r="B170" s="2" t="str">
        <f t="shared" si="2"/>
        <v>dom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DATE(Configurações!$B$3,11,8)</f>
        <v>46334</v>
      </c>
      <c r="B171" s="2" t="str">
        <f t="shared" si="2"/>
        <v>dom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DATE(Configurações!$B$3,11,8)</f>
        <v>46334</v>
      </c>
      <c r="B172" s="2" t="str">
        <f t="shared" si="2"/>
        <v>dom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DATE(Configurações!$B$3,11,8)</f>
        <v>46334</v>
      </c>
      <c r="B173" s="2" t="str">
        <f t="shared" si="2"/>
        <v>dom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DATE(Configurações!$B$3,11,8)</f>
        <v>46334</v>
      </c>
      <c r="B174" s="2" t="str">
        <f t="shared" si="2"/>
        <v>dom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DATE(Configurações!$B$3,11,8)</f>
        <v>46334</v>
      </c>
      <c r="B175" s="2" t="str">
        <f t="shared" si="2"/>
        <v>dom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DATE(Configurações!$B$3,11,8)</f>
        <v>46334</v>
      </c>
      <c r="B176" s="2" t="str">
        <f t="shared" si="2"/>
        <v>dom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DATE(Configurações!$B$3,11,8)</f>
        <v>46334</v>
      </c>
      <c r="B177" s="2" t="str">
        <f t="shared" si="2"/>
        <v>dom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DATE(Configurações!$B$3,11,8)</f>
        <v>46334</v>
      </c>
      <c r="B178" s="2" t="str">
        <f t="shared" si="2"/>
        <v>dom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DATE(Configurações!$B$3,11,8)</f>
        <v>46334</v>
      </c>
      <c r="B179" s="2" t="str">
        <f t="shared" si="2"/>
        <v>dom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DATE(Configurações!$B$3,11,8)</f>
        <v>46334</v>
      </c>
      <c r="B180" s="2" t="str">
        <f t="shared" si="2"/>
        <v>dom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DATE(Configurações!$B$3,11,8)</f>
        <v>46334</v>
      </c>
      <c r="B181" s="2" t="str">
        <f t="shared" si="2"/>
        <v>dom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DATE(Configurações!$B$3,11,8)</f>
        <v>46334</v>
      </c>
      <c r="B182" s="2" t="str">
        <f t="shared" si="2"/>
        <v>dom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DATE(Configurações!$B$3,11,8)</f>
        <v>46334</v>
      </c>
      <c r="B183" s="2" t="str">
        <f t="shared" si="2"/>
        <v>dom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DATE(Configurações!$B$3,11,8)</f>
        <v>46334</v>
      </c>
      <c r="B184" s="2" t="str">
        <f t="shared" si="2"/>
        <v>dom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DATE(Configurações!$B$3,11,8)</f>
        <v>46334</v>
      </c>
      <c r="B185" s="2" t="str">
        <f t="shared" si="2"/>
        <v>dom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DATE(Configurações!$B$3,11,8)</f>
        <v>46334</v>
      </c>
      <c r="B186" s="2" t="str">
        <f t="shared" si="2"/>
        <v>dom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DATE(Configurações!$B$3,11,8)</f>
        <v>46334</v>
      </c>
      <c r="B187" s="2" t="str">
        <f t="shared" si="2"/>
        <v>dom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DATE(Configurações!$B$3,11,8)</f>
        <v>46334</v>
      </c>
      <c r="B188" s="2" t="str">
        <f t="shared" si="2"/>
        <v>dom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DATE(Configurações!$B$3,11,8)</f>
        <v>46334</v>
      </c>
      <c r="B189" s="2" t="str">
        <f t="shared" si="2"/>
        <v>dom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DATE(Configurações!$B$3,11,9)</f>
        <v>46335</v>
      </c>
      <c r="B190" s="2" t="str">
        <f t="shared" si="2"/>
        <v>seg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DATE(Configurações!$B$3,11,9)</f>
        <v>46335</v>
      </c>
      <c r="B191" s="2" t="str">
        <f t="shared" si="2"/>
        <v>seg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DATE(Configurações!$B$3,11,9)</f>
        <v>46335</v>
      </c>
      <c r="B192" s="2" t="str">
        <f t="shared" si="2"/>
        <v>seg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DATE(Configurações!$B$3,11,9)</f>
        <v>46335</v>
      </c>
      <c r="B193" s="2" t="str">
        <f t="shared" si="2"/>
        <v>seg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DATE(Configurações!$B$3,11,9)</f>
        <v>46335</v>
      </c>
      <c r="B194" s="2" t="str">
        <f t="shared" si="2"/>
        <v>seg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DATE(Configurações!$B$3,11,9)</f>
        <v>46335</v>
      </c>
      <c r="B195" s="2" t="str">
        <f t="shared" si="2"/>
        <v>seg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DATE(Configurações!$B$3,11,9)</f>
        <v>46335</v>
      </c>
      <c r="B196" s="2" t="str">
        <f t="shared" si="2"/>
        <v>seg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DATE(Configurações!$B$3,11,9)</f>
        <v>46335</v>
      </c>
      <c r="B197" s="2" t="str">
        <f t="shared" si="2"/>
        <v>seg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DATE(Configurações!$B$3,11,9)</f>
        <v>46335</v>
      </c>
      <c r="B198" s="2" t="str">
        <f t="shared" ref="B198:B261" si="3">TEXT(A198,"ddd")</f>
        <v>seg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DATE(Configurações!$B$3,11,9)</f>
        <v>46335</v>
      </c>
      <c r="B199" s="2" t="str">
        <f t="shared" si="3"/>
        <v>seg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DATE(Configurações!$B$3,11,9)</f>
        <v>46335</v>
      </c>
      <c r="B200" s="2" t="str">
        <f t="shared" si="3"/>
        <v>seg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DATE(Configurações!$B$3,11,9)</f>
        <v>46335</v>
      </c>
      <c r="B201" s="2" t="str">
        <f t="shared" si="3"/>
        <v>seg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DATE(Configurações!$B$3,11,9)</f>
        <v>46335</v>
      </c>
      <c r="B202" s="2" t="str">
        <f t="shared" si="3"/>
        <v>seg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DATE(Configurações!$B$3,11,9)</f>
        <v>46335</v>
      </c>
      <c r="B203" s="2" t="str">
        <f t="shared" si="3"/>
        <v>seg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DATE(Configurações!$B$3,11,9)</f>
        <v>46335</v>
      </c>
      <c r="B204" s="2" t="str">
        <f t="shared" si="3"/>
        <v>seg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DATE(Configurações!$B$3,11,9)</f>
        <v>46335</v>
      </c>
      <c r="B205" s="2" t="str">
        <f t="shared" si="3"/>
        <v>seg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DATE(Configurações!$B$3,11,9)</f>
        <v>46335</v>
      </c>
      <c r="B206" s="2" t="str">
        <f t="shared" si="3"/>
        <v>seg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DATE(Configurações!$B$3,11,9)</f>
        <v>46335</v>
      </c>
      <c r="B207" s="2" t="str">
        <f t="shared" si="3"/>
        <v>seg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DATE(Configurações!$B$3,11,9)</f>
        <v>46335</v>
      </c>
      <c r="B208" s="2" t="str">
        <f t="shared" si="3"/>
        <v>seg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DATE(Configurações!$B$3,11,9)</f>
        <v>46335</v>
      </c>
      <c r="B209" s="2" t="str">
        <f t="shared" si="3"/>
        <v>seg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DATE(Configurações!$B$3,11,9)</f>
        <v>46335</v>
      </c>
      <c r="B210" s="2" t="str">
        <f t="shared" si="3"/>
        <v>seg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DATE(Configurações!$B$3,11,9)</f>
        <v>46335</v>
      </c>
      <c r="B211" s="2" t="str">
        <f t="shared" si="3"/>
        <v>seg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DATE(Configurações!$B$3,11,9)</f>
        <v>46335</v>
      </c>
      <c r="B212" s="2" t="str">
        <f t="shared" si="3"/>
        <v>seg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DATE(Configurações!$B$3,11,10)</f>
        <v>46336</v>
      </c>
      <c r="B213" s="2" t="str">
        <f t="shared" si="3"/>
        <v>ter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DATE(Configurações!$B$3,11,10)</f>
        <v>46336</v>
      </c>
      <c r="B214" s="2" t="str">
        <f t="shared" si="3"/>
        <v>ter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DATE(Configurações!$B$3,11,10)</f>
        <v>46336</v>
      </c>
      <c r="B215" s="2" t="str">
        <f t="shared" si="3"/>
        <v>ter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DATE(Configurações!$B$3,11,10)</f>
        <v>46336</v>
      </c>
      <c r="B216" s="2" t="str">
        <f t="shared" si="3"/>
        <v>ter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DATE(Configurações!$B$3,11,10)</f>
        <v>46336</v>
      </c>
      <c r="B217" s="2" t="str">
        <f t="shared" si="3"/>
        <v>ter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DATE(Configurações!$B$3,11,10)</f>
        <v>46336</v>
      </c>
      <c r="B218" s="2" t="str">
        <f t="shared" si="3"/>
        <v>ter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DATE(Configurações!$B$3,11,10)</f>
        <v>46336</v>
      </c>
      <c r="B219" s="2" t="str">
        <f t="shared" si="3"/>
        <v>ter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DATE(Configurações!$B$3,11,10)</f>
        <v>46336</v>
      </c>
      <c r="B220" s="2" t="str">
        <f t="shared" si="3"/>
        <v>ter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DATE(Configurações!$B$3,11,10)</f>
        <v>46336</v>
      </c>
      <c r="B221" s="2" t="str">
        <f t="shared" si="3"/>
        <v>ter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DATE(Configurações!$B$3,11,10)</f>
        <v>46336</v>
      </c>
      <c r="B222" s="2" t="str">
        <f t="shared" si="3"/>
        <v>ter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DATE(Configurações!$B$3,11,10)</f>
        <v>46336</v>
      </c>
      <c r="B223" s="2" t="str">
        <f t="shared" si="3"/>
        <v>ter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DATE(Configurações!$B$3,11,10)</f>
        <v>46336</v>
      </c>
      <c r="B224" s="2" t="str">
        <f t="shared" si="3"/>
        <v>ter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DATE(Configurações!$B$3,11,10)</f>
        <v>46336</v>
      </c>
      <c r="B225" s="2" t="str">
        <f t="shared" si="3"/>
        <v>ter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DATE(Configurações!$B$3,11,10)</f>
        <v>46336</v>
      </c>
      <c r="B226" s="2" t="str">
        <f t="shared" si="3"/>
        <v>ter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DATE(Configurações!$B$3,11,10)</f>
        <v>46336</v>
      </c>
      <c r="B227" s="2" t="str">
        <f t="shared" si="3"/>
        <v>ter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DATE(Configurações!$B$3,11,10)</f>
        <v>46336</v>
      </c>
      <c r="B228" s="2" t="str">
        <f t="shared" si="3"/>
        <v>ter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DATE(Configurações!$B$3,11,10)</f>
        <v>46336</v>
      </c>
      <c r="B229" s="2" t="str">
        <f t="shared" si="3"/>
        <v>ter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DATE(Configurações!$B$3,11,10)</f>
        <v>46336</v>
      </c>
      <c r="B230" s="2" t="str">
        <f t="shared" si="3"/>
        <v>ter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DATE(Configurações!$B$3,11,10)</f>
        <v>46336</v>
      </c>
      <c r="B231" s="2" t="str">
        <f t="shared" si="3"/>
        <v>ter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DATE(Configurações!$B$3,11,10)</f>
        <v>46336</v>
      </c>
      <c r="B232" s="2" t="str">
        <f t="shared" si="3"/>
        <v>ter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DATE(Configurações!$B$3,11,10)</f>
        <v>46336</v>
      </c>
      <c r="B233" s="2" t="str">
        <f t="shared" si="3"/>
        <v>ter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DATE(Configurações!$B$3,11,10)</f>
        <v>46336</v>
      </c>
      <c r="B234" s="2" t="str">
        <f t="shared" si="3"/>
        <v>ter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DATE(Configurações!$B$3,11,10)</f>
        <v>46336</v>
      </c>
      <c r="B235" s="2" t="str">
        <f t="shared" si="3"/>
        <v>ter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DATE(Configurações!$B$3,11,11)</f>
        <v>46337</v>
      </c>
      <c r="B236" s="2" t="str">
        <f t="shared" si="3"/>
        <v>qua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DATE(Configurações!$B$3,11,11)</f>
        <v>46337</v>
      </c>
      <c r="B237" s="2" t="str">
        <f t="shared" si="3"/>
        <v>qua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DATE(Configurações!$B$3,11,11)</f>
        <v>46337</v>
      </c>
      <c r="B238" s="2" t="str">
        <f t="shared" si="3"/>
        <v>qua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DATE(Configurações!$B$3,11,11)</f>
        <v>46337</v>
      </c>
      <c r="B239" s="2" t="str">
        <f t="shared" si="3"/>
        <v>qua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DATE(Configurações!$B$3,11,11)</f>
        <v>46337</v>
      </c>
      <c r="B240" s="2" t="str">
        <f t="shared" si="3"/>
        <v>qua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DATE(Configurações!$B$3,11,11)</f>
        <v>46337</v>
      </c>
      <c r="B241" s="2" t="str">
        <f t="shared" si="3"/>
        <v>qua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DATE(Configurações!$B$3,11,11)</f>
        <v>46337</v>
      </c>
      <c r="B242" s="2" t="str">
        <f t="shared" si="3"/>
        <v>qua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DATE(Configurações!$B$3,11,11)</f>
        <v>46337</v>
      </c>
      <c r="B243" s="2" t="str">
        <f t="shared" si="3"/>
        <v>qua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DATE(Configurações!$B$3,11,11)</f>
        <v>46337</v>
      </c>
      <c r="B244" s="2" t="str">
        <f t="shared" si="3"/>
        <v>qua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DATE(Configurações!$B$3,11,11)</f>
        <v>46337</v>
      </c>
      <c r="B245" s="2" t="str">
        <f t="shared" si="3"/>
        <v>qua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DATE(Configurações!$B$3,11,11)</f>
        <v>46337</v>
      </c>
      <c r="B246" s="2" t="str">
        <f t="shared" si="3"/>
        <v>qua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DATE(Configurações!$B$3,11,11)</f>
        <v>46337</v>
      </c>
      <c r="B247" s="2" t="str">
        <f t="shared" si="3"/>
        <v>qua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DATE(Configurações!$B$3,11,11)</f>
        <v>46337</v>
      </c>
      <c r="B248" s="2" t="str">
        <f t="shared" si="3"/>
        <v>qua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DATE(Configurações!$B$3,11,11)</f>
        <v>46337</v>
      </c>
      <c r="B249" s="2" t="str">
        <f t="shared" si="3"/>
        <v>qua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DATE(Configurações!$B$3,11,11)</f>
        <v>46337</v>
      </c>
      <c r="B250" s="2" t="str">
        <f t="shared" si="3"/>
        <v>qua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DATE(Configurações!$B$3,11,11)</f>
        <v>46337</v>
      </c>
      <c r="B251" s="2" t="str">
        <f t="shared" si="3"/>
        <v>qua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DATE(Configurações!$B$3,11,11)</f>
        <v>46337</v>
      </c>
      <c r="B252" s="2" t="str">
        <f t="shared" si="3"/>
        <v>qua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DATE(Configurações!$B$3,11,11)</f>
        <v>46337</v>
      </c>
      <c r="B253" s="2" t="str">
        <f t="shared" si="3"/>
        <v>qua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DATE(Configurações!$B$3,11,11)</f>
        <v>46337</v>
      </c>
      <c r="B254" s="2" t="str">
        <f t="shared" si="3"/>
        <v>qua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DATE(Configurações!$B$3,11,11)</f>
        <v>46337</v>
      </c>
      <c r="B255" s="2" t="str">
        <f t="shared" si="3"/>
        <v>qua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DATE(Configurações!$B$3,11,11)</f>
        <v>46337</v>
      </c>
      <c r="B256" s="2" t="str">
        <f t="shared" si="3"/>
        <v>qua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DATE(Configurações!$B$3,11,11)</f>
        <v>46337</v>
      </c>
      <c r="B257" s="2" t="str">
        <f t="shared" si="3"/>
        <v>qua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DATE(Configurações!$B$3,11,11)</f>
        <v>46337</v>
      </c>
      <c r="B258" s="2" t="str">
        <f t="shared" si="3"/>
        <v>qua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DATE(Configurações!$B$3,11,12)</f>
        <v>46338</v>
      </c>
      <c r="B259" s="2" t="str">
        <f t="shared" si="3"/>
        <v>qui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DATE(Configurações!$B$3,11,12)</f>
        <v>46338</v>
      </c>
      <c r="B260" s="2" t="str">
        <f t="shared" si="3"/>
        <v>qui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DATE(Configurações!$B$3,11,12)</f>
        <v>46338</v>
      </c>
      <c r="B261" s="2" t="str">
        <f t="shared" si="3"/>
        <v>qui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DATE(Configurações!$B$3,11,12)</f>
        <v>46338</v>
      </c>
      <c r="B262" s="2" t="str">
        <f t="shared" ref="B262:B325" si="4">TEXT(A262,"ddd")</f>
        <v>qui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DATE(Configurações!$B$3,11,12)</f>
        <v>46338</v>
      </c>
      <c r="B263" s="2" t="str">
        <f t="shared" si="4"/>
        <v>qui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DATE(Configurações!$B$3,11,12)</f>
        <v>46338</v>
      </c>
      <c r="B264" s="2" t="str">
        <f t="shared" si="4"/>
        <v>qui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DATE(Configurações!$B$3,11,12)</f>
        <v>46338</v>
      </c>
      <c r="B265" s="2" t="str">
        <f t="shared" si="4"/>
        <v>qui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DATE(Configurações!$B$3,11,12)</f>
        <v>46338</v>
      </c>
      <c r="B266" s="2" t="str">
        <f t="shared" si="4"/>
        <v>qui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DATE(Configurações!$B$3,11,12)</f>
        <v>46338</v>
      </c>
      <c r="B267" s="2" t="str">
        <f t="shared" si="4"/>
        <v>qui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DATE(Configurações!$B$3,11,12)</f>
        <v>46338</v>
      </c>
      <c r="B268" s="2" t="str">
        <f t="shared" si="4"/>
        <v>qui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DATE(Configurações!$B$3,11,12)</f>
        <v>46338</v>
      </c>
      <c r="B269" s="2" t="str">
        <f t="shared" si="4"/>
        <v>qui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DATE(Configurações!$B$3,11,12)</f>
        <v>46338</v>
      </c>
      <c r="B270" s="2" t="str">
        <f t="shared" si="4"/>
        <v>qui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DATE(Configurações!$B$3,11,12)</f>
        <v>46338</v>
      </c>
      <c r="B271" s="2" t="str">
        <f t="shared" si="4"/>
        <v>qui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DATE(Configurações!$B$3,11,12)</f>
        <v>46338</v>
      </c>
      <c r="B272" s="2" t="str">
        <f t="shared" si="4"/>
        <v>qui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DATE(Configurações!$B$3,11,12)</f>
        <v>46338</v>
      </c>
      <c r="B273" s="2" t="str">
        <f t="shared" si="4"/>
        <v>qui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DATE(Configurações!$B$3,11,12)</f>
        <v>46338</v>
      </c>
      <c r="B274" s="2" t="str">
        <f t="shared" si="4"/>
        <v>qui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DATE(Configurações!$B$3,11,12)</f>
        <v>46338</v>
      </c>
      <c r="B275" s="2" t="str">
        <f t="shared" si="4"/>
        <v>qui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DATE(Configurações!$B$3,11,12)</f>
        <v>46338</v>
      </c>
      <c r="B276" s="2" t="str">
        <f t="shared" si="4"/>
        <v>qui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DATE(Configurações!$B$3,11,12)</f>
        <v>46338</v>
      </c>
      <c r="B277" s="2" t="str">
        <f t="shared" si="4"/>
        <v>qui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DATE(Configurações!$B$3,11,12)</f>
        <v>46338</v>
      </c>
      <c r="B278" s="2" t="str">
        <f t="shared" si="4"/>
        <v>qui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DATE(Configurações!$B$3,11,12)</f>
        <v>46338</v>
      </c>
      <c r="B279" s="2" t="str">
        <f t="shared" si="4"/>
        <v>qui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DATE(Configurações!$B$3,11,12)</f>
        <v>46338</v>
      </c>
      <c r="B280" s="2" t="str">
        <f t="shared" si="4"/>
        <v>qui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DATE(Configurações!$B$3,11,12)</f>
        <v>46338</v>
      </c>
      <c r="B281" s="2" t="str">
        <f t="shared" si="4"/>
        <v>qui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DATE(Configurações!$B$3,11,13)</f>
        <v>46339</v>
      </c>
      <c r="B282" s="2" t="str">
        <f t="shared" si="4"/>
        <v>sex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DATE(Configurações!$B$3,11,13)</f>
        <v>46339</v>
      </c>
      <c r="B283" s="2" t="str">
        <f t="shared" si="4"/>
        <v>sex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DATE(Configurações!$B$3,11,13)</f>
        <v>46339</v>
      </c>
      <c r="B284" s="2" t="str">
        <f t="shared" si="4"/>
        <v>sex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DATE(Configurações!$B$3,11,13)</f>
        <v>46339</v>
      </c>
      <c r="B285" s="2" t="str">
        <f t="shared" si="4"/>
        <v>sex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DATE(Configurações!$B$3,11,13)</f>
        <v>46339</v>
      </c>
      <c r="B286" s="2" t="str">
        <f t="shared" si="4"/>
        <v>sex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DATE(Configurações!$B$3,11,13)</f>
        <v>46339</v>
      </c>
      <c r="B287" s="2" t="str">
        <f t="shared" si="4"/>
        <v>sex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DATE(Configurações!$B$3,11,13)</f>
        <v>46339</v>
      </c>
      <c r="B288" s="2" t="str">
        <f t="shared" si="4"/>
        <v>sex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DATE(Configurações!$B$3,11,13)</f>
        <v>46339</v>
      </c>
      <c r="B289" s="2" t="str">
        <f t="shared" si="4"/>
        <v>sex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DATE(Configurações!$B$3,11,13)</f>
        <v>46339</v>
      </c>
      <c r="B290" s="2" t="str">
        <f t="shared" si="4"/>
        <v>sex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DATE(Configurações!$B$3,11,13)</f>
        <v>46339</v>
      </c>
      <c r="B291" s="2" t="str">
        <f t="shared" si="4"/>
        <v>sex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DATE(Configurações!$B$3,11,13)</f>
        <v>46339</v>
      </c>
      <c r="B292" s="2" t="str">
        <f t="shared" si="4"/>
        <v>sex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DATE(Configurações!$B$3,11,13)</f>
        <v>46339</v>
      </c>
      <c r="B293" s="2" t="str">
        <f t="shared" si="4"/>
        <v>sex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DATE(Configurações!$B$3,11,13)</f>
        <v>46339</v>
      </c>
      <c r="B294" s="2" t="str">
        <f t="shared" si="4"/>
        <v>sex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DATE(Configurações!$B$3,11,13)</f>
        <v>46339</v>
      </c>
      <c r="B295" s="2" t="str">
        <f t="shared" si="4"/>
        <v>sex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DATE(Configurações!$B$3,11,13)</f>
        <v>46339</v>
      </c>
      <c r="B296" s="2" t="str">
        <f t="shared" si="4"/>
        <v>sex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DATE(Configurações!$B$3,11,13)</f>
        <v>46339</v>
      </c>
      <c r="B297" s="2" t="str">
        <f t="shared" si="4"/>
        <v>sex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DATE(Configurações!$B$3,11,13)</f>
        <v>46339</v>
      </c>
      <c r="B298" s="2" t="str">
        <f t="shared" si="4"/>
        <v>sex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DATE(Configurações!$B$3,11,13)</f>
        <v>46339</v>
      </c>
      <c r="B299" s="2" t="str">
        <f t="shared" si="4"/>
        <v>sex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DATE(Configurações!$B$3,11,13)</f>
        <v>46339</v>
      </c>
      <c r="B300" s="2" t="str">
        <f t="shared" si="4"/>
        <v>sex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DATE(Configurações!$B$3,11,13)</f>
        <v>46339</v>
      </c>
      <c r="B301" s="2" t="str">
        <f t="shared" si="4"/>
        <v>sex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DATE(Configurações!$B$3,11,13)</f>
        <v>46339</v>
      </c>
      <c r="B302" s="2" t="str">
        <f t="shared" si="4"/>
        <v>sex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DATE(Configurações!$B$3,11,13)</f>
        <v>46339</v>
      </c>
      <c r="B303" s="2" t="str">
        <f t="shared" si="4"/>
        <v>sex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DATE(Configurações!$B$3,11,13)</f>
        <v>46339</v>
      </c>
      <c r="B304" s="2" t="str">
        <f t="shared" si="4"/>
        <v>sex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DATE(Configurações!$B$3,11,14)</f>
        <v>46340</v>
      </c>
      <c r="B305" s="2" t="str">
        <f t="shared" si="4"/>
        <v>sáb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DATE(Configurações!$B$3,11,14)</f>
        <v>46340</v>
      </c>
      <c r="B306" s="2" t="str">
        <f t="shared" si="4"/>
        <v>sáb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DATE(Configurações!$B$3,11,14)</f>
        <v>46340</v>
      </c>
      <c r="B307" s="2" t="str">
        <f t="shared" si="4"/>
        <v>sáb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DATE(Configurações!$B$3,11,14)</f>
        <v>46340</v>
      </c>
      <c r="B308" s="2" t="str">
        <f t="shared" si="4"/>
        <v>sáb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DATE(Configurações!$B$3,11,14)</f>
        <v>46340</v>
      </c>
      <c r="B309" s="2" t="str">
        <f t="shared" si="4"/>
        <v>sáb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DATE(Configurações!$B$3,11,14)</f>
        <v>46340</v>
      </c>
      <c r="B310" s="2" t="str">
        <f t="shared" si="4"/>
        <v>sáb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DATE(Configurações!$B$3,11,14)</f>
        <v>46340</v>
      </c>
      <c r="B311" s="2" t="str">
        <f t="shared" si="4"/>
        <v>sáb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DATE(Configurações!$B$3,11,14)</f>
        <v>46340</v>
      </c>
      <c r="B312" s="2" t="str">
        <f t="shared" si="4"/>
        <v>sáb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DATE(Configurações!$B$3,11,14)</f>
        <v>46340</v>
      </c>
      <c r="B313" s="2" t="str">
        <f t="shared" si="4"/>
        <v>sáb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DATE(Configurações!$B$3,11,14)</f>
        <v>46340</v>
      </c>
      <c r="B314" s="2" t="str">
        <f t="shared" si="4"/>
        <v>sáb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DATE(Configurações!$B$3,11,14)</f>
        <v>46340</v>
      </c>
      <c r="B315" s="2" t="str">
        <f t="shared" si="4"/>
        <v>sáb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DATE(Configurações!$B$3,11,14)</f>
        <v>46340</v>
      </c>
      <c r="B316" s="2" t="str">
        <f t="shared" si="4"/>
        <v>sáb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DATE(Configurações!$B$3,11,14)</f>
        <v>46340</v>
      </c>
      <c r="B317" s="2" t="str">
        <f t="shared" si="4"/>
        <v>sáb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DATE(Configurações!$B$3,11,14)</f>
        <v>46340</v>
      </c>
      <c r="B318" s="2" t="str">
        <f t="shared" si="4"/>
        <v>sáb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DATE(Configurações!$B$3,11,14)</f>
        <v>46340</v>
      </c>
      <c r="B319" s="2" t="str">
        <f t="shared" si="4"/>
        <v>sáb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DATE(Configurações!$B$3,11,14)</f>
        <v>46340</v>
      </c>
      <c r="B320" s="2" t="str">
        <f t="shared" si="4"/>
        <v>sáb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DATE(Configurações!$B$3,11,14)</f>
        <v>46340</v>
      </c>
      <c r="B321" s="2" t="str">
        <f t="shared" si="4"/>
        <v>sáb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DATE(Configurações!$B$3,11,14)</f>
        <v>46340</v>
      </c>
      <c r="B322" s="2" t="str">
        <f t="shared" si="4"/>
        <v>sáb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DATE(Configurações!$B$3,11,14)</f>
        <v>46340</v>
      </c>
      <c r="B323" s="2" t="str">
        <f t="shared" si="4"/>
        <v>sáb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DATE(Configurações!$B$3,11,14)</f>
        <v>46340</v>
      </c>
      <c r="B324" s="2" t="str">
        <f t="shared" si="4"/>
        <v>sáb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DATE(Configurações!$B$3,11,14)</f>
        <v>46340</v>
      </c>
      <c r="B325" s="2" t="str">
        <f t="shared" si="4"/>
        <v>sáb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DATE(Configurações!$B$3,11,14)</f>
        <v>46340</v>
      </c>
      <c r="B326" s="2" t="str">
        <f t="shared" ref="B326:B389" si="5">TEXT(A326,"ddd")</f>
        <v>sáb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DATE(Configurações!$B$3,11,14)</f>
        <v>46340</v>
      </c>
      <c r="B327" s="2" t="str">
        <f t="shared" si="5"/>
        <v>sáb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DATE(Configurações!$B$3,11,15)</f>
        <v>46341</v>
      </c>
      <c r="B328" s="2" t="str">
        <f t="shared" si="5"/>
        <v>dom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DATE(Configurações!$B$3,11,15)</f>
        <v>46341</v>
      </c>
      <c r="B329" s="2" t="str">
        <f t="shared" si="5"/>
        <v>dom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DATE(Configurações!$B$3,11,15)</f>
        <v>46341</v>
      </c>
      <c r="B330" s="2" t="str">
        <f t="shared" si="5"/>
        <v>dom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DATE(Configurações!$B$3,11,15)</f>
        <v>46341</v>
      </c>
      <c r="B331" s="2" t="str">
        <f t="shared" si="5"/>
        <v>dom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DATE(Configurações!$B$3,11,15)</f>
        <v>46341</v>
      </c>
      <c r="B332" s="2" t="str">
        <f t="shared" si="5"/>
        <v>dom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DATE(Configurações!$B$3,11,15)</f>
        <v>46341</v>
      </c>
      <c r="B333" s="2" t="str">
        <f t="shared" si="5"/>
        <v>dom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DATE(Configurações!$B$3,11,15)</f>
        <v>46341</v>
      </c>
      <c r="B334" s="2" t="str">
        <f t="shared" si="5"/>
        <v>dom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DATE(Configurações!$B$3,11,15)</f>
        <v>46341</v>
      </c>
      <c r="B335" s="2" t="str">
        <f t="shared" si="5"/>
        <v>dom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DATE(Configurações!$B$3,11,15)</f>
        <v>46341</v>
      </c>
      <c r="B336" s="2" t="str">
        <f t="shared" si="5"/>
        <v>dom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DATE(Configurações!$B$3,11,15)</f>
        <v>46341</v>
      </c>
      <c r="B337" s="2" t="str">
        <f t="shared" si="5"/>
        <v>dom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DATE(Configurações!$B$3,11,15)</f>
        <v>46341</v>
      </c>
      <c r="B338" s="2" t="str">
        <f t="shared" si="5"/>
        <v>dom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DATE(Configurações!$B$3,11,15)</f>
        <v>46341</v>
      </c>
      <c r="B339" s="2" t="str">
        <f t="shared" si="5"/>
        <v>dom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DATE(Configurações!$B$3,11,15)</f>
        <v>46341</v>
      </c>
      <c r="B340" s="2" t="str">
        <f t="shared" si="5"/>
        <v>dom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DATE(Configurações!$B$3,11,15)</f>
        <v>46341</v>
      </c>
      <c r="B341" s="2" t="str">
        <f t="shared" si="5"/>
        <v>dom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DATE(Configurações!$B$3,11,15)</f>
        <v>46341</v>
      </c>
      <c r="B342" s="2" t="str">
        <f t="shared" si="5"/>
        <v>dom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DATE(Configurações!$B$3,11,15)</f>
        <v>46341</v>
      </c>
      <c r="B343" s="2" t="str">
        <f t="shared" si="5"/>
        <v>dom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DATE(Configurações!$B$3,11,15)</f>
        <v>46341</v>
      </c>
      <c r="B344" s="2" t="str">
        <f t="shared" si="5"/>
        <v>dom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DATE(Configurações!$B$3,11,15)</f>
        <v>46341</v>
      </c>
      <c r="B345" s="2" t="str">
        <f t="shared" si="5"/>
        <v>dom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DATE(Configurações!$B$3,11,15)</f>
        <v>46341</v>
      </c>
      <c r="B346" s="2" t="str">
        <f t="shared" si="5"/>
        <v>dom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DATE(Configurações!$B$3,11,15)</f>
        <v>46341</v>
      </c>
      <c r="B347" s="2" t="str">
        <f t="shared" si="5"/>
        <v>dom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DATE(Configurações!$B$3,11,15)</f>
        <v>46341</v>
      </c>
      <c r="B348" s="2" t="str">
        <f t="shared" si="5"/>
        <v>dom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DATE(Configurações!$B$3,11,15)</f>
        <v>46341</v>
      </c>
      <c r="B349" s="2" t="str">
        <f t="shared" si="5"/>
        <v>dom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DATE(Configurações!$B$3,11,15)</f>
        <v>46341</v>
      </c>
      <c r="B350" s="2" t="str">
        <f t="shared" si="5"/>
        <v>dom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DATE(Configurações!$B$3,11,16)</f>
        <v>46342</v>
      </c>
      <c r="B351" s="2" t="str">
        <f t="shared" si="5"/>
        <v>seg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DATE(Configurações!$B$3,11,16)</f>
        <v>46342</v>
      </c>
      <c r="B352" s="2" t="str">
        <f t="shared" si="5"/>
        <v>seg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DATE(Configurações!$B$3,11,16)</f>
        <v>46342</v>
      </c>
      <c r="B353" s="2" t="str">
        <f t="shared" si="5"/>
        <v>seg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DATE(Configurações!$B$3,11,16)</f>
        <v>46342</v>
      </c>
      <c r="B354" s="2" t="str">
        <f t="shared" si="5"/>
        <v>seg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DATE(Configurações!$B$3,11,16)</f>
        <v>46342</v>
      </c>
      <c r="B355" s="2" t="str">
        <f t="shared" si="5"/>
        <v>seg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DATE(Configurações!$B$3,11,16)</f>
        <v>46342</v>
      </c>
      <c r="B356" s="2" t="str">
        <f t="shared" si="5"/>
        <v>seg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DATE(Configurações!$B$3,11,16)</f>
        <v>46342</v>
      </c>
      <c r="B357" s="2" t="str">
        <f t="shared" si="5"/>
        <v>seg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DATE(Configurações!$B$3,11,16)</f>
        <v>46342</v>
      </c>
      <c r="B358" s="2" t="str">
        <f t="shared" si="5"/>
        <v>seg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DATE(Configurações!$B$3,11,16)</f>
        <v>46342</v>
      </c>
      <c r="B359" s="2" t="str">
        <f t="shared" si="5"/>
        <v>seg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DATE(Configurações!$B$3,11,16)</f>
        <v>46342</v>
      </c>
      <c r="B360" s="2" t="str">
        <f t="shared" si="5"/>
        <v>seg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DATE(Configurações!$B$3,11,16)</f>
        <v>46342</v>
      </c>
      <c r="B361" s="2" t="str">
        <f t="shared" si="5"/>
        <v>seg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DATE(Configurações!$B$3,11,16)</f>
        <v>46342</v>
      </c>
      <c r="B362" s="2" t="str">
        <f t="shared" si="5"/>
        <v>seg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DATE(Configurações!$B$3,11,16)</f>
        <v>46342</v>
      </c>
      <c r="B363" s="2" t="str">
        <f t="shared" si="5"/>
        <v>seg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DATE(Configurações!$B$3,11,16)</f>
        <v>46342</v>
      </c>
      <c r="B364" s="2" t="str">
        <f t="shared" si="5"/>
        <v>seg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DATE(Configurações!$B$3,11,16)</f>
        <v>46342</v>
      </c>
      <c r="B365" s="2" t="str">
        <f t="shared" si="5"/>
        <v>seg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DATE(Configurações!$B$3,11,16)</f>
        <v>46342</v>
      </c>
      <c r="B366" s="2" t="str">
        <f t="shared" si="5"/>
        <v>seg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DATE(Configurações!$B$3,11,16)</f>
        <v>46342</v>
      </c>
      <c r="B367" s="2" t="str">
        <f t="shared" si="5"/>
        <v>seg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DATE(Configurações!$B$3,11,16)</f>
        <v>46342</v>
      </c>
      <c r="B368" s="2" t="str">
        <f t="shared" si="5"/>
        <v>seg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DATE(Configurações!$B$3,11,16)</f>
        <v>46342</v>
      </c>
      <c r="B369" s="2" t="str">
        <f t="shared" si="5"/>
        <v>seg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DATE(Configurações!$B$3,11,16)</f>
        <v>46342</v>
      </c>
      <c r="B370" s="2" t="str">
        <f t="shared" si="5"/>
        <v>seg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DATE(Configurações!$B$3,11,16)</f>
        <v>46342</v>
      </c>
      <c r="B371" s="2" t="str">
        <f t="shared" si="5"/>
        <v>seg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DATE(Configurações!$B$3,11,16)</f>
        <v>46342</v>
      </c>
      <c r="B372" s="2" t="str">
        <f t="shared" si="5"/>
        <v>seg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DATE(Configurações!$B$3,11,16)</f>
        <v>46342</v>
      </c>
      <c r="B373" s="2" t="str">
        <f t="shared" si="5"/>
        <v>seg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DATE(Configurações!$B$3,11,17)</f>
        <v>46343</v>
      </c>
      <c r="B374" s="2" t="str">
        <f t="shared" si="5"/>
        <v>ter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DATE(Configurações!$B$3,11,17)</f>
        <v>46343</v>
      </c>
      <c r="B375" s="2" t="str">
        <f t="shared" si="5"/>
        <v>ter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DATE(Configurações!$B$3,11,17)</f>
        <v>46343</v>
      </c>
      <c r="B376" s="2" t="str">
        <f t="shared" si="5"/>
        <v>ter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DATE(Configurações!$B$3,11,17)</f>
        <v>46343</v>
      </c>
      <c r="B377" s="2" t="str">
        <f t="shared" si="5"/>
        <v>ter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DATE(Configurações!$B$3,11,17)</f>
        <v>46343</v>
      </c>
      <c r="B378" s="2" t="str">
        <f t="shared" si="5"/>
        <v>ter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DATE(Configurações!$B$3,11,17)</f>
        <v>46343</v>
      </c>
      <c r="B379" s="2" t="str">
        <f t="shared" si="5"/>
        <v>ter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DATE(Configurações!$B$3,11,17)</f>
        <v>46343</v>
      </c>
      <c r="B380" s="2" t="str">
        <f t="shared" si="5"/>
        <v>ter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DATE(Configurações!$B$3,11,17)</f>
        <v>46343</v>
      </c>
      <c r="B381" s="2" t="str">
        <f t="shared" si="5"/>
        <v>ter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DATE(Configurações!$B$3,11,17)</f>
        <v>46343</v>
      </c>
      <c r="B382" s="2" t="str">
        <f t="shared" si="5"/>
        <v>ter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DATE(Configurações!$B$3,11,17)</f>
        <v>46343</v>
      </c>
      <c r="B383" s="2" t="str">
        <f t="shared" si="5"/>
        <v>ter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DATE(Configurações!$B$3,11,17)</f>
        <v>46343</v>
      </c>
      <c r="B384" s="2" t="str">
        <f t="shared" si="5"/>
        <v>ter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DATE(Configurações!$B$3,11,17)</f>
        <v>46343</v>
      </c>
      <c r="B385" s="2" t="str">
        <f t="shared" si="5"/>
        <v>ter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DATE(Configurações!$B$3,11,17)</f>
        <v>46343</v>
      </c>
      <c r="B386" s="2" t="str">
        <f t="shared" si="5"/>
        <v>ter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DATE(Configurações!$B$3,11,17)</f>
        <v>46343</v>
      </c>
      <c r="B387" s="2" t="str">
        <f t="shared" si="5"/>
        <v>ter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DATE(Configurações!$B$3,11,17)</f>
        <v>46343</v>
      </c>
      <c r="B388" s="2" t="str">
        <f t="shared" si="5"/>
        <v>ter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DATE(Configurações!$B$3,11,17)</f>
        <v>46343</v>
      </c>
      <c r="B389" s="2" t="str">
        <f t="shared" si="5"/>
        <v>ter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DATE(Configurações!$B$3,11,17)</f>
        <v>46343</v>
      </c>
      <c r="B390" s="2" t="str">
        <f t="shared" ref="B390:B453" si="6">TEXT(A390,"ddd")</f>
        <v>ter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DATE(Configurações!$B$3,11,17)</f>
        <v>46343</v>
      </c>
      <c r="B391" s="2" t="str">
        <f t="shared" si="6"/>
        <v>ter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DATE(Configurações!$B$3,11,17)</f>
        <v>46343</v>
      </c>
      <c r="B392" s="2" t="str">
        <f t="shared" si="6"/>
        <v>ter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DATE(Configurações!$B$3,11,17)</f>
        <v>46343</v>
      </c>
      <c r="B393" s="2" t="str">
        <f t="shared" si="6"/>
        <v>ter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DATE(Configurações!$B$3,11,17)</f>
        <v>46343</v>
      </c>
      <c r="B394" s="2" t="str">
        <f t="shared" si="6"/>
        <v>ter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DATE(Configurações!$B$3,11,17)</f>
        <v>46343</v>
      </c>
      <c r="B395" s="2" t="str">
        <f t="shared" si="6"/>
        <v>ter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DATE(Configurações!$B$3,11,17)</f>
        <v>46343</v>
      </c>
      <c r="B396" s="2" t="str">
        <f t="shared" si="6"/>
        <v>ter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DATE(Configurações!$B$3,11,18)</f>
        <v>46344</v>
      </c>
      <c r="B397" s="2" t="str">
        <f t="shared" si="6"/>
        <v>qua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DATE(Configurações!$B$3,11,18)</f>
        <v>46344</v>
      </c>
      <c r="B398" s="2" t="str">
        <f t="shared" si="6"/>
        <v>qua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DATE(Configurações!$B$3,11,18)</f>
        <v>46344</v>
      </c>
      <c r="B399" s="2" t="str">
        <f t="shared" si="6"/>
        <v>qua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DATE(Configurações!$B$3,11,18)</f>
        <v>46344</v>
      </c>
      <c r="B400" s="2" t="str">
        <f t="shared" si="6"/>
        <v>qua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DATE(Configurações!$B$3,11,18)</f>
        <v>46344</v>
      </c>
      <c r="B401" s="2" t="str">
        <f t="shared" si="6"/>
        <v>qua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DATE(Configurações!$B$3,11,18)</f>
        <v>46344</v>
      </c>
      <c r="B402" s="2" t="str">
        <f t="shared" si="6"/>
        <v>qua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DATE(Configurações!$B$3,11,18)</f>
        <v>46344</v>
      </c>
      <c r="B403" s="2" t="str">
        <f t="shared" si="6"/>
        <v>qua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DATE(Configurações!$B$3,11,18)</f>
        <v>46344</v>
      </c>
      <c r="B404" s="2" t="str">
        <f t="shared" si="6"/>
        <v>qua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DATE(Configurações!$B$3,11,18)</f>
        <v>46344</v>
      </c>
      <c r="B405" s="2" t="str">
        <f t="shared" si="6"/>
        <v>qua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DATE(Configurações!$B$3,11,18)</f>
        <v>46344</v>
      </c>
      <c r="B406" s="2" t="str">
        <f t="shared" si="6"/>
        <v>qua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DATE(Configurações!$B$3,11,18)</f>
        <v>46344</v>
      </c>
      <c r="B407" s="2" t="str">
        <f t="shared" si="6"/>
        <v>qua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DATE(Configurações!$B$3,11,18)</f>
        <v>46344</v>
      </c>
      <c r="B408" s="2" t="str">
        <f t="shared" si="6"/>
        <v>qua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DATE(Configurações!$B$3,11,18)</f>
        <v>46344</v>
      </c>
      <c r="B409" s="2" t="str">
        <f t="shared" si="6"/>
        <v>qua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DATE(Configurações!$B$3,11,18)</f>
        <v>46344</v>
      </c>
      <c r="B410" s="2" t="str">
        <f t="shared" si="6"/>
        <v>qua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DATE(Configurações!$B$3,11,18)</f>
        <v>46344</v>
      </c>
      <c r="B411" s="2" t="str">
        <f t="shared" si="6"/>
        <v>qua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DATE(Configurações!$B$3,11,18)</f>
        <v>46344</v>
      </c>
      <c r="B412" s="2" t="str">
        <f t="shared" si="6"/>
        <v>qua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DATE(Configurações!$B$3,11,18)</f>
        <v>46344</v>
      </c>
      <c r="B413" s="2" t="str">
        <f t="shared" si="6"/>
        <v>qua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DATE(Configurações!$B$3,11,18)</f>
        <v>46344</v>
      </c>
      <c r="B414" s="2" t="str">
        <f t="shared" si="6"/>
        <v>qua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DATE(Configurações!$B$3,11,18)</f>
        <v>46344</v>
      </c>
      <c r="B415" s="2" t="str">
        <f t="shared" si="6"/>
        <v>qua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DATE(Configurações!$B$3,11,18)</f>
        <v>46344</v>
      </c>
      <c r="B416" s="2" t="str">
        <f t="shared" si="6"/>
        <v>qua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DATE(Configurações!$B$3,11,18)</f>
        <v>46344</v>
      </c>
      <c r="B417" s="2" t="str">
        <f t="shared" si="6"/>
        <v>qua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DATE(Configurações!$B$3,11,18)</f>
        <v>46344</v>
      </c>
      <c r="B418" s="2" t="str">
        <f t="shared" si="6"/>
        <v>qua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DATE(Configurações!$B$3,11,18)</f>
        <v>46344</v>
      </c>
      <c r="B419" s="2" t="str">
        <f t="shared" si="6"/>
        <v>qua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DATE(Configurações!$B$3,11,19)</f>
        <v>46345</v>
      </c>
      <c r="B420" s="2" t="str">
        <f t="shared" si="6"/>
        <v>qui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DATE(Configurações!$B$3,11,19)</f>
        <v>46345</v>
      </c>
      <c r="B421" s="2" t="str">
        <f t="shared" si="6"/>
        <v>qui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DATE(Configurações!$B$3,11,19)</f>
        <v>46345</v>
      </c>
      <c r="B422" s="2" t="str">
        <f t="shared" si="6"/>
        <v>qui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DATE(Configurações!$B$3,11,19)</f>
        <v>46345</v>
      </c>
      <c r="B423" s="2" t="str">
        <f t="shared" si="6"/>
        <v>qui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DATE(Configurações!$B$3,11,19)</f>
        <v>46345</v>
      </c>
      <c r="B424" s="2" t="str">
        <f t="shared" si="6"/>
        <v>qui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DATE(Configurações!$B$3,11,19)</f>
        <v>46345</v>
      </c>
      <c r="B425" s="2" t="str">
        <f t="shared" si="6"/>
        <v>qui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DATE(Configurações!$B$3,11,19)</f>
        <v>46345</v>
      </c>
      <c r="B426" s="2" t="str">
        <f t="shared" si="6"/>
        <v>qui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DATE(Configurações!$B$3,11,19)</f>
        <v>46345</v>
      </c>
      <c r="B427" s="2" t="str">
        <f t="shared" si="6"/>
        <v>qui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DATE(Configurações!$B$3,11,19)</f>
        <v>46345</v>
      </c>
      <c r="B428" s="2" t="str">
        <f t="shared" si="6"/>
        <v>qui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DATE(Configurações!$B$3,11,19)</f>
        <v>46345</v>
      </c>
      <c r="B429" s="2" t="str">
        <f t="shared" si="6"/>
        <v>qui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DATE(Configurações!$B$3,11,19)</f>
        <v>46345</v>
      </c>
      <c r="B430" s="2" t="str">
        <f t="shared" si="6"/>
        <v>qui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DATE(Configurações!$B$3,11,19)</f>
        <v>46345</v>
      </c>
      <c r="B431" s="2" t="str">
        <f t="shared" si="6"/>
        <v>qui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DATE(Configurações!$B$3,11,19)</f>
        <v>46345</v>
      </c>
      <c r="B432" s="2" t="str">
        <f t="shared" si="6"/>
        <v>qui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DATE(Configurações!$B$3,11,19)</f>
        <v>46345</v>
      </c>
      <c r="B433" s="2" t="str">
        <f t="shared" si="6"/>
        <v>qui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DATE(Configurações!$B$3,11,19)</f>
        <v>46345</v>
      </c>
      <c r="B434" s="2" t="str">
        <f t="shared" si="6"/>
        <v>qui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DATE(Configurações!$B$3,11,19)</f>
        <v>46345</v>
      </c>
      <c r="B435" s="2" t="str">
        <f t="shared" si="6"/>
        <v>qui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DATE(Configurações!$B$3,11,19)</f>
        <v>46345</v>
      </c>
      <c r="B436" s="2" t="str">
        <f t="shared" si="6"/>
        <v>qui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DATE(Configurações!$B$3,11,19)</f>
        <v>46345</v>
      </c>
      <c r="B437" s="2" t="str">
        <f t="shared" si="6"/>
        <v>qui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DATE(Configurações!$B$3,11,19)</f>
        <v>46345</v>
      </c>
      <c r="B438" s="2" t="str">
        <f t="shared" si="6"/>
        <v>qui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DATE(Configurações!$B$3,11,19)</f>
        <v>46345</v>
      </c>
      <c r="B439" s="2" t="str">
        <f t="shared" si="6"/>
        <v>qui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DATE(Configurações!$B$3,11,19)</f>
        <v>46345</v>
      </c>
      <c r="B440" s="2" t="str">
        <f t="shared" si="6"/>
        <v>qui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DATE(Configurações!$B$3,11,19)</f>
        <v>46345</v>
      </c>
      <c r="B441" s="2" t="str">
        <f t="shared" si="6"/>
        <v>qui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DATE(Configurações!$B$3,11,19)</f>
        <v>46345</v>
      </c>
      <c r="B442" s="2" t="str">
        <f t="shared" si="6"/>
        <v>qui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DATE(Configurações!$B$3,11,20)</f>
        <v>46346</v>
      </c>
      <c r="B443" s="2" t="str">
        <f t="shared" si="6"/>
        <v>sex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DATE(Configurações!$B$3,11,20)</f>
        <v>46346</v>
      </c>
      <c r="B444" s="2" t="str">
        <f t="shared" si="6"/>
        <v>sex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DATE(Configurações!$B$3,11,20)</f>
        <v>46346</v>
      </c>
      <c r="B445" s="2" t="str">
        <f t="shared" si="6"/>
        <v>sex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DATE(Configurações!$B$3,11,20)</f>
        <v>46346</v>
      </c>
      <c r="B446" s="2" t="str">
        <f t="shared" si="6"/>
        <v>sex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DATE(Configurações!$B$3,11,20)</f>
        <v>46346</v>
      </c>
      <c r="B447" s="2" t="str">
        <f t="shared" si="6"/>
        <v>sex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DATE(Configurações!$B$3,11,20)</f>
        <v>46346</v>
      </c>
      <c r="B448" s="2" t="str">
        <f t="shared" si="6"/>
        <v>sex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DATE(Configurações!$B$3,11,20)</f>
        <v>46346</v>
      </c>
      <c r="B449" s="2" t="str">
        <f t="shared" si="6"/>
        <v>sex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DATE(Configurações!$B$3,11,20)</f>
        <v>46346</v>
      </c>
      <c r="B450" s="2" t="str">
        <f t="shared" si="6"/>
        <v>sex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DATE(Configurações!$B$3,11,20)</f>
        <v>46346</v>
      </c>
      <c r="B451" s="2" t="str">
        <f t="shared" si="6"/>
        <v>sex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DATE(Configurações!$B$3,11,20)</f>
        <v>46346</v>
      </c>
      <c r="B452" s="2" t="str">
        <f t="shared" si="6"/>
        <v>sex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DATE(Configurações!$B$3,11,20)</f>
        <v>46346</v>
      </c>
      <c r="B453" s="2" t="str">
        <f t="shared" si="6"/>
        <v>sex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DATE(Configurações!$B$3,11,20)</f>
        <v>46346</v>
      </c>
      <c r="B454" s="2" t="str">
        <f t="shared" ref="B454:B517" si="7">TEXT(A454,"ddd")</f>
        <v>sex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DATE(Configurações!$B$3,11,20)</f>
        <v>46346</v>
      </c>
      <c r="B455" s="2" t="str">
        <f t="shared" si="7"/>
        <v>sex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DATE(Configurações!$B$3,11,20)</f>
        <v>46346</v>
      </c>
      <c r="B456" s="2" t="str">
        <f t="shared" si="7"/>
        <v>sex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DATE(Configurações!$B$3,11,20)</f>
        <v>46346</v>
      </c>
      <c r="B457" s="2" t="str">
        <f t="shared" si="7"/>
        <v>sex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DATE(Configurações!$B$3,11,20)</f>
        <v>46346</v>
      </c>
      <c r="B458" s="2" t="str">
        <f t="shared" si="7"/>
        <v>sex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DATE(Configurações!$B$3,11,20)</f>
        <v>46346</v>
      </c>
      <c r="B459" s="2" t="str">
        <f t="shared" si="7"/>
        <v>sex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DATE(Configurações!$B$3,11,20)</f>
        <v>46346</v>
      </c>
      <c r="B460" s="2" t="str">
        <f t="shared" si="7"/>
        <v>sex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DATE(Configurações!$B$3,11,20)</f>
        <v>46346</v>
      </c>
      <c r="B461" s="2" t="str">
        <f t="shared" si="7"/>
        <v>sex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DATE(Configurações!$B$3,11,20)</f>
        <v>46346</v>
      </c>
      <c r="B462" s="2" t="str">
        <f t="shared" si="7"/>
        <v>sex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DATE(Configurações!$B$3,11,20)</f>
        <v>46346</v>
      </c>
      <c r="B463" s="2" t="str">
        <f t="shared" si="7"/>
        <v>sex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DATE(Configurações!$B$3,11,20)</f>
        <v>46346</v>
      </c>
      <c r="B464" s="2" t="str">
        <f t="shared" si="7"/>
        <v>sex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DATE(Configurações!$B$3,11,20)</f>
        <v>46346</v>
      </c>
      <c r="B465" s="2" t="str">
        <f t="shared" si="7"/>
        <v>sex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DATE(Configurações!$B$3,11,21)</f>
        <v>46347</v>
      </c>
      <c r="B466" s="2" t="str">
        <f t="shared" si="7"/>
        <v>sáb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DATE(Configurações!$B$3,11,21)</f>
        <v>46347</v>
      </c>
      <c r="B467" s="2" t="str">
        <f t="shared" si="7"/>
        <v>sáb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DATE(Configurações!$B$3,11,21)</f>
        <v>46347</v>
      </c>
      <c r="B468" s="2" t="str">
        <f t="shared" si="7"/>
        <v>sáb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DATE(Configurações!$B$3,11,21)</f>
        <v>46347</v>
      </c>
      <c r="B469" s="2" t="str">
        <f t="shared" si="7"/>
        <v>sáb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DATE(Configurações!$B$3,11,21)</f>
        <v>46347</v>
      </c>
      <c r="B470" s="2" t="str">
        <f t="shared" si="7"/>
        <v>sáb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DATE(Configurações!$B$3,11,21)</f>
        <v>46347</v>
      </c>
      <c r="B471" s="2" t="str">
        <f t="shared" si="7"/>
        <v>sáb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DATE(Configurações!$B$3,11,21)</f>
        <v>46347</v>
      </c>
      <c r="B472" s="2" t="str">
        <f t="shared" si="7"/>
        <v>sáb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DATE(Configurações!$B$3,11,21)</f>
        <v>46347</v>
      </c>
      <c r="B473" s="2" t="str">
        <f t="shared" si="7"/>
        <v>sáb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DATE(Configurações!$B$3,11,21)</f>
        <v>46347</v>
      </c>
      <c r="B474" s="2" t="str">
        <f t="shared" si="7"/>
        <v>sáb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DATE(Configurações!$B$3,11,21)</f>
        <v>46347</v>
      </c>
      <c r="B475" s="2" t="str">
        <f t="shared" si="7"/>
        <v>sáb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DATE(Configurações!$B$3,11,21)</f>
        <v>46347</v>
      </c>
      <c r="B476" s="2" t="str">
        <f t="shared" si="7"/>
        <v>sáb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DATE(Configurações!$B$3,11,21)</f>
        <v>46347</v>
      </c>
      <c r="B477" s="2" t="str">
        <f t="shared" si="7"/>
        <v>sáb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DATE(Configurações!$B$3,11,21)</f>
        <v>46347</v>
      </c>
      <c r="B478" s="2" t="str">
        <f t="shared" si="7"/>
        <v>sáb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DATE(Configurações!$B$3,11,21)</f>
        <v>46347</v>
      </c>
      <c r="B479" s="2" t="str">
        <f t="shared" si="7"/>
        <v>sáb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DATE(Configurações!$B$3,11,21)</f>
        <v>46347</v>
      </c>
      <c r="B480" s="2" t="str">
        <f t="shared" si="7"/>
        <v>sáb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DATE(Configurações!$B$3,11,21)</f>
        <v>46347</v>
      </c>
      <c r="B481" s="2" t="str">
        <f t="shared" si="7"/>
        <v>sáb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DATE(Configurações!$B$3,11,21)</f>
        <v>46347</v>
      </c>
      <c r="B482" s="2" t="str">
        <f t="shared" si="7"/>
        <v>sáb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DATE(Configurações!$B$3,11,21)</f>
        <v>46347</v>
      </c>
      <c r="B483" s="2" t="str">
        <f t="shared" si="7"/>
        <v>sáb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DATE(Configurações!$B$3,11,21)</f>
        <v>46347</v>
      </c>
      <c r="B484" s="2" t="str">
        <f t="shared" si="7"/>
        <v>sáb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DATE(Configurações!$B$3,11,21)</f>
        <v>46347</v>
      </c>
      <c r="B485" s="2" t="str">
        <f t="shared" si="7"/>
        <v>sáb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DATE(Configurações!$B$3,11,21)</f>
        <v>46347</v>
      </c>
      <c r="B486" s="2" t="str">
        <f t="shared" si="7"/>
        <v>sáb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DATE(Configurações!$B$3,11,21)</f>
        <v>46347</v>
      </c>
      <c r="B487" s="2" t="str">
        <f t="shared" si="7"/>
        <v>sáb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DATE(Configurações!$B$3,11,21)</f>
        <v>46347</v>
      </c>
      <c r="B488" s="2" t="str">
        <f t="shared" si="7"/>
        <v>sáb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DATE(Configurações!$B$3,11,22)</f>
        <v>46348</v>
      </c>
      <c r="B489" s="2" t="str">
        <f t="shared" si="7"/>
        <v>dom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DATE(Configurações!$B$3,11,22)</f>
        <v>46348</v>
      </c>
      <c r="B490" s="2" t="str">
        <f t="shared" si="7"/>
        <v>dom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DATE(Configurações!$B$3,11,22)</f>
        <v>46348</v>
      </c>
      <c r="B491" s="2" t="str">
        <f t="shared" si="7"/>
        <v>dom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DATE(Configurações!$B$3,11,22)</f>
        <v>46348</v>
      </c>
      <c r="B492" s="2" t="str">
        <f t="shared" si="7"/>
        <v>dom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DATE(Configurações!$B$3,11,22)</f>
        <v>46348</v>
      </c>
      <c r="B493" s="2" t="str">
        <f t="shared" si="7"/>
        <v>dom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DATE(Configurações!$B$3,11,22)</f>
        <v>46348</v>
      </c>
      <c r="B494" s="2" t="str">
        <f t="shared" si="7"/>
        <v>dom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DATE(Configurações!$B$3,11,22)</f>
        <v>46348</v>
      </c>
      <c r="B495" s="2" t="str">
        <f t="shared" si="7"/>
        <v>dom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DATE(Configurações!$B$3,11,22)</f>
        <v>46348</v>
      </c>
      <c r="B496" s="2" t="str">
        <f t="shared" si="7"/>
        <v>dom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DATE(Configurações!$B$3,11,22)</f>
        <v>46348</v>
      </c>
      <c r="B497" s="2" t="str">
        <f t="shared" si="7"/>
        <v>dom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DATE(Configurações!$B$3,11,22)</f>
        <v>46348</v>
      </c>
      <c r="B498" s="2" t="str">
        <f t="shared" si="7"/>
        <v>dom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DATE(Configurações!$B$3,11,22)</f>
        <v>46348</v>
      </c>
      <c r="B499" s="2" t="str">
        <f t="shared" si="7"/>
        <v>dom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DATE(Configurações!$B$3,11,22)</f>
        <v>46348</v>
      </c>
      <c r="B500" s="2" t="str">
        <f t="shared" si="7"/>
        <v>dom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DATE(Configurações!$B$3,11,22)</f>
        <v>46348</v>
      </c>
      <c r="B501" s="2" t="str">
        <f t="shared" si="7"/>
        <v>dom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DATE(Configurações!$B$3,11,22)</f>
        <v>46348</v>
      </c>
      <c r="B502" s="2" t="str">
        <f t="shared" si="7"/>
        <v>dom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DATE(Configurações!$B$3,11,22)</f>
        <v>46348</v>
      </c>
      <c r="B503" s="2" t="str">
        <f t="shared" si="7"/>
        <v>dom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DATE(Configurações!$B$3,11,22)</f>
        <v>46348</v>
      </c>
      <c r="B504" s="2" t="str">
        <f t="shared" si="7"/>
        <v>dom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DATE(Configurações!$B$3,11,22)</f>
        <v>46348</v>
      </c>
      <c r="B505" s="2" t="str">
        <f t="shared" si="7"/>
        <v>dom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DATE(Configurações!$B$3,11,22)</f>
        <v>46348</v>
      </c>
      <c r="B506" s="2" t="str">
        <f t="shared" si="7"/>
        <v>dom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DATE(Configurações!$B$3,11,22)</f>
        <v>46348</v>
      </c>
      <c r="B507" s="2" t="str">
        <f t="shared" si="7"/>
        <v>dom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DATE(Configurações!$B$3,11,22)</f>
        <v>46348</v>
      </c>
      <c r="B508" s="2" t="str">
        <f t="shared" si="7"/>
        <v>dom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DATE(Configurações!$B$3,11,22)</f>
        <v>46348</v>
      </c>
      <c r="B509" s="2" t="str">
        <f t="shared" si="7"/>
        <v>dom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DATE(Configurações!$B$3,11,22)</f>
        <v>46348</v>
      </c>
      <c r="B510" s="2" t="str">
        <f t="shared" si="7"/>
        <v>dom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DATE(Configurações!$B$3,11,22)</f>
        <v>46348</v>
      </c>
      <c r="B511" s="2" t="str">
        <f t="shared" si="7"/>
        <v>dom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DATE(Configurações!$B$3,11,23)</f>
        <v>46349</v>
      </c>
      <c r="B512" s="2" t="str">
        <f t="shared" si="7"/>
        <v>seg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DATE(Configurações!$B$3,11,23)</f>
        <v>46349</v>
      </c>
      <c r="B513" s="2" t="str">
        <f t="shared" si="7"/>
        <v>seg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DATE(Configurações!$B$3,11,23)</f>
        <v>46349</v>
      </c>
      <c r="B514" s="2" t="str">
        <f t="shared" si="7"/>
        <v>seg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DATE(Configurações!$B$3,11,23)</f>
        <v>46349</v>
      </c>
      <c r="B515" s="2" t="str">
        <f t="shared" si="7"/>
        <v>seg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DATE(Configurações!$B$3,11,23)</f>
        <v>46349</v>
      </c>
      <c r="B516" s="2" t="str">
        <f t="shared" si="7"/>
        <v>seg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DATE(Configurações!$B$3,11,23)</f>
        <v>46349</v>
      </c>
      <c r="B517" s="2" t="str">
        <f t="shared" si="7"/>
        <v>seg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DATE(Configurações!$B$3,11,23)</f>
        <v>46349</v>
      </c>
      <c r="B518" s="2" t="str">
        <f t="shared" ref="B518:B581" si="8">TEXT(A518,"ddd")</f>
        <v>seg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DATE(Configurações!$B$3,11,23)</f>
        <v>46349</v>
      </c>
      <c r="B519" s="2" t="str">
        <f t="shared" si="8"/>
        <v>seg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DATE(Configurações!$B$3,11,23)</f>
        <v>46349</v>
      </c>
      <c r="B520" s="2" t="str">
        <f t="shared" si="8"/>
        <v>seg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DATE(Configurações!$B$3,11,23)</f>
        <v>46349</v>
      </c>
      <c r="B521" s="2" t="str">
        <f t="shared" si="8"/>
        <v>seg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DATE(Configurações!$B$3,11,23)</f>
        <v>46349</v>
      </c>
      <c r="B522" s="2" t="str">
        <f t="shared" si="8"/>
        <v>seg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DATE(Configurações!$B$3,11,23)</f>
        <v>46349</v>
      </c>
      <c r="B523" s="2" t="str">
        <f t="shared" si="8"/>
        <v>seg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DATE(Configurações!$B$3,11,23)</f>
        <v>46349</v>
      </c>
      <c r="B524" s="2" t="str">
        <f t="shared" si="8"/>
        <v>seg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DATE(Configurações!$B$3,11,23)</f>
        <v>46349</v>
      </c>
      <c r="B525" s="2" t="str">
        <f t="shared" si="8"/>
        <v>seg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DATE(Configurações!$B$3,11,23)</f>
        <v>46349</v>
      </c>
      <c r="B526" s="2" t="str">
        <f t="shared" si="8"/>
        <v>seg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DATE(Configurações!$B$3,11,23)</f>
        <v>46349</v>
      </c>
      <c r="B527" s="2" t="str">
        <f t="shared" si="8"/>
        <v>seg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DATE(Configurações!$B$3,11,23)</f>
        <v>46349</v>
      </c>
      <c r="B528" s="2" t="str">
        <f t="shared" si="8"/>
        <v>seg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DATE(Configurações!$B$3,11,23)</f>
        <v>46349</v>
      </c>
      <c r="B529" s="2" t="str">
        <f t="shared" si="8"/>
        <v>seg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DATE(Configurações!$B$3,11,23)</f>
        <v>46349</v>
      </c>
      <c r="B530" s="2" t="str">
        <f t="shared" si="8"/>
        <v>seg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DATE(Configurações!$B$3,11,23)</f>
        <v>46349</v>
      </c>
      <c r="B531" s="2" t="str">
        <f t="shared" si="8"/>
        <v>seg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DATE(Configurações!$B$3,11,23)</f>
        <v>46349</v>
      </c>
      <c r="B532" s="2" t="str">
        <f t="shared" si="8"/>
        <v>seg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DATE(Configurações!$B$3,11,23)</f>
        <v>46349</v>
      </c>
      <c r="B533" s="2" t="str">
        <f t="shared" si="8"/>
        <v>seg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DATE(Configurações!$B$3,11,23)</f>
        <v>46349</v>
      </c>
      <c r="B534" s="2" t="str">
        <f t="shared" si="8"/>
        <v>seg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DATE(Configurações!$B$3,11,24)</f>
        <v>46350</v>
      </c>
      <c r="B535" s="2" t="str">
        <f t="shared" si="8"/>
        <v>ter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DATE(Configurações!$B$3,11,24)</f>
        <v>46350</v>
      </c>
      <c r="B536" s="2" t="str">
        <f t="shared" si="8"/>
        <v>ter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DATE(Configurações!$B$3,11,24)</f>
        <v>46350</v>
      </c>
      <c r="B537" s="2" t="str">
        <f t="shared" si="8"/>
        <v>ter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DATE(Configurações!$B$3,11,24)</f>
        <v>46350</v>
      </c>
      <c r="B538" s="2" t="str">
        <f t="shared" si="8"/>
        <v>ter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DATE(Configurações!$B$3,11,24)</f>
        <v>46350</v>
      </c>
      <c r="B539" s="2" t="str">
        <f t="shared" si="8"/>
        <v>ter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DATE(Configurações!$B$3,11,24)</f>
        <v>46350</v>
      </c>
      <c r="B540" s="2" t="str">
        <f t="shared" si="8"/>
        <v>ter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DATE(Configurações!$B$3,11,24)</f>
        <v>46350</v>
      </c>
      <c r="B541" s="2" t="str">
        <f t="shared" si="8"/>
        <v>ter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DATE(Configurações!$B$3,11,24)</f>
        <v>46350</v>
      </c>
      <c r="B542" s="2" t="str">
        <f t="shared" si="8"/>
        <v>ter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DATE(Configurações!$B$3,11,24)</f>
        <v>46350</v>
      </c>
      <c r="B543" s="2" t="str">
        <f t="shared" si="8"/>
        <v>ter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DATE(Configurações!$B$3,11,24)</f>
        <v>46350</v>
      </c>
      <c r="B544" s="2" t="str">
        <f t="shared" si="8"/>
        <v>ter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DATE(Configurações!$B$3,11,24)</f>
        <v>46350</v>
      </c>
      <c r="B545" s="2" t="str">
        <f t="shared" si="8"/>
        <v>ter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DATE(Configurações!$B$3,11,24)</f>
        <v>46350</v>
      </c>
      <c r="B546" s="2" t="str">
        <f t="shared" si="8"/>
        <v>ter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DATE(Configurações!$B$3,11,24)</f>
        <v>46350</v>
      </c>
      <c r="B547" s="2" t="str">
        <f t="shared" si="8"/>
        <v>ter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DATE(Configurações!$B$3,11,24)</f>
        <v>46350</v>
      </c>
      <c r="B548" s="2" t="str">
        <f t="shared" si="8"/>
        <v>ter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DATE(Configurações!$B$3,11,24)</f>
        <v>46350</v>
      </c>
      <c r="B549" s="2" t="str">
        <f t="shared" si="8"/>
        <v>ter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DATE(Configurações!$B$3,11,24)</f>
        <v>46350</v>
      </c>
      <c r="B550" s="2" t="str">
        <f t="shared" si="8"/>
        <v>ter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DATE(Configurações!$B$3,11,24)</f>
        <v>46350</v>
      </c>
      <c r="B551" s="2" t="str">
        <f t="shared" si="8"/>
        <v>ter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DATE(Configurações!$B$3,11,24)</f>
        <v>46350</v>
      </c>
      <c r="B552" s="2" t="str">
        <f t="shared" si="8"/>
        <v>ter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DATE(Configurações!$B$3,11,24)</f>
        <v>46350</v>
      </c>
      <c r="B553" s="2" t="str">
        <f t="shared" si="8"/>
        <v>ter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DATE(Configurações!$B$3,11,24)</f>
        <v>46350</v>
      </c>
      <c r="B554" s="2" t="str">
        <f t="shared" si="8"/>
        <v>ter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DATE(Configurações!$B$3,11,24)</f>
        <v>46350</v>
      </c>
      <c r="B555" s="2" t="str">
        <f t="shared" si="8"/>
        <v>ter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DATE(Configurações!$B$3,11,24)</f>
        <v>46350</v>
      </c>
      <c r="B556" s="2" t="str">
        <f t="shared" si="8"/>
        <v>ter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DATE(Configurações!$B$3,11,24)</f>
        <v>46350</v>
      </c>
      <c r="B557" s="2" t="str">
        <f t="shared" si="8"/>
        <v>ter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DATE(Configurações!$B$3,11,25)</f>
        <v>46351</v>
      </c>
      <c r="B558" s="2" t="str">
        <f t="shared" si="8"/>
        <v>qua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DATE(Configurações!$B$3,11,25)</f>
        <v>46351</v>
      </c>
      <c r="B559" s="2" t="str">
        <f t="shared" si="8"/>
        <v>qua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DATE(Configurações!$B$3,11,25)</f>
        <v>46351</v>
      </c>
      <c r="B560" s="2" t="str">
        <f t="shared" si="8"/>
        <v>qua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DATE(Configurações!$B$3,11,25)</f>
        <v>46351</v>
      </c>
      <c r="B561" s="2" t="str">
        <f t="shared" si="8"/>
        <v>qua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DATE(Configurações!$B$3,11,25)</f>
        <v>46351</v>
      </c>
      <c r="B562" s="2" t="str">
        <f t="shared" si="8"/>
        <v>qua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DATE(Configurações!$B$3,11,25)</f>
        <v>46351</v>
      </c>
      <c r="B563" s="2" t="str">
        <f t="shared" si="8"/>
        <v>qua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DATE(Configurações!$B$3,11,25)</f>
        <v>46351</v>
      </c>
      <c r="B564" s="2" t="str">
        <f t="shared" si="8"/>
        <v>qua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DATE(Configurações!$B$3,11,25)</f>
        <v>46351</v>
      </c>
      <c r="B565" s="2" t="str">
        <f t="shared" si="8"/>
        <v>qua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DATE(Configurações!$B$3,11,25)</f>
        <v>46351</v>
      </c>
      <c r="B566" s="2" t="str">
        <f t="shared" si="8"/>
        <v>qua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DATE(Configurações!$B$3,11,25)</f>
        <v>46351</v>
      </c>
      <c r="B567" s="2" t="str">
        <f t="shared" si="8"/>
        <v>qua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DATE(Configurações!$B$3,11,25)</f>
        <v>46351</v>
      </c>
      <c r="B568" s="2" t="str">
        <f t="shared" si="8"/>
        <v>qua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DATE(Configurações!$B$3,11,25)</f>
        <v>46351</v>
      </c>
      <c r="B569" s="2" t="str">
        <f t="shared" si="8"/>
        <v>qua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DATE(Configurações!$B$3,11,25)</f>
        <v>46351</v>
      </c>
      <c r="B570" s="2" t="str">
        <f t="shared" si="8"/>
        <v>qua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DATE(Configurações!$B$3,11,25)</f>
        <v>46351</v>
      </c>
      <c r="B571" s="2" t="str">
        <f t="shared" si="8"/>
        <v>qua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DATE(Configurações!$B$3,11,25)</f>
        <v>46351</v>
      </c>
      <c r="B572" s="2" t="str">
        <f t="shared" si="8"/>
        <v>qua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DATE(Configurações!$B$3,11,25)</f>
        <v>46351</v>
      </c>
      <c r="B573" s="2" t="str">
        <f t="shared" si="8"/>
        <v>qua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DATE(Configurações!$B$3,11,25)</f>
        <v>46351</v>
      </c>
      <c r="B574" s="2" t="str">
        <f t="shared" si="8"/>
        <v>qua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DATE(Configurações!$B$3,11,25)</f>
        <v>46351</v>
      </c>
      <c r="B575" s="2" t="str">
        <f t="shared" si="8"/>
        <v>qua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DATE(Configurações!$B$3,11,25)</f>
        <v>46351</v>
      </c>
      <c r="B576" s="2" t="str">
        <f t="shared" si="8"/>
        <v>qua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DATE(Configurações!$B$3,11,25)</f>
        <v>46351</v>
      </c>
      <c r="B577" s="2" t="str">
        <f t="shared" si="8"/>
        <v>qua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DATE(Configurações!$B$3,11,25)</f>
        <v>46351</v>
      </c>
      <c r="B578" s="2" t="str">
        <f t="shared" si="8"/>
        <v>qua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DATE(Configurações!$B$3,11,25)</f>
        <v>46351</v>
      </c>
      <c r="B579" s="2" t="str">
        <f t="shared" si="8"/>
        <v>qua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DATE(Configurações!$B$3,11,25)</f>
        <v>46351</v>
      </c>
      <c r="B580" s="2" t="str">
        <f t="shared" si="8"/>
        <v>qua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DATE(Configurações!$B$3,11,26)</f>
        <v>46352</v>
      </c>
      <c r="B581" s="2" t="str">
        <f t="shared" si="8"/>
        <v>qui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DATE(Configurações!$B$3,11,26)</f>
        <v>46352</v>
      </c>
      <c r="B582" s="2" t="str">
        <f t="shared" ref="B582:B645" si="9">TEXT(A582,"ddd")</f>
        <v>qui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DATE(Configurações!$B$3,11,26)</f>
        <v>46352</v>
      </c>
      <c r="B583" s="2" t="str">
        <f t="shared" si="9"/>
        <v>qui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DATE(Configurações!$B$3,11,26)</f>
        <v>46352</v>
      </c>
      <c r="B584" s="2" t="str">
        <f t="shared" si="9"/>
        <v>qui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DATE(Configurações!$B$3,11,26)</f>
        <v>46352</v>
      </c>
      <c r="B585" s="2" t="str">
        <f t="shared" si="9"/>
        <v>qui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DATE(Configurações!$B$3,11,26)</f>
        <v>46352</v>
      </c>
      <c r="B586" s="2" t="str">
        <f t="shared" si="9"/>
        <v>qui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DATE(Configurações!$B$3,11,26)</f>
        <v>46352</v>
      </c>
      <c r="B587" s="2" t="str">
        <f t="shared" si="9"/>
        <v>qui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DATE(Configurações!$B$3,11,26)</f>
        <v>46352</v>
      </c>
      <c r="B588" s="2" t="str">
        <f t="shared" si="9"/>
        <v>qui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DATE(Configurações!$B$3,11,26)</f>
        <v>46352</v>
      </c>
      <c r="B589" s="2" t="str">
        <f t="shared" si="9"/>
        <v>qui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DATE(Configurações!$B$3,11,26)</f>
        <v>46352</v>
      </c>
      <c r="B590" s="2" t="str">
        <f t="shared" si="9"/>
        <v>qui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DATE(Configurações!$B$3,11,26)</f>
        <v>46352</v>
      </c>
      <c r="B591" s="2" t="str">
        <f t="shared" si="9"/>
        <v>qui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DATE(Configurações!$B$3,11,26)</f>
        <v>46352</v>
      </c>
      <c r="B592" s="2" t="str">
        <f t="shared" si="9"/>
        <v>qui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DATE(Configurações!$B$3,11,26)</f>
        <v>46352</v>
      </c>
      <c r="B593" s="2" t="str">
        <f t="shared" si="9"/>
        <v>qui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DATE(Configurações!$B$3,11,26)</f>
        <v>46352</v>
      </c>
      <c r="B594" s="2" t="str">
        <f t="shared" si="9"/>
        <v>qui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DATE(Configurações!$B$3,11,26)</f>
        <v>46352</v>
      </c>
      <c r="B595" s="2" t="str">
        <f t="shared" si="9"/>
        <v>qui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DATE(Configurações!$B$3,11,26)</f>
        <v>46352</v>
      </c>
      <c r="B596" s="2" t="str">
        <f t="shared" si="9"/>
        <v>qui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DATE(Configurações!$B$3,11,26)</f>
        <v>46352</v>
      </c>
      <c r="B597" s="2" t="str">
        <f t="shared" si="9"/>
        <v>qui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DATE(Configurações!$B$3,11,26)</f>
        <v>46352</v>
      </c>
      <c r="B598" s="2" t="str">
        <f t="shared" si="9"/>
        <v>qui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DATE(Configurações!$B$3,11,26)</f>
        <v>46352</v>
      </c>
      <c r="B599" s="2" t="str">
        <f t="shared" si="9"/>
        <v>qui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DATE(Configurações!$B$3,11,26)</f>
        <v>46352</v>
      </c>
      <c r="B600" s="2" t="str">
        <f t="shared" si="9"/>
        <v>qui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DATE(Configurações!$B$3,11,26)</f>
        <v>46352</v>
      </c>
      <c r="B601" s="2" t="str">
        <f t="shared" si="9"/>
        <v>qui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DATE(Configurações!$B$3,11,26)</f>
        <v>46352</v>
      </c>
      <c r="B602" s="2" t="str">
        <f t="shared" si="9"/>
        <v>qui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DATE(Configurações!$B$3,11,26)</f>
        <v>46352</v>
      </c>
      <c r="B603" s="2" t="str">
        <f t="shared" si="9"/>
        <v>qui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DATE(Configurações!$B$3,11,27)</f>
        <v>46353</v>
      </c>
      <c r="B604" s="2" t="str">
        <f t="shared" si="9"/>
        <v>sex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DATE(Configurações!$B$3,11,27)</f>
        <v>46353</v>
      </c>
      <c r="B605" s="2" t="str">
        <f t="shared" si="9"/>
        <v>sex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DATE(Configurações!$B$3,11,27)</f>
        <v>46353</v>
      </c>
      <c r="B606" s="2" t="str">
        <f t="shared" si="9"/>
        <v>sex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DATE(Configurações!$B$3,11,27)</f>
        <v>46353</v>
      </c>
      <c r="B607" s="2" t="str">
        <f t="shared" si="9"/>
        <v>sex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DATE(Configurações!$B$3,11,27)</f>
        <v>46353</v>
      </c>
      <c r="B608" s="2" t="str">
        <f t="shared" si="9"/>
        <v>sex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DATE(Configurações!$B$3,11,27)</f>
        <v>46353</v>
      </c>
      <c r="B609" s="2" t="str">
        <f t="shared" si="9"/>
        <v>sex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DATE(Configurações!$B$3,11,27)</f>
        <v>46353</v>
      </c>
      <c r="B610" s="2" t="str">
        <f t="shared" si="9"/>
        <v>sex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DATE(Configurações!$B$3,11,27)</f>
        <v>46353</v>
      </c>
      <c r="B611" s="2" t="str">
        <f t="shared" si="9"/>
        <v>sex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DATE(Configurações!$B$3,11,27)</f>
        <v>46353</v>
      </c>
      <c r="B612" s="2" t="str">
        <f t="shared" si="9"/>
        <v>sex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DATE(Configurações!$B$3,11,27)</f>
        <v>46353</v>
      </c>
      <c r="B613" s="2" t="str">
        <f t="shared" si="9"/>
        <v>sex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DATE(Configurações!$B$3,11,27)</f>
        <v>46353</v>
      </c>
      <c r="B614" s="2" t="str">
        <f t="shared" si="9"/>
        <v>sex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DATE(Configurações!$B$3,11,27)</f>
        <v>46353</v>
      </c>
      <c r="B615" s="2" t="str">
        <f t="shared" si="9"/>
        <v>sex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DATE(Configurações!$B$3,11,27)</f>
        <v>46353</v>
      </c>
      <c r="B616" s="2" t="str">
        <f t="shared" si="9"/>
        <v>sex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DATE(Configurações!$B$3,11,27)</f>
        <v>46353</v>
      </c>
      <c r="B617" s="2" t="str">
        <f t="shared" si="9"/>
        <v>sex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DATE(Configurações!$B$3,11,27)</f>
        <v>46353</v>
      </c>
      <c r="B618" s="2" t="str">
        <f t="shared" si="9"/>
        <v>sex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DATE(Configurações!$B$3,11,27)</f>
        <v>46353</v>
      </c>
      <c r="B619" s="2" t="str">
        <f t="shared" si="9"/>
        <v>sex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DATE(Configurações!$B$3,11,27)</f>
        <v>46353</v>
      </c>
      <c r="B620" s="2" t="str">
        <f t="shared" si="9"/>
        <v>sex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DATE(Configurações!$B$3,11,27)</f>
        <v>46353</v>
      </c>
      <c r="B621" s="2" t="str">
        <f t="shared" si="9"/>
        <v>sex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DATE(Configurações!$B$3,11,27)</f>
        <v>46353</v>
      </c>
      <c r="B622" s="2" t="str">
        <f t="shared" si="9"/>
        <v>sex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DATE(Configurações!$B$3,11,27)</f>
        <v>46353</v>
      </c>
      <c r="B623" s="2" t="str">
        <f t="shared" si="9"/>
        <v>sex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DATE(Configurações!$B$3,11,27)</f>
        <v>46353</v>
      </c>
      <c r="B624" s="2" t="str">
        <f t="shared" si="9"/>
        <v>sex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DATE(Configurações!$B$3,11,27)</f>
        <v>46353</v>
      </c>
      <c r="B625" s="2" t="str">
        <f t="shared" si="9"/>
        <v>sex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DATE(Configurações!$B$3,11,27)</f>
        <v>46353</v>
      </c>
      <c r="B626" s="2" t="str">
        <f t="shared" si="9"/>
        <v>sex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DATE(Configurações!$B$3,11,28)</f>
        <v>46354</v>
      </c>
      <c r="B627" s="2" t="str">
        <f t="shared" si="9"/>
        <v>sáb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DATE(Configurações!$B$3,11,28)</f>
        <v>46354</v>
      </c>
      <c r="B628" s="2" t="str">
        <f t="shared" si="9"/>
        <v>sáb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DATE(Configurações!$B$3,11,28)</f>
        <v>46354</v>
      </c>
      <c r="B629" s="2" t="str">
        <f t="shared" si="9"/>
        <v>sáb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DATE(Configurações!$B$3,11,28)</f>
        <v>46354</v>
      </c>
      <c r="B630" s="2" t="str">
        <f t="shared" si="9"/>
        <v>sáb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DATE(Configurações!$B$3,11,28)</f>
        <v>46354</v>
      </c>
      <c r="B631" s="2" t="str">
        <f t="shared" si="9"/>
        <v>sáb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DATE(Configurações!$B$3,11,28)</f>
        <v>46354</v>
      </c>
      <c r="B632" s="2" t="str">
        <f t="shared" si="9"/>
        <v>sáb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DATE(Configurações!$B$3,11,28)</f>
        <v>46354</v>
      </c>
      <c r="B633" s="2" t="str">
        <f t="shared" si="9"/>
        <v>sáb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DATE(Configurações!$B$3,11,28)</f>
        <v>46354</v>
      </c>
      <c r="B634" s="2" t="str">
        <f t="shared" si="9"/>
        <v>sáb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DATE(Configurações!$B$3,11,28)</f>
        <v>46354</v>
      </c>
      <c r="B635" s="2" t="str">
        <f t="shared" si="9"/>
        <v>sáb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DATE(Configurações!$B$3,11,28)</f>
        <v>46354</v>
      </c>
      <c r="B636" s="2" t="str">
        <f t="shared" si="9"/>
        <v>sáb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DATE(Configurações!$B$3,11,28)</f>
        <v>46354</v>
      </c>
      <c r="B637" s="2" t="str">
        <f t="shared" si="9"/>
        <v>sáb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DATE(Configurações!$B$3,11,28)</f>
        <v>46354</v>
      </c>
      <c r="B638" s="2" t="str">
        <f t="shared" si="9"/>
        <v>sáb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DATE(Configurações!$B$3,11,28)</f>
        <v>46354</v>
      </c>
      <c r="B639" s="2" t="str">
        <f t="shared" si="9"/>
        <v>sáb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DATE(Configurações!$B$3,11,28)</f>
        <v>46354</v>
      </c>
      <c r="B640" s="2" t="str">
        <f t="shared" si="9"/>
        <v>sáb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DATE(Configurações!$B$3,11,28)</f>
        <v>46354</v>
      </c>
      <c r="B641" s="2" t="str">
        <f t="shared" si="9"/>
        <v>sáb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DATE(Configurações!$B$3,11,28)</f>
        <v>46354</v>
      </c>
      <c r="B642" s="2" t="str">
        <f t="shared" si="9"/>
        <v>sáb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DATE(Configurações!$B$3,11,28)</f>
        <v>46354</v>
      </c>
      <c r="B643" s="2" t="str">
        <f t="shared" si="9"/>
        <v>sáb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DATE(Configurações!$B$3,11,28)</f>
        <v>46354</v>
      </c>
      <c r="B644" s="2" t="str">
        <f t="shared" si="9"/>
        <v>sáb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DATE(Configurações!$B$3,11,28)</f>
        <v>46354</v>
      </c>
      <c r="B645" s="2" t="str">
        <f t="shared" si="9"/>
        <v>sáb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DATE(Configurações!$B$3,11,28)</f>
        <v>46354</v>
      </c>
      <c r="B646" s="2" t="str">
        <f t="shared" ref="B646:B709" si="10">TEXT(A646,"ddd")</f>
        <v>sáb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DATE(Configurações!$B$3,11,28)</f>
        <v>46354</v>
      </c>
      <c r="B647" s="2" t="str">
        <f t="shared" si="10"/>
        <v>sáb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DATE(Configurações!$B$3,11,28)</f>
        <v>46354</v>
      </c>
      <c r="B648" s="2" t="str">
        <f t="shared" si="10"/>
        <v>sáb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DATE(Configurações!$B$3,11,28)</f>
        <v>46354</v>
      </c>
      <c r="B649" s="2" t="str">
        <f t="shared" si="10"/>
        <v>sáb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DATE(Configurações!$B$3,11,29)</f>
        <v>46355</v>
      </c>
      <c r="B650" s="2" t="str">
        <f t="shared" si="10"/>
        <v>dom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DATE(Configurações!$B$3,11,29)</f>
        <v>46355</v>
      </c>
      <c r="B651" s="2" t="str">
        <f t="shared" si="10"/>
        <v>dom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DATE(Configurações!$B$3,11,29)</f>
        <v>46355</v>
      </c>
      <c r="B652" s="2" t="str">
        <f t="shared" si="10"/>
        <v>dom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DATE(Configurações!$B$3,11,29)</f>
        <v>46355</v>
      </c>
      <c r="B653" s="2" t="str">
        <f t="shared" si="10"/>
        <v>dom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DATE(Configurações!$B$3,11,29)</f>
        <v>46355</v>
      </c>
      <c r="B654" s="2" t="str">
        <f t="shared" si="10"/>
        <v>dom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DATE(Configurações!$B$3,11,29)</f>
        <v>46355</v>
      </c>
      <c r="B655" s="2" t="str">
        <f t="shared" si="10"/>
        <v>dom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DATE(Configurações!$B$3,11,29)</f>
        <v>46355</v>
      </c>
      <c r="B656" s="2" t="str">
        <f t="shared" si="10"/>
        <v>dom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DATE(Configurações!$B$3,11,29)</f>
        <v>46355</v>
      </c>
      <c r="B657" s="2" t="str">
        <f t="shared" si="10"/>
        <v>dom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DATE(Configurações!$B$3,11,29)</f>
        <v>46355</v>
      </c>
      <c r="B658" s="2" t="str">
        <f t="shared" si="10"/>
        <v>dom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DATE(Configurações!$B$3,11,29)</f>
        <v>46355</v>
      </c>
      <c r="B659" s="2" t="str">
        <f t="shared" si="10"/>
        <v>dom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DATE(Configurações!$B$3,11,29)</f>
        <v>46355</v>
      </c>
      <c r="B660" s="2" t="str">
        <f t="shared" si="10"/>
        <v>dom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DATE(Configurações!$B$3,11,29)</f>
        <v>46355</v>
      </c>
      <c r="B661" s="2" t="str">
        <f t="shared" si="10"/>
        <v>dom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DATE(Configurações!$B$3,11,29)</f>
        <v>46355</v>
      </c>
      <c r="B662" s="2" t="str">
        <f t="shared" si="10"/>
        <v>dom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DATE(Configurações!$B$3,11,29)</f>
        <v>46355</v>
      </c>
      <c r="B663" s="2" t="str">
        <f t="shared" si="10"/>
        <v>dom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DATE(Configurações!$B$3,11,29)</f>
        <v>46355</v>
      </c>
      <c r="B664" s="2" t="str">
        <f t="shared" si="10"/>
        <v>dom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DATE(Configurações!$B$3,11,29)</f>
        <v>46355</v>
      </c>
      <c r="B665" s="2" t="str">
        <f t="shared" si="10"/>
        <v>dom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DATE(Configurações!$B$3,11,29)</f>
        <v>46355</v>
      </c>
      <c r="B666" s="2" t="str">
        <f t="shared" si="10"/>
        <v>dom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DATE(Configurações!$B$3,11,29)</f>
        <v>46355</v>
      </c>
      <c r="B667" s="2" t="str">
        <f t="shared" si="10"/>
        <v>dom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DATE(Configurações!$B$3,11,29)</f>
        <v>46355</v>
      </c>
      <c r="B668" s="2" t="str">
        <f t="shared" si="10"/>
        <v>dom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DATE(Configurações!$B$3,11,29)</f>
        <v>46355</v>
      </c>
      <c r="B669" s="2" t="str">
        <f t="shared" si="10"/>
        <v>dom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DATE(Configurações!$B$3,11,29)</f>
        <v>46355</v>
      </c>
      <c r="B670" s="2" t="str">
        <f t="shared" si="10"/>
        <v>dom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DATE(Configurações!$B$3,11,29)</f>
        <v>46355</v>
      </c>
      <c r="B671" s="2" t="str">
        <f t="shared" si="10"/>
        <v>dom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DATE(Configurações!$B$3,11,29)</f>
        <v>46355</v>
      </c>
      <c r="B672" s="2" t="str">
        <f t="shared" si="10"/>
        <v>dom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DATE(Configurações!$B$3,11,30)</f>
        <v>46356</v>
      </c>
      <c r="B673" s="2" t="str">
        <f t="shared" si="10"/>
        <v>seg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DATE(Configurações!$B$3,11,30)</f>
        <v>46356</v>
      </c>
      <c r="B674" s="2" t="str">
        <f t="shared" si="10"/>
        <v>seg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DATE(Configurações!$B$3,11,30)</f>
        <v>46356</v>
      </c>
      <c r="B675" s="2" t="str">
        <f t="shared" si="10"/>
        <v>seg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DATE(Configurações!$B$3,11,30)</f>
        <v>46356</v>
      </c>
      <c r="B676" s="2" t="str">
        <f t="shared" si="10"/>
        <v>seg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DATE(Configurações!$B$3,11,30)</f>
        <v>46356</v>
      </c>
      <c r="B677" s="2" t="str">
        <f t="shared" si="10"/>
        <v>seg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DATE(Configurações!$B$3,11,30)</f>
        <v>46356</v>
      </c>
      <c r="B678" s="2" t="str">
        <f t="shared" si="10"/>
        <v>seg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DATE(Configurações!$B$3,11,30)</f>
        <v>46356</v>
      </c>
      <c r="B679" s="2" t="str">
        <f t="shared" si="10"/>
        <v>seg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DATE(Configurações!$B$3,11,30)</f>
        <v>46356</v>
      </c>
      <c r="B680" s="2" t="str">
        <f t="shared" si="10"/>
        <v>seg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DATE(Configurações!$B$3,11,30)</f>
        <v>46356</v>
      </c>
      <c r="B681" s="2" t="str">
        <f t="shared" si="10"/>
        <v>seg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DATE(Configurações!$B$3,11,30)</f>
        <v>46356</v>
      </c>
      <c r="B682" s="2" t="str">
        <f t="shared" si="10"/>
        <v>seg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DATE(Configurações!$B$3,11,30)</f>
        <v>46356</v>
      </c>
      <c r="B683" s="2" t="str">
        <f t="shared" si="10"/>
        <v>seg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DATE(Configurações!$B$3,11,30)</f>
        <v>46356</v>
      </c>
      <c r="B684" s="2" t="str">
        <f t="shared" si="10"/>
        <v>seg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DATE(Configurações!$B$3,11,30)</f>
        <v>46356</v>
      </c>
      <c r="B685" s="2" t="str">
        <f t="shared" si="10"/>
        <v>seg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DATE(Configurações!$B$3,11,30)</f>
        <v>46356</v>
      </c>
      <c r="B686" s="2" t="str">
        <f t="shared" si="10"/>
        <v>seg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DATE(Configurações!$B$3,11,30)</f>
        <v>46356</v>
      </c>
      <c r="B687" s="2" t="str">
        <f t="shared" si="10"/>
        <v>seg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DATE(Configurações!$B$3,11,30)</f>
        <v>46356</v>
      </c>
      <c r="B688" s="2" t="str">
        <f t="shared" si="10"/>
        <v>seg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DATE(Configurações!$B$3,11,30)</f>
        <v>46356</v>
      </c>
      <c r="B689" s="2" t="str">
        <f t="shared" si="10"/>
        <v>seg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DATE(Configurações!$B$3,11,30)</f>
        <v>46356</v>
      </c>
      <c r="B690" s="2" t="str">
        <f t="shared" si="10"/>
        <v>seg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DATE(Configurações!$B$3,11,30)</f>
        <v>46356</v>
      </c>
      <c r="B691" s="2" t="str">
        <f t="shared" si="10"/>
        <v>seg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DATE(Configurações!$B$3,11,30)</f>
        <v>46356</v>
      </c>
      <c r="B692" s="2" t="str">
        <f t="shared" si="10"/>
        <v>seg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DATE(Configurações!$B$3,11,30)</f>
        <v>46356</v>
      </c>
      <c r="B693" s="2" t="str">
        <f t="shared" si="10"/>
        <v>seg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DATE(Configurações!$B$3,11,30)</f>
        <v>46356</v>
      </c>
      <c r="B694" s="2" t="str">
        <f t="shared" si="10"/>
        <v>seg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DATE(Configurações!$B$3,11,30)</f>
        <v>46356</v>
      </c>
      <c r="B695" s="2" t="str">
        <f t="shared" si="10"/>
        <v>seg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DATE(Configurações!$B$3,11,31)</f>
        <v>46357</v>
      </c>
      <c r="B696" s="2" t="str">
        <f t="shared" si="10"/>
        <v>ter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DATE(Configurações!$B$3,11,31)</f>
        <v>46357</v>
      </c>
      <c r="B697" s="2" t="str">
        <f t="shared" si="10"/>
        <v>ter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DATE(Configurações!$B$3,11,31)</f>
        <v>46357</v>
      </c>
      <c r="B698" s="2" t="str">
        <f t="shared" si="10"/>
        <v>ter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DATE(Configurações!$B$3,11,31)</f>
        <v>46357</v>
      </c>
      <c r="B699" s="2" t="str">
        <f t="shared" si="10"/>
        <v>ter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DATE(Configurações!$B$3,11,31)</f>
        <v>46357</v>
      </c>
      <c r="B700" s="2" t="str">
        <f t="shared" si="10"/>
        <v>ter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DATE(Configurações!$B$3,11,31)</f>
        <v>46357</v>
      </c>
      <c r="B701" s="2" t="str">
        <f t="shared" si="10"/>
        <v>ter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DATE(Configurações!$B$3,11,31)</f>
        <v>46357</v>
      </c>
      <c r="B702" s="2" t="str">
        <f t="shared" si="10"/>
        <v>ter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DATE(Configurações!$B$3,11,31)</f>
        <v>46357</v>
      </c>
      <c r="B703" s="2" t="str">
        <f t="shared" si="10"/>
        <v>ter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DATE(Configurações!$B$3,11,31)</f>
        <v>46357</v>
      </c>
      <c r="B704" s="2" t="str">
        <f t="shared" si="10"/>
        <v>ter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DATE(Configurações!$B$3,11,31)</f>
        <v>46357</v>
      </c>
      <c r="B705" s="2" t="str">
        <f t="shared" si="10"/>
        <v>ter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DATE(Configurações!$B$3,11,31)</f>
        <v>46357</v>
      </c>
      <c r="B706" s="2" t="str">
        <f t="shared" si="10"/>
        <v>ter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DATE(Configurações!$B$3,11,31)</f>
        <v>46357</v>
      </c>
      <c r="B707" s="2" t="str">
        <f t="shared" si="10"/>
        <v>ter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DATE(Configurações!$B$3,11,31)</f>
        <v>46357</v>
      </c>
      <c r="B708" s="2" t="str">
        <f t="shared" si="10"/>
        <v>ter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DATE(Configurações!$B$3,11,31)</f>
        <v>46357</v>
      </c>
      <c r="B709" s="2" t="str">
        <f t="shared" si="10"/>
        <v>ter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DATE(Configurações!$B$3,11,31)</f>
        <v>46357</v>
      </c>
      <c r="B710" s="2" t="str">
        <f t="shared" ref="B710:B773" si="11">TEXT(A710,"ddd")</f>
        <v>ter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DATE(Configurações!$B$3,11,31)</f>
        <v>46357</v>
      </c>
      <c r="B711" s="2" t="str">
        <f t="shared" si="11"/>
        <v>ter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DATE(Configurações!$B$3,11,31)</f>
        <v>46357</v>
      </c>
      <c r="B712" s="2" t="str">
        <f t="shared" si="11"/>
        <v>ter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DATE(Configurações!$B$3,11,31)</f>
        <v>46357</v>
      </c>
      <c r="B713" s="2" t="str">
        <f t="shared" si="11"/>
        <v>ter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DATE(Configurações!$B$3,11,31)</f>
        <v>46357</v>
      </c>
      <c r="B714" s="2" t="str">
        <f t="shared" si="11"/>
        <v>ter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DATE(Configurações!$B$3,11,31)</f>
        <v>46357</v>
      </c>
      <c r="B715" s="2" t="str">
        <f t="shared" si="11"/>
        <v>ter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DATE(Configurações!$B$3,11,31)</f>
        <v>46357</v>
      </c>
      <c r="B716" s="2" t="str">
        <f t="shared" si="11"/>
        <v>ter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DATE(Configurações!$B$3,11,31)</f>
        <v>46357</v>
      </c>
      <c r="B717" s="2" t="str">
        <f t="shared" si="11"/>
        <v>ter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DATE(Configurações!$B$3,11,31)</f>
        <v>46357</v>
      </c>
      <c r="B718" s="2" t="str">
        <f t="shared" si="11"/>
        <v>ter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7" priority="1">
      <formula>F6="Online"</formula>
    </cfRule>
    <cfRule type="expression" dxfId="6" priority="2">
      <formula>F6="Offline"</formula>
    </cfRule>
    <cfRule type="expression" dxfId="5" priority="3">
      <formula>F6="Manutenção"</formula>
    </cfRule>
    <cfRule type="expression" dxfId="4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C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718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10" customWidth="1"/>
    <col min="4" max="4" width="25" customWidth="1"/>
    <col min="5" max="5" width="24" customWidth="1"/>
    <col min="6" max="8" width="13" customWidth="1"/>
    <col min="9" max="9" width="38" customWidth="1"/>
    <col min="10" max="10" width="40" customWidth="1"/>
    <col min="11" max="11" width="18" customWidth="1"/>
    <col min="13" max="13" width="20" customWidth="1"/>
    <col min="14" max="15" width="12" customWidth="1"/>
    <col min="16" max="16" width="18" customWidth="1"/>
    <col min="17" max="17" width="22" customWidth="1"/>
  </cols>
  <sheetData>
    <row r="1" spans="1:17" ht="28" customHeight="1" x14ac:dyDescent="0.2">
      <c r="A1" s="15" t="s">
        <v>118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7" x14ac:dyDescent="0.2">
      <c r="A2" s="8" t="s">
        <v>90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7" x14ac:dyDescent="0.2">
      <c r="M4" s="16" t="s">
        <v>91</v>
      </c>
      <c r="N4" s="9"/>
      <c r="O4" s="9"/>
      <c r="P4" s="9"/>
      <c r="Q4" s="9"/>
    </row>
    <row r="5" spans="1:17" ht="24" customHeight="1" x14ac:dyDescent="0.2">
      <c r="A5" s="1" t="s">
        <v>92</v>
      </c>
      <c r="B5" s="1" t="s">
        <v>93</v>
      </c>
      <c r="C5" s="1" t="s">
        <v>36</v>
      </c>
      <c r="D5" s="1" t="s">
        <v>37</v>
      </c>
      <c r="E5" s="1" t="s">
        <v>38</v>
      </c>
      <c r="F5" s="1" t="s">
        <v>94</v>
      </c>
      <c r="G5" s="1" t="s">
        <v>95</v>
      </c>
      <c r="H5" s="1" t="s">
        <v>96</v>
      </c>
      <c r="I5" s="1" t="s">
        <v>97</v>
      </c>
      <c r="J5" s="1" t="s">
        <v>98</v>
      </c>
      <c r="K5" s="1" t="s">
        <v>99</v>
      </c>
      <c r="M5" s="1" t="s">
        <v>100</v>
      </c>
      <c r="N5" s="1" t="s">
        <v>101</v>
      </c>
      <c r="O5" s="1" t="s">
        <v>102</v>
      </c>
      <c r="P5" s="1" t="s">
        <v>103</v>
      </c>
      <c r="Q5" s="1" t="s">
        <v>40</v>
      </c>
    </row>
    <row r="6" spans="1:17" x14ac:dyDescent="0.2">
      <c r="A6" s="7">
        <f>DATE(Configurações!$B$3,12,1)</f>
        <v>46357</v>
      </c>
      <c r="B6" s="2" t="str">
        <f t="shared" ref="B6:B69" si="0">TEXT(A6,"ddd")</f>
        <v>ter</v>
      </c>
      <c r="C6" s="2" t="str">
        <f>Configurações!$A$7</f>
        <v>CAM 01</v>
      </c>
      <c r="D6" s="2" t="str">
        <f>Configurações!$B$7</f>
        <v>BARU ANDES</v>
      </c>
      <c r="E6" s="2">
        <f>Configurações!$C$7</f>
        <v>0</v>
      </c>
      <c r="F6" s="2" t="s">
        <v>20</v>
      </c>
      <c r="G6" s="2" t="s">
        <v>20</v>
      </c>
      <c r="H6" s="2" t="s">
        <v>20</v>
      </c>
      <c r="I6" s="6"/>
      <c r="J6" s="6"/>
      <c r="K6" s="6"/>
      <c r="M6" s="2" t="s">
        <v>8</v>
      </c>
      <c r="N6" s="2">
        <f>COUNTIF(F6:H718,"Online")</f>
        <v>0</v>
      </c>
      <c r="O6" s="3">
        <f>IFERROR(N6/(N6+N7+N8),0)</f>
        <v>0</v>
      </c>
      <c r="P6" s="2" t="s">
        <v>104</v>
      </c>
      <c r="Q6" s="2"/>
    </row>
    <row r="7" spans="1:17" x14ac:dyDescent="0.2">
      <c r="A7" s="7">
        <f>DATE(Configurações!$B$3,12,1)</f>
        <v>46357</v>
      </c>
      <c r="B7" s="2" t="str">
        <f t="shared" si="0"/>
        <v>ter</v>
      </c>
      <c r="C7" s="2" t="str">
        <f>Configurações!$A$8</f>
        <v>CAM 02</v>
      </c>
      <c r="D7" s="2" t="str">
        <f>Configurações!$B$8</f>
        <v>Câmera 02</v>
      </c>
      <c r="E7" s="2">
        <f>Configurações!$C$8</f>
        <v>0</v>
      </c>
      <c r="F7" s="2" t="s">
        <v>20</v>
      </c>
      <c r="G7" s="2" t="s">
        <v>20</v>
      </c>
      <c r="H7" s="2" t="s">
        <v>20</v>
      </c>
      <c r="I7" s="6"/>
      <c r="J7" s="6"/>
      <c r="K7" s="6"/>
      <c r="M7" s="2" t="s">
        <v>9</v>
      </c>
      <c r="N7" s="2">
        <f>COUNTIF(F6:H718,"Offline")</f>
        <v>0</v>
      </c>
      <c r="O7" s="3">
        <f>IFERROR(N7/(N6+N7+N8),0)</f>
        <v>0</v>
      </c>
      <c r="P7" s="2" t="s">
        <v>105</v>
      </c>
      <c r="Q7" s="2"/>
    </row>
    <row r="8" spans="1:17" x14ac:dyDescent="0.2">
      <c r="A8" s="7">
        <f>DATE(Configurações!$B$3,12,1)</f>
        <v>46357</v>
      </c>
      <c r="B8" s="2" t="str">
        <f t="shared" si="0"/>
        <v>ter</v>
      </c>
      <c r="C8" s="2" t="str">
        <f>Configurações!$A$9</f>
        <v>CAM 03</v>
      </c>
      <c r="D8" s="2" t="str">
        <f>Configurações!$B$9</f>
        <v>Câmera 03</v>
      </c>
      <c r="E8" s="2">
        <f>Configurações!$C$9</f>
        <v>0</v>
      </c>
      <c r="F8" s="2" t="s">
        <v>20</v>
      </c>
      <c r="G8" s="2" t="s">
        <v>20</v>
      </c>
      <c r="H8" s="2" t="s">
        <v>20</v>
      </c>
      <c r="I8" s="6"/>
      <c r="J8" s="6"/>
      <c r="K8" s="6"/>
      <c r="M8" s="2" t="s">
        <v>10</v>
      </c>
      <c r="N8" s="2">
        <f>COUNTIF(F6:H718,"Manutenção")</f>
        <v>0</v>
      </c>
      <c r="O8" s="3">
        <f>IFERROR(N8/(N6+N7+N8),0)</f>
        <v>0</v>
      </c>
      <c r="P8" s="2"/>
      <c r="Q8" s="2"/>
    </row>
    <row r="9" spans="1:17" x14ac:dyDescent="0.2">
      <c r="A9" s="7">
        <f>DATE(Configurações!$B$3,12,1)</f>
        <v>46357</v>
      </c>
      <c r="B9" s="2" t="str">
        <f t="shared" si="0"/>
        <v>ter</v>
      </c>
      <c r="C9" s="2" t="str">
        <f>Configurações!$A$10</f>
        <v>CAM 04</v>
      </c>
      <c r="D9" s="2" t="str">
        <f>Configurações!$B$10</f>
        <v>Câmera 04</v>
      </c>
      <c r="E9" s="2">
        <f>Configurações!$C$10</f>
        <v>0</v>
      </c>
      <c r="F9" s="2" t="s">
        <v>20</v>
      </c>
      <c r="G9" s="2" t="s">
        <v>20</v>
      </c>
      <c r="H9" s="2" t="s">
        <v>20</v>
      </c>
      <c r="I9" s="6"/>
      <c r="J9" s="6"/>
      <c r="K9" s="6"/>
      <c r="M9" s="2" t="s">
        <v>20</v>
      </c>
      <c r="N9" s="2">
        <f>COUNTIF(F6:H718,"Não verificado")</f>
        <v>2139</v>
      </c>
      <c r="O9" s="3">
        <f>IFERROR(N9/(N6+N7+N8+N9),0)</f>
        <v>1</v>
      </c>
      <c r="P9" s="2" t="s">
        <v>106</v>
      </c>
      <c r="Q9" s="2"/>
    </row>
    <row r="10" spans="1:17" x14ac:dyDescent="0.2">
      <c r="A10" s="7">
        <f>DATE(Configurações!$B$3,12,1)</f>
        <v>46357</v>
      </c>
      <c r="B10" s="2" t="str">
        <f t="shared" si="0"/>
        <v>ter</v>
      </c>
      <c r="C10" s="2" t="str">
        <f>Configurações!$A$11</f>
        <v>CAM 05</v>
      </c>
      <c r="D10" s="2" t="str">
        <f>Configurações!$B$11</f>
        <v>Câmera 05</v>
      </c>
      <c r="E10" s="2">
        <f>Configurações!$C$11</f>
        <v>0</v>
      </c>
      <c r="F10" s="2" t="s">
        <v>20</v>
      </c>
      <c r="G10" s="2" t="s">
        <v>20</v>
      </c>
      <c r="H10" s="2" t="s">
        <v>20</v>
      </c>
      <c r="I10" s="6"/>
      <c r="J10" s="6"/>
      <c r="K10" s="6"/>
      <c r="M10" s="2" t="s">
        <v>107</v>
      </c>
      <c r="N10" s="2">
        <f>COUNTA(I6:J718)</f>
        <v>0</v>
      </c>
      <c r="O10" s="3"/>
      <c r="P10" s="2"/>
      <c r="Q10" s="2"/>
    </row>
    <row r="11" spans="1:17" x14ac:dyDescent="0.2">
      <c r="A11" s="7">
        <f>DATE(Configurações!$B$3,12,1)</f>
        <v>46357</v>
      </c>
      <c r="B11" s="2" t="str">
        <f t="shared" si="0"/>
        <v>ter</v>
      </c>
      <c r="C11" s="2" t="str">
        <f>Configurações!$A$12</f>
        <v>CAM 06</v>
      </c>
      <c r="D11" s="2" t="str">
        <f>Configurações!$B$12</f>
        <v>Câmera 06</v>
      </c>
      <c r="E11" s="2">
        <f>Configurações!$C$12</f>
        <v>0</v>
      </c>
      <c r="F11" s="2" t="s">
        <v>20</v>
      </c>
      <c r="G11" s="2" t="s">
        <v>20</v>
      </c>
      <c r="H11" s="2" t="s">
        <v>20</v>
      </c>
      <c r="I11" s="6"/>
      <c r="J11" s="6"/>
      <c r="K11" s="6"/>
    </row>
    <row r="12" spans="1:17" x14ac:dyDescent="0.2">
      <c r="A12" s="7">
        <f>DATE(Configurações!$B$3,12,1)</f>
        <v>46357</v>
      </c>
      <c r="B12" s="2" t="str">
        <f t="shared" si="0"/>
        <v>ter</v>
      </c>
      <c r="C12" s="2" t="str">
        <f>Configurações!$A$13</f>
        <v>CAM 07</v>
      </c>
      <c r="D12" s="2" t="str">
        <f>Configurações!$B$13</f>
        <v>Câmera 07</v>
      </c>
      <c r="E12" s="2">
        <f>Configurações!$C$13</f>
        <v>0</v>
      </c>
      <c r="F12" s="2" t="s">
        <v>20</v>
      </c>
      <c r="G12" s="2" t="s">
        <v>20</v>
      </c>
      <c r="H12" s="2" t="s">
        <v>20</v>
      </c>
      <c r="I12" s="6"/>
      <c r="J12" s="6"/>
      <c r="K12" s="6"/>
    </row>
    <row r="13" spans="1:17" x14ac:dyDescent="0.2">
      <c r="A13" s="7">
        <f>DATE(Configurações!$B$3,12,1)</f>
        <v>46357</v>
      </c>
      <c r="B13" s="2" t="str">
        <f t="shared" si="0"/>
        <v>ter</v>
      </c>
      <c r="C13" s="2" t="str">
        <f>Configurações!$A$14</f>
        <v>CAM 08</v>
      </c>
      <c r="D13" s="2" t="str">
        <f>Configurações!$B$14</f>
        <v>Câmera 08</v>
      </c>
      <c r="E13" s="2">
        <f>Configurações!$C$14</f>
        <v>0</v>
      </c>
      <c r="F13" s="2" t="s">
        <v>20</v>
      </c>
      <c r="G13" s="2" t="s">
        <v>20</v>
      </c>
      <c r="H13" s="2" t="s">
        <v>20</v>
      </c>
      <c r="I13" s="6"/>
      <c r="J13" s="6"/>
      <c r="K13" s="6"/>
    </row>
    <row r="14" spans="1:17" x14ac:dyDescent="0.2">
      <c r="A14" s="7">
        <f>DATE(Configurações!$B$3,12,1)</f>
        <v>46357</v>
      </c>
      <c r="B14" s="2" t="str">
        <f t="shared" si="0"/>
        <v>ter</v>
      </c>
      <c r="C14" s="2" t="str">
        <f>Configurações!$A$15</f>
        <v>CAM 09</v>
      </c>
      <c r="D14" s="2" t="str">
        <f>Configurações!$B$15</f>
        <v>Câmera 09</v>
      </c>
      <c r="E14" s="2">
        <f>Configurações!$C$15</f>
        <v>0</v>
      </c>
      <c r="F14" s="2" t="s">
        <v>20</v>
      </c>
      <c r="G14" s="2" t="s">
        <v>20</v>
      </c>
      <c r="H14" s="2" t="s">
        <v>20</v>
      </c>
      <c r="I14" s="6"/>
      <c r="J14" s="6"/>
      <c r="K14" s="6"/>
    </row>
    <row r="15" spans="1:17" x14ac:dyDescent="0.2">
      <c r="A15" s="7">
        <f>DATE(Configurações!$B$3,12,1)</f>
        <v>46357</v>
      </c>
      <c r="B15" s="2" t="str">
        <f t="shared" si="0"/>
        <v>ter</v>
      </c>
      <c r="C15" s="2" t="str">
        <f>Configurações!$A$16</f>
        <v>CAM 10</v>
      </c>
      <c r="D15" s="2" t="str">
        <f>Configurações!$B$16</f>
        <v>Câmera 10</v>
      </c>
      <c r="E15" s="2">
        <f>Configurações!$C$16</f>
        <v>0</v>
      </c>
      <c r="F15" s="2" t="s">
        <v>20</v>
      </c>
      <c r="G15" s="2" t="s">
        <v>20</v>
      </c>
      <c r="H15" s="2" t="s">
        <v>20</v>
      </c>
      <c r="I15" s="6"/>
      <c r="J15" s="6"/>
      <c r="K15" s="6"/>
    </row>
    <row r="16" spans="1:17" x14ac:dyDescent="0.2">
      <c r="A16" s="7">
        <f>DATE(Configurações!$B$3,12,1)</f>
        <v>46357</v>
      </c>
      <c r="B16" s="2" t="str">
        <f t="shared" si="0"/>
        <v>ter</v>
      </c>
      <c r="C16" s="2" t="str">
        <f>Configurações!$A$17</f>
        <v>CAM 11</v>
      </c>
      <c r="D16" s="2" t="str">
        <f>Configurações!$B$17</f>
        <v>Câmera 11</v>
      </c>
      <c r="E16" s="2">
        <f>Configurações!$C$17</f>
        <v>0</v>
      </c>
      <c r="F16" s="2" t="s">
        <v>20</v>
      </c>
      <c r="G16" s="2" t="s">
        <v>20</v>
      </c>
      <c r="H16" s="2" t="s">
        <v>20</v>
      </c>
      <c r="I16" s="6"/>
      <c r="J16" s="6"/>
      <c r="K16" s="6"/>
    </row>
    <row r="17" spans="1:11" x14ac:dyDescent="0.2">
      <c r="A17" s="7">
        <f>DATE(Configurações!$B$3,12,1)</f>
        <v>46357</v>
      </c>
      <c r="B17" s="2" t="str">
        <f t="shared" si="0"/>
        <v>ter</v>
      </c>
      <c r="C17" s="2" t="str">
        <f>Configurações!$A$18</f>
        <v>CAM 12</v>
      </c>
      <c r="D17" s="2" t="str">
        <f>Configurações!$B$18</f>
        <v>Câmera 12</v>
      </c>
      <c r="E17" s="2">
        <f>Configurações!$C$18</f>
        <v>0</v>
      </c>
      <c r="F17" s="2" t="s">
        <v>20</v>
      </c>
      <c r="G17" s="2" t="s">
        <v>20</v>
      </c>
      <c r="H17" s="2" t="s">
        <v>20</v>
      </c>
      <c r="I17" s="6"/>
      <c r="J17" s="6"/>
      <c r="K17" s="6"/>
    </row>
    <row r="18" spans="1:11" x14ac:dyDescent="0.2">
      <c r="A18" s="7">
        <f>DATE(Configurações!$B$3,12,1)</f>
        <v>46357</v>
      </c>
      <c r="B18" s="2" t="str">
        <f t="shared" si="0"/>
        <v>ter</v>
      </c>
      <c r="C18" s="2" t="str">
        <f>Configurações!$A$19</f>
        <v>CAM 13</v>
      </c>
      <c r="D18" s="2" t="str">
        <f>Configurações!$B$19</f>
        <v>Câmera 13</v>
      </c>
      <c r="E18" s="2">
        <f>Configurações!$C$19</f>
        <v>0</v>
      </c>
      <c r="F18" s="2" t="s">
        <v>20</v>
      </c>
      <c r="G18" s="2" t="s">
        <v>20</v>
      </c>
      <c r="H18" s="2" t="s">
        <v>20</v>
      </c>
      <c r="I18" s="6"/>
      <c r="J18" s="6"/>
      <c r="K18" s="6"/>
    </row>
    <row r="19" spans="1:11" x14ac:dyDescent="0.2">
      <c r="A19" s="7">
        <f>DATE(Configurações!$B$3,12,1)</f>
        <v>46357</v>
      </c>
      <c r="B19" s="2" t="str">
        <f t="shared" si="0"/>
        <v>ter</v>
      </c>
      <c r="C19" s="2" t="str">
        <f>Configurações!$A$20</f>
        <v>CAM 14</v>
      </c>
      <c r="D19" s="2" t="str">
        <f>Configurações!$B$20</f>
        <v>Reserva/Futura 01</v>
      </c>
      <c r="E19" s="2">
        <f>Configurações!$C$20</f>
        <v>0</v>
      </c>
      <c r="F19" s="2" t="s">
        <v>20</v>
      </c>
      <c r="G19" s="2" t="s">
        <v>20</v>
      </c>
      <c r="H19" s="2" t="s">
        <v>20</v>
      </c>
      <c r="I19" s="6"/>
      <c r="J19" s="6"/>
      <c r="K19" s="6"/>
    </row>
    <row r="20" spans="1:11" x14ac:dyDescent="0.2">
      <c r="A20" s="7">
        <f>DATE(Configurações!$B$3,12,1)</f>
        <v>46357</v>
      </c>
      <c r="B20" s="2" t="str">
        <f t="shared" si="0"/>
        <v>ter</v>
      </c>
      <c r="C20" s="2" t="str">
        <f>Configurações!$A$21</f>
        <v>CAM 15</v>
      </c>
      <c r="D20" s="2" t="str">
        <f>Configurações!$B$21</f>
        <v>Reserva/Futura 02</v>
      </c>
      <c r="E20" s="2">
        <f>Configurações!$C$21</f>
        <v>0</v>
      </c>
      <c r="F20" s="2" t="s">
        <v>20</v>
      </c>
      <c r="G20" s="2" t="s">
        <v>20</v>
      </c>
      <c r="H20" s="2" t="s">
        <v>20</v>
      </c>
      <c r="I20" s="6"/>
      <c r="J20" s="6"/>
      <c r="K20" s="6"/>
    </row>
    <row r="21" spans="1:11" x14ac:dyDescent="0.2">
      <c r="A21" s="7">
        <f>DATE(Configurações!$B$3,12,1)</f>
        <v>46357</v>
      </c>
      <c r="B21" s="2" t="str">
        <f t="shared" si="0"/>
        <v>ter</v>
      </c>
      <c r="C21" s="2" t="str">
        <f>Configurações!$A$22</f>
        <v>CAM 16</v>
      </c>
      <c r="D21" s="2" t="str">
        <f>Configurações!$B$22</f>
        <v>Reserva/Futura 03</v>
      </c>
      <c r="E21" s="2">
        <f>Configurações!$C$22</f>
        <v>0</v>
      </c>
      <c r="F21" s="2" t="s">
        <v>20</v>
      </c>
      <c r="G21" s="2" t="s">
        <v>20</v>
      </c>
      <c r="H21" s="2" t="s">
        <v>20</v>
      </c>
      <c r="I21" s="6"/>
      <c r="J21" s="6"/>
      <c r="K21" s="6"/>
    </row>
    <row r="22" spans="1:11" x14ac:dyDescent="0.2">
      <c r="A22" s="7">
        <f>DATE(Configurações!$B$3,12,1)</f>
        <v>46357</v>
      </c>
      <c r="B22" s="2" t="str">
        <f t="shared" si="0"/>
        <v>ter</v>
      </c>
      <c r="C22" s="2" t="str">
        <f>Configurações!$A$23</f>
        <v>CAM 17</v>
      </c>
      <c r="D22" s="2" t="str">
        <f>Configurações!$B$23</f>
        <v>Reserva/Futura 04</v>
      </c>
      <c r="E22" s="2">
        <f>Configurações!$C$23</f>
        <v>0</v>
      </c>
      <c r="F22" s="2" t="s">
        <v>20</v>
      </c>
      <c r="G22" s="2" t="s">
        <v>20</v>
      </c>
      <c r="H22" s="2" t="s">
        <v>20</v>
      </c>
      <c r="I22" s="6"/>
      <c r="J22" s="6"/>
      <c r="K22" s="6"/>
    </row>
    <row r="23" spans="1:11" x14ac:dyDescent="0.2">
      <c r="A23" s="7">
        <f>DATE(Configurações!$B$3,12,1)</f>
        <v>46357</v>
      </c>
      <c r="B23" s="2" t="str">
        <f t="shared" si="0"/>
        <v>ter</v>
      </c>
      <c r="C23" s="2" t="str">
        <f>Configurações!$A$24</f>
        <v>CAM 18</v>
      </c>
      <c r="D23" s="2" t="str">
        <f>Configurações!$B$24</f>
        <v>Reserva/Futura 05</v>
      </c>
      <c r="E23" s="2">
        <f>Configurações!$C$24</f>
        <v>0</v>
      </c>
      <c r="F23" s="2" t="s">
        <v>20</v>
      </c>
      <c r="G23" s="2" t="s">
        <v>20</v>
      </c>
      <c r="H23" s="2" t="s">
        <v>20</v>
      </c>
      <c r="I23" s="6"/>
      <c r="J23" s="6"/>
      <c r="K23" s="6"/>
    </row>
    <row r="24" spans="1:11" x14ac:dyDescent="0.2">
      <c r="A24" s="7">
        <f>DATE(Configurações!$B$3,12,1)</f>
        <v>46357</v>
      </c>
      <c r="B24" s="2" t="str">
        <f t="shared" si="0"/>
        <v>ter</v>
      </c>
      <c r="C24" s="2" t="str">
        <f>Configurações!$A$25</f>
        <v>CAM 19</v>
      </c>
      <c r="D24" s="2" t="str">
        <f>Configurações!$B$25</f>
        <v>Reserva/Futura 06</v>
      </c>
      <c r="E24" s="2">
        <f>Configurações!$C$25</f>
        <v>0</v>
      </c>
      <c r="F24" s="2" t="s">
        <v>20</v>
      </c>
      <c r="G24" s="2" t="s">
        <v>20</v>
      </c>
      <c r="H24" s="2" t="s">
        <v>20</v>
      </c>
      <c r="I24" s="6"/>
      <c r="J24" s="6"/>
      <c r="K24" s="6"/>
    </row>
    <row r="25" spans="1:11" x14ac:dyDescent="0.2">
      <c r="A25" s="7">
        <f>DATE(Configurações!$B$3,12,1)</f>
        <v>46357</v>
      </c>
      <c r="B25" s="2" t="str">
        <f t="shared" si="0"/>
        <v>ter</v>
      </c>
      <c r="C25" s="2" t="str">
        <f>Configurações!$A$26</f>
        <v>CAM 20</v>
      </c>
      <c r="D25" s="2" t="str">
        <f>Configurações!$B$26</f>
        <v>Reserva/Futura 07</v>
      </c>
      <c r="E25" s="2">
        <f>Configurações!$C$26</f>
        <v>0</v>
      </c>
      <c r="F25" s="2" t="s">
        <v>20</v>
      </c>
      <c r="G25" s="2" t="s">
        <v>20</v>
      </c>
      <c r="H25" s="2" t="s">
        <v>20</v>
      </c>
      <c r="I25" s="6"/>
      <c r="J25" s="6"/>
      <c r="K25" s="6"/>
    </row>
    <row r="26" spans="1:11" x14ac:dyDescent="0.2">
      <c r="A26" s="7">
        <f>DATE(Configurações!$B$3,12,1)</f>
        <v>46357</v>
      </c>
      <c r="B26" s="2" t="str">
        <f t="shared" si="0"/>
        <v>ter</v>
      </c>
      <c r="C26" s="2" t="str">
        <f>Configurações!$A$27</f>
        <v>CAM 21</v>
      </c>
      <c r="D26" s="2" t="str">
        <f>Configurações!$B$27</f>
        <v>Reserva/Futura 08</v>
      </c>
      <c r="E26" s="2">
        <f>Configurações!$C$27</f>
        <v>0</v>
      </c>
      <c r="F26" s="2" t="s">
        <v>20</v>
      </c>
      <c r="G26" s="2" t="s">
        <v>20</v>
      </c>
      <c r="H26" s="2" t="s">
        <v>20</v>
      </c>
      <c r="I26" s="6"/>
      <c r="J26" s="6"/>
      <c r="K26" s="6"/>
    </row>
    <row r="27" spans="1:11" x14ac:dyDescent="0.2">
      <c r="A27" s="7">
        <f>DATE(Configurações!$B$3,12,1)</f>
        <v>46357</v>
      </c>
      <c r="B27" s="2" t="str">
        <f t="shared" si="0"/>
        <v>ter</v>
      </c>
      <c r="C27" s="2" t="str">
        <f>Configurações!$A$28</f>
        <v>CAM 22</v>
      </c>
      <c r="D27" s="2" t="str">
        <f>Configurações!$B$28</f>
        <v>Reserva/Futura 09</v>
      </c>
      <c r="E27" s="2">
        <f>Configurações!$C$28</f>
        <v>0</v>
      </c>
      <c r="F27" s="2" t="s">
        <v>20</v>
      </c>
      <c r="G27" s="2" t="s">
        <v>20</v>
      </c>
      <c r="H27" s="2" t="s">
        <v>20</v>
      </c>
      <c r="I27" s="6"/>
      <c r="J27" s="6"/>
      <c r="K27" s="6"/>
    </row>
    <row r="28" spans="1:11" x14ac:dyDescent="0.2">
      <c r="A28" s="7">
        <f>DATE(Configurações!$B$3,12,1)</f>
        <v>46357</v>
      </c>
      <c r="B28" s="2" t="str">
        <f t="shared" si="0"/>
        <v>ter</v>
      </c>
      <c r="C28" s="2" t="str">
        <f>Configurações!$A$29</f>
        <v>CAM 23</v>
      </c>
      <c r="D28" s="2" t="str">
        <f>Configurações!$B$29</f>
        <v>Reserva/Futura 10</v>
      </c>
      <c r="E28" s="2">
        <f>Configurações!$C$29</f>
        <v>0</v>
      </c>
      <c r="F28" s="2" t="s">
        <v>20</v>
      </c>
      <c r="G28" s="2" t="s">
        <v>20</v>
      </c>
      <c r="H28" s="2" t="s">
        <v>20</v>
      </c>
      <c r="I28" s="6"/>
      <c r="J28" s="6"/>
      <c r="K28" s="6"/>
    </row>
    <row r="29" spans="1:11" x14ac:dyDescent="0.2">
      <c r="A29" s="7">
        <f>DATE(Configurações!$B$3,12,2)</f>
        <v>46358</v>
      </c>
      <c r="B29" s="2" t="str">
        <f t="shared" si="0"/>
        <v>qua</v>
      </c>
      <c r="C29" s="2" t="str">
        <f>Configurações!$A$7</f>
        <v>CAM 01</v>
      </c>
      <c r="D29" s="2" t="str">
        <f>Configurações!$B$7</f>
        <v>BARU ANDES</v>
      </c>
      <c r="E29" s="2">
        <f>Configurações!$C$7</f>
        <v>0</v>
      </c>
      <c r="F29" s="2" t="s">
        <v>20</v>
      </c>
      <c r="G29" s="2" t="s">
        <v>20</v>
      </c>
      <c r="H29" s="2" t="s">
        <v>20</v>
      </c>
      <c r="I29" s="6"/>
      <c r="J29" s="6"/>
      <c r="K29" s="6"/>
    </row>
    <row r="30" spans="1:11" x14ac:dyDescent="0.2">
      <c r="A30" s="7">
        <f>DATE(Configurações!$B$3,12,2)</f>
        <v>46358</v>
      </c>
      <c r="B30" s="2" t="str">
        <f t="shared" si="0"/>
        <v>qua</v>
      </c>
      <c r="C30" s="2" t="str">
        <f>Configurações!$A$8</f>
        <v>CAM 02</v>
      </c>
      <c r="D30" s="2" t="str">
        <f>Configurações!$B$8</f>
        <v>Câmera 02</v>
      </c>
      <c r="E30" s="2">
        <f>Configurações!$C$8</f>
        <v>0</v>
      </c>
      <c r="F30" s="2" t="s">
        <v>20</v>
      </c>
      <c r="G30" s="2" t="s">
        <v>20</v>
      </c>
      <c r="H30" s="2" t="s">
        <v>20</v>
      </c>
      <c r="I30" s="6"/>
      <c r="J30" s="6"/>
      <c r="K30" s="6"/>
    </row>
    <row r="31" spans="1:11" x14ac:dyDescent="0.2">
      <c r="A31" s="7">
        <f>DATE(Configurações!$B$3,12,2)</f>
        <v>46358</v>
      </c>
      <c r="B31" s="2" t="str">
        <f t="shared" si="0"/>
        <v>qua</v>
      </c>
      <c r="C31" s="2" t="str">
        <f>Configurações!$A$9</f>
        <v>CAM 03</v>
      </c>
      <c r="D31" s="2" t="str">
        <f>Configurações!$B$9</f>
        <v>Câmera 03</v>
      </c>
      <c r="E31" s="2">
        <f>Configurações!$C$9</f>
        <v>0</v>
      </c>
      <c r="F31" s="2" t="s">
        <v>20</v>
      </c>
      <c r="G31" s="2" t="s">
        <v>20</v>
      </c>
      <c r="H31" s="2" t="s">
        <v>20</v>
      </c>
      <c r="I31" s="6"/>
      <c r="J31" s="6"/>
      <c r="K31" s="6"/>
    </row>
    <row r="32" spans="1:11" x14ac:dyDescent="0.2">
      <c r="A32" s="7">
        <f>DATE(Configurações!$B$3,12,2)</f>
        <v>46358</v>
      </c>
      <c r="B32" s="2" t="str">
        <f t="shared" si="0"/>
        <v>qua</v>
      </c>
      <c r="C32" s="2" t="str">
        <f>Configurações!$A$10</f>
        <v>CAM 04</v>
      </c>
      <c r="D32" s="2" t="str">
        <f>Configurações!$B$10</f>
        <v>Câmera 04</v>
      </c>
      <c r="E32" s="2">
        <f>Configurações!$C$10</f>
        <v>0</v>
      </c>
      <c r="F32" s="2" t="s">
        <v>20</v>
      </c>
      <c r="G32" s="2" t="s">
        <v>20</v>
      </c>
      <c r="H32" s="2" t="s">
        <v>20</v>
      </c>
      <c r="I32" s="6"/>
      <c r="J32" s="6"/>
      <c r="K32" s="6"/>
    </row>
    <row r="33" spans="1:11" x14ac:dyDescent="0.2">
      <c r="A33" s="7">
        <f>DATE(Configurações!$B$3,12,2)</f>
        <v>46358</v>
      </c>
      <c r="B33" s="2" t="str">
        <f t="shared" si="0"/>
        <v>qua</v>
      </c>
      <c r="C33" s="2" t="str">
        <f>Configurações!$A$11</f>
        <v>CAM 05</v>
      </c>
      <c r="D33" s="2" t="str">
        <f>Configurações!$B$11</f>
        <v>Câmera 05</v>
      </c>
      <c r="E33" s="2">
        <f>Configurações!$C$11</f>
        <v>0</v>
      </c>
      <c r="F33" s="2" t="s">
        <v>20</v>
      </c>
      <c r="G33" s="2" t="s">
        <v>20</v>
      </c>
      <c r="H33" s="2" t="s">
        <v>20</v>
      </c>
      <c r="I33" s="6"/>
      <c r="J33" s="6"/>
      <c r="K33" s="6"/>
    </row>
    <row r="34" spans="1:11" x14ac:dyDescent="0.2">
      <c r="A34" s="7">
        <f>DATE(Configurações!$B$3,12,2)</f>
        <v>46358</v>
      </c>
      <c r="B34" s="2" t="str">
        <f t="shared" si="0"/>
        <v>qua</v>
      </c>
      <c r="C34" s="2" t="str">
        <f>Configurações!$A$12</f>
        <v>CAM 06</v>
      </c>
      <c r="D34" s="2" t="str">
        <f>Configurações!$B$12</f>
        <v>Câmera 06</v>
      </c>
      <c r="E34" s="2">
        <f>Configurações!$C$12</f>
        <v>0</v>
      </c>
      <c r="F34" s="2" t="s">
        <v>20</v>
      </c>
      <c r="G34" s="2" t="s">
        <v>20</v>
      </c>
      <c r="H34" s="2" t="s">
        <v>20</v>
      </c>
      <c r="I34" s="6"/>
      <c r="J34" s="6"/>
      <c r="K34" s="6"/>
    </row>
    <row r="35" spans="1:11" x14ac:dyDescent="0.2">
      <c r="A35" s="7">
        <f>DATE(Configurações!$B$3,12,2)</f>
        <v>46358</v>
      </c>
      <c r="B35" s="2" t="str">
        <f t="shared" si="0"/>
        <v>qua</v>
      </c>
      <c r="C35" s="2" t="str">
        <f>Configurações!$A$13</f>
        <v>CAM 07</v>
      </c>
      <c r="D35" s="2" t="str">
        <f>Configurações!$B$13</f>
        <v>Câmera 07</v>
      </c>
      <c r="E35" s="2">
        <f>Configurações!$C$13</f>
        <v>0</v>
      </c>
      <c r="F35" s="2" t="s">
        <v>20</v>
      </c>
      <c r="G35" s="2" t="s">
        <v>20</v>
      </c>
      <c r="H35" s="2" t="s">
        <v>20</v>
      </c>
      <c r="I35" s="6"/>
      <c r="J35" s="6"/>
      <c r="K35" s="6"/>
    </row>
    <row r="36" spans="1:11" x14ac:dyDescent="0.2">
      <c r="A36" s="7">
        <f>DATE(Configurações!$B$3,12,2)</f>
        <v>46358</v>
      </c>
      <c r="B36" s="2" t="str">
        <f t="shared" si="0"/>
        <v>qua</v>
      </c>
      <c r="C36" s="2" t="str">
        <f>Configurações!$A$14</f>
        <v>CAM 08</v>
      </c>
      <c r="D36" s="2" t="str">
        <f>Configurações!$B$14</f>
        <v>Câmera 08</v>
      </c>
      <c r="E36" s="2">
        <f>Configurações!$C$14</f>
        <v>0</v>
      </c>
      <c r="F36" s="2" t="s">
        <v>20</v>
      </c>
      <c r="G36" s="2" t="s">
        <v>20</v>
      </c>
      <c r="H36" s="2" t="s">
        <v>20</v>
      </c>
      <c r="I36" s="6"/>
      <c r="J36" s="6"/>
      <c r="K36" s="6"/>
    </row>
    <row r="37" spans="1:11" x14ac:dyDescent="0.2">
      <c r="A37" s="7">
        <f>DATE(Configurações!$B$3,12,2)</f>
        <v>46358</v>
      </c>
      <c r="B37" s="2" t="str">
        <f t="shared" si="0"/>
        <v>qua</v>
      </c>
      <c r="C37" s="2" t="str">
        <f>Configurações!$A$15</f>
        <v>CAM 09</v>
      </c>
      <c r="D37" s="2" t="str">
        <f>Configurações!$B$15</f>
        <v>Câmera 09</v>
      </c>
      <c r="E37" s="2">
        <f>Configurações!$C$15</f>
        <v>0</v>
      </c>
      <c r="F37" s="2" t="s">
        <v>20</v>
      </c>
      <c r="G37" s="2" t="s">
        <v>20</v>
      </c>
      <c r="H37" s="2" t="s">
        <v>20</v>
      </c>
      <c r="I37" s="6"/>
      <c r="J37" s="6"/>
      <c r="K37" s="6"/>
    </row>
    <row r="38" spans="1:11" x14ac:dyDescent="0.2">
      <c r="A38" s="7">
        <f>DATE(Configurações!$B$3,12,2)</f>
        <v>46358</v>
      </c>
      <c r="B38" s="2" t="str">
        <f t="shared" si="0"/>
        <v>qua</v>
      </c>
      <c r="C38" s="2" t="str">
        <f>Configurações!$A$16</f>
        <v>CAM 10</v>
      </c>
      <c r="D38" s="2" t="str">
        <f>Configurações!$B$16</f>
        <v>Câmera 10</v>
      </c>
      <c r="E38" s="2">
        <f>Configurações!$C$16</f>
        <v>0</v>
      </c>
      <c r="F38" s="2" t="s">
        <v>20</v>
      </c>
      <c r="G38" s="2" t="s">
        <v>20</v>
      </c>
      <c r="H38" s="2" t="s">
        <v>20</v>
      </c>
      <c r="I38" s="6"/>
      <c r="J38" s="6"/>
      <c r="K38" s="6"/>
    </row>
    <row r="39" spans="1:11" x14ac:dyDescent="0.2">
      <c r="A39" s="7">
        <f>DATE(Configurações!$B$3,12,2)</f>
        <v>46358</v>
      </c>
      <c r="B39" s="2" t="str">
        <f t="shared" si="0"/>
        <v>qua</v>
      </c>
      <c r="C39" s="2" t="str">
        <f>Configurações!$A$17</f>
        <v>CAM 11</v>
      </c>
      <c r="D39" s="2" t="str">
        <f>Configurações!$B$17</f>
        <v>Câmera 11</v>
      </c>
      <c r="E39" s="2">
        <f>Configurações!$C$17</f>
        <v>0</v>
      </c>
      <c r="F39" s="2" t="s">
        <v>20</v>
      </c>
      <c r="G39" s="2" t="s">
        <v>20</v>
      </c>
      <c r="H39" s="2" t="s">
        <v>20</v>
      </c>
      <c r="I39" s="6"/>
      <c r="J39" s="6"/>
      <c r="K39" s="6"/>
    </row>
    <row r="40" spans="1:11" x14ac:dyDescent="0.2">
      <c r="A40" s="7">
        <f>DATE(Configurações!$B$3,12,2)</f>
        <v>46358</v>
      </c>
      <c r="B40" s="2" t="str">
        <f t="shared" si="0"/>
        <v>qua</v>
      </c>
      <c r="C40" s="2" t="str">
        <f>Configurações!$A$18</f>
        <v>CAM 12</v>
      </c>
      <c r="D40" s="2" t="str">
        <f>Configurações!$B$18</f>
        <v>Câmera 12</v>
      </c>
      <c r="E40" s="2">
        <f>Configurações!$C$18</f>
        <v>0</v>
      </c>
      <c r="F40" s="2" t="s">
        <v>20</v>
      </c>
      <c r="G40" s="2" t="s">
        <v>20</v>
      </c>
      <c r="H40" s="2" t="s">
        <v>20</v>
      </c>
      <c r="I40" s="6"/>
      <c r="J40" s="6"/>
      <c r="K40" s="6"/>
    </row>
    <row r="41" spans="1:11" x14ac:dyDescent="0.2">
      <c r="A41" s="7">
        <f>DATE(Configurações!$B$3,12,2)</f>
        <v>46358</v>
      </c>
      <c r="B41" s="2" t="str">
        <f t="shared" si="0"/>
        <v>qua</v>
      </c>
      <c r="C41" s="2" t="str">
        <f>Configurações!$A$19</f>
        <v>CAM 13</v>
      </c>
      <c r="D41" s="2" t="str">
        <f>Configurações!$B$19</f>
        <v>Câmera 13</v>
      </c>
      <c r="E41" s="2">
        <f>Configurações!$C$19</f>
        <v>0</v>
      </c>
      <c r="F41" s="2" t="s">
        <v>20</v>
      </c>
      <c r="G41" s="2" t="s">
        <v>20</v>
      </c>
      <c r="H41" s="2" t="s">
        <v>20</v>
      </c>
      <c r="I41" s="6"/>
      <c r="J41" s="6"/>
      <c r="K41" s="6"/>
    </row>
    <row r="42" spans="1:11" x14ac:dyDescent="0.2">
      <c r="A42" s="7">
        <f>DATE(Configurações!$B$3,12,2)</f>
        <v>46358</v>
      </c>
      <c r="B42" s="2" t="str">
        <f t="shared" si="0"/>
        <v>qua</v>
      </c>
      <c r="C42" s="2" t="str">
        <f>Configurações!$A$20</f>
        <v>CAM 14</v>
      </c>
      <c r="D42" s="2" t="str">
        <f>Configurações!$B$20</f>
        <v>Reserva/Futura 01</v>
      </c>
      <c r="E42" s="2">
        <f>Configurações!$C$20</f>
        <v>0</v>
      </c>
      <c r="F42" s="2" t="s">
        <v>20</v>
      </c>
      <c r="G42" s="2" t="s">
        <v>20</v>
      </c>
      <c r="H42" s="2" t="s">
        <v>20</v>
      </c>
      <c r="I42" s="6"/>
      <c r="J42" s="6"/>
      <c r="K42" s="6"/>
    </row>
    <row r="43" spans="1:11" x14ac:dyDescent="0.2">
      <c r="A43" s="7">
        <f>DATE(Configurações!$B$3,12,2)</f>
        <v>46358</v>
      </c>
      <c r="B43" s="2" t="str">
        <f t="shared" si="0"/>
        <v>qua</v>
      </c>
      <c r="C43" s="2" t="str">
        <f>Configurações!$A$21</f>
        <v>CAM 15</v>
      </c>
      <c r="D43" s="2" t="str">
        <f>Configurações!$B$21</f>
        <v>Reserva/Futura 02</v>
      </c>
      <c r="E43" s="2">
        <f>Configurações!$C$21</f>
        <v>0</v>
      </c>
      <c r="F43" s="2" t="s">
        <v>20</v>
      </c>
      <c r="G43" s="2" t="s">
        <v>20</v>
      </c>
      <c r="H43" s="2" t="s">
        <v>20</v>
      </c>
      <c r="I43" s="6"/>
      <c r="J43" s="6"/>
      <c r="K43" s="6"/>
    </row>
    <row r="44" spans="1:11" x14ac:dyDescent="0.2">
      <c r="A44" s="7">
        <f>DATE(Configurações!$B$3,12,2)</f>
        <v>46358</v>
      </c>
      <c r="B44" s="2" t="str">
        <f t="shared" si="0"/>
        <v>qua</v>
      </c>
      <c r="C44" s="2" t="str">
        <f>Configurações!$A$22</f>
        <v>CAM 16</v>
      </c>
      <c r="D44" s="2" t="str">
        <f>Configurações!$B$22</f>
        <v>Reserva/Futura 03</v>
      </c>
      <c r="E44" s="2">
        <f>Configurações!$C$22</f>
        <v>0</v>
      </c>
      <c r="F44" s="2" t="s">
        <v>20</v>
      </c>
      <c r="G44" s="2" t="s">
        <v>20</v>
      </c>
      <c r="H44" s="2" t="s">
        <v>20</v>
      </c>
      <c r="I44" s="6"/>
      <c r="J44" s="6"/>
      <c r="K44" s="6"/>
    </row>
    <row r="45" spans="1:11" x14ac:dyDescent="0.2">
      <c r="A45" s="7">
        <f>DATE(Configurações!$B$3,12,2)</f>
        <v>46358</v>
      </c>
      <c r="B45" s="2" t="str">
        <f t="shared" si="0"/>
        <v>qua</v>
      </c>
      <c r="C45" s="2" t="str">
        <f>Configurações!$A$23</f>
        <v>CAM 17</v>
      </c>
      <c r="D45" s="2" t="str">
        <f>Configurações!$B$23</f>
        <v>Reserva/Futura 04</v>
      </c>
      <c r="E45" s="2">
        <f>Configurações!$C$23</f>
        <v>0</v>
      </c>
      <c r="F45" s="2" t="s">
        <v>20</v>
      </c>
      <c r="G45" s="2" t="s">
        <v>20</v>
      </c>
      <c r="H45" s="2" t="s">
        <v>20</v>
      </c>
      <c r="I45" s="6"/>
      <c r="J45" s="6"/>
      <c r="K45" s="6"/>
    </row>
    <row r="46" spans="1:11" x14ac:dyDescent="0.2">
      <c r="A46" s="7">
        <f>DATE(Configurações!$B$3,12,2)</f>
        <v>46358</v>
      </c>
      <c r="B46" s="2" t="str">
        <f t="shared" si="0"/>
        <v>qua</v>
      </c>
      <c r="C46" s="2" t="str">
        <f>Configurações!$A$24</f>
        <v>CAM 18</v>
      </c>
      <c r="D46" s="2" t="str">
        <f>Configurações!$B$24</f>
        <v>Reserva/Futura 05</v>
      </c>
      <c r="E46" s="2">
        <f>Configurações!$C$24</f>
        <v>0</v>
      </c>
      <c r="F46" s="2" t="s">
        <v>20</v>
      </c>
      <c r="G46" s="2" t="s">
        <v>20</v>
      </c>
      <c r="H46" s="2" t="s">
        <v>20</v>
      </c>
      <c r="I46" s="6"/>
      <c r="J46" s="6"/>
      <c r="K46" s="6"/>
    </row>
    <row r="47" spans="1:11" x14ac:dyDescent="0.2">
      <c r="A47" s="7">
        <f>DATE(Configurações!$B$3,12,2)</f>
        <v>46358</v>
      </c>
      <c r="B47" s="2" t="str">
        <f t="shared" si="0"/>
        <v>qua</v>
      </c>
      <c r="C47" s="2" t="str">
        <f>Configurações!$A$25</f>
        <v>CAM 19</v>
      </c>
      <c r="D47" s="2" t="str">
        <f>Configurações!$B$25</f>
        <v>Reserva/Futura 06</v>
      </c>
      <c r="E47" s="2">
        <f>Configurações!$C$25</f>
        <v>0</v>
      </c>
      <c r="F47" s="2" t="s">
        <v>20</v>
      </c>
      <c r="G47" s="2" t="s">
        <v>20</v>
      </c>
      <c r="H47" s="2" t="s">
        <v>20</v>
      </c>
      <c r="I47" s="6"/>
      <c r="J47" s="6"/>
      <c r="K47" s="6"/>
    </row>
    <row r="48" spans="1:11" x14ac:dyDescent="0.2">
      <c r="A48" s="7">
        <f>DATE(Configurações!$B$3,12,2)</f>
        <v>46358</v>
      </c>
      <c r="B48" s="2" t="str">
        <f t="shared" si="0"/>
        <v>qua</v>
      </c>
      <c r="C48" s="2" t="str">
        <f>Configurações!$A$26</f>
        <v>CAM 20</v>
      </c>
      <c r="D48" s="2" t="str">
        <f>Configurações!$B$26</f>
        <v>Reserva/Futura 07</v>
      </c>
      <c r="E48" s="2">
        <f>Configurações!$C$26</f>
        <v>0</v>
      </c>
      <c r="F48" s="2" t="s">
        <v>20</v>
      </c>
      <c r="G48" s="2" t="s">
        <v>20</v>
      </c>
      <c r="H48" s="2" t="s">
        <v>20</v>
      </c>
      <c r="I48" s="6"/>
      <c r="J48" s="6"/>
      <c r="K48" s="6"/>
    </row>
    <row r="49" spans="1:11" x14ac:dyDescent="0.2">
      <c r="A49" s="7">
        <f>DATE(Configurações!$B$3,12,2)</f>
        <v>46358</v>
      </c>
      <c r="B49" s="2" t="str">
        <f t="shared" si="0"/>
        <v>qua</v>
      </c>
      <c r="C49" s="2" t="str">
        <f>Configurações!$A$27</f>
        <v>CAM 21</v>
      </c>
      <c r="D49" s="2" t="str">
        <f>Configurações!$B$27</f>
        <v>Reserva/Futura 08</v>
      </c>
      <c r="E49" s="2">
        <f>Configurações!$C$27</f>
        <v>0</v>
      </c>
      <c r="F49" s="2" t="s">
        <v>20</v>
      </c>
      <c r="G49" s="2" t="s">
        <v>20</v>
      </c>
      <c r="H49" s="2" t="s">
        <v>20</v>
      </c>
      <c r="I49" s="6"/>
      <c r="J49" s="6"/>
      <c r="K49" s="6"/>
    </row>
    <row r="50" spans="1:11" x14ac:dyDescent="0.2">
      <c r="A50" s="7">
        <f>DATE(Configurações!$B$3,12,2)</f>
        <v>46358</v>
      </c>
      <c r="B50" s="2" t="str">
        <f t="shared" si="0"/>
        <v>qua</v>
      </c>
      <c r="C50" s="2" t="str">
        <f>Configurações!$A$28</f>
        <v>CAM 22</v>
      </c>
      <c r="D50" s="2" t="str">
        <f>Configurações!$B$28</f>
        <v>Reserva/Futura 09</v>
      </c>
      <c r="E50" s="2">
        <f>Configurações!$C$28</f>
        <v>0</v>
      </c>
      <c r="F50" s="2" t="s">
        <v>20</v>
      </c>
      <c r="G50" s="2" t="s">
        <v>20</v>
      </c>
      <c r="H50" s="2" t="s">
        <v>20</v>
      </c>
      <c r="I50" s="6"/>
      <c r="J50" s="6"/>
      <c r="K50" s="6"/>
    </row>
    <row r="51" spans="1:11" x14ac:dyDescent="0.2">
      <c r="A51" s="7">
        <f>DATE(Configurações!$B$3,12,2)</f>
        <v>46358</v>
      </c>
      <c r="B51" s="2" t="str">
        <f t="shared" si="0"/>
        <v>qua</v>
      </c>
      <c r="C51" s="2" t="str">
        <f>Configurações!$A$29</f>
        <v>CAM 23</v>
      </c>
      <c r="D51" s="2" t="str">
        <f>Configurações!$B$29</f>
        <v>Reserva/Futura 10</v>
      </c>
      <c r="E51" s="2">
        <f>Configurações!$C$29</f>
        <v>0</v>
      </c>
      <c r="F51" s="2" t="s">
        <v>20</v>
      </c>
      <c r="G51" s="2" t="s">
        <v>20</v>
      </c>
      <c r="H51" s="2" t="s">
        <v>20</v>
      </c>
      <c r="I51" s="6"/>
      <c r="J51" s="6"/>
      <c r="K51" s="6"/>
    </row>
    <row r="52" spans="1:11" x14ac:dyDescent="0.2">
      <c r="A52" s="7">
        <f>DATE(Configurações!$B$3,12,3)</f>
        <v>46359</v>
      </c>
      <c r="B52" s="2" t="str">
        <f t="shared" si="0"/>
        <v>qui</v>
      </c>
      <c r="C52" s="2" t="str">
        <f>Configurações!$A$7</f>
        <v>CAM 01</v>
      </c>
      <c r="D52" s="2" t="str">
        <f>Configurações!$B$7</f>
        <v>BARU ANDES</v>
      </c>
      <c r="E52" s="2">
        <f>Configurações!$C$7</f>
        <v>0</v>
      </c>
      <c r="F52" s="2" t="s">
        <v>20</v>
      </c>
      <c r="G52" s="2" t="s">
        <v>20</v>
      </c>
      <c r="H52" s="2" t="s">
        <v>20</v>
      </c>
      <c r="I52" s="6"/>
      <c r="J52" s="6"/>
      <c r="K52" s="6"/>
    </row>
    <row r="53" spans="1:11" x14ac:dyDescent="0.2">
      <c r="A53" s="7">
        <f>DATE(Configurações!$B$3,12,3)</f>
        <v>46359</v>
      </c>
      <c r="B53" s="2" t="str">
        <f t="shared" si="0"/>
        <v>qui</v>
      </c>
      <c r="C53" s="2" t="str">
        <f>Configurações!$A$8</f>
        <v>CAM 02</v>
      </c>
      <c r="D53" s="2" t="str">
        <f>Configurações!$B$8</f>
        <v>Câmera 02</v>
      </c>
      <c r="E53" s="2">
        <f>Configurações!$C$8</f>
        <v>0</v>
      </c>
      <c r="F53" s="2" t="s">
        <v>20</v>
      </c>
      <c r="G53" s="2" t="s">
        <v>20</v>
      </c>
      <c r="H53" s="2" t="s">
        <v>20</v>
      </c>
      <c r="I53" s="6"/>
      <c r="J53" s="6"/>
      <c r="K53" s="6"/>
    </row>
    <row r="54" spans="1:11" x14ac:dyDescent="0.2">
      <c r="A54" s="7">
        <f>DATE(Configurações!$B$3,12,3)</f>
        <v>46359</v>
      </c>
      <c r="B54" s="2" t="str">
        <f t="shared" si="0"/>
        <v>qui</v>
      </c>
      <c r="C54" s="2" t="str">
        <f>Configurações!$A$9</f>
        <v>CAM 03</v>
      </c>
      <c r="D54" s="2" t="str">
        <f>Configurações!$B$9</f>
        <v>Câmera 03</v>
      </c>
      <c r="E54" s="2">
        <f>Configurações!$C$9</f>
        <v>0</v>
      </c>
      <c r="F54" s="2" t="s">
        <v>20</v>
      </c>
      <c r="G54" s="2" t="s">
        <v>20</v>
      </c>
      <c r="H54" s="2" t="s">
        <v>20</v>
      </c>
      <c r="I54" s="6"/>
      <c r="J54" s="6"/>
      <c r="K54" s="6"/>
    </row>
    <row r="55" spans="1:11" x14ac:dyDescent="0.2">
      <c r="A55" s="7">
        <f>DATE(Configurações!$B$3,12,3)</f>
        <v>46359</v>
      </c>
      <c r="B55" s="2" t="str">
        <f t="shared" si="0"/>
        <v>qui</v>
      </c>
      <c r="C55" s="2" t="str">
        <f>Configurações!$A$10</f>
        <v>CAM 04</v>
      </c>
      <c r="D55" s="2" t="str">
        <f>Configurações!$B$10</f>
        <v>Câmera 04</v>
      </c>
      <c r="E55" s="2">
        <f>Configurações!$C$10</f>
        <v>0</v>
      </c>
      <c r="F55" s="2" t="s">
        <v>20</v>
      </c>
      <c r="G55" s="2" t="s">
        <v>20</v>
      </c>
      <c r="H55" s="2" t="s">
        <v>20</v>
      </c>
      <c r="I55" s="6"/>
      <c r="J55" s="6"/>
      <c r="K55" s="6"/>
    </row>
    <row r="56" spans="1:11" x14ac:dyDescent="0.2">
      <c r="A56" s="7">
        <f>DATE(Configurações!$B$3,12,3)</f>
        <v>46359</v>
      </c>
      <c r="B56" s="2" t="str">
        <f t="shared" si="0"/>
        <v>qui</v>
      </c>
      <c r="C56" s="2" t="str">
        <f>Configurações!$A$11</f>
        <v>CAM 05</v>
      </c>
      <c r="D56" s="2" t="str">
        <f>Configurações!$B$11</f>
        <v>Câmera 05</v>
      </c>
      <c r="E56" s="2">
        <f>Configurações!$C$11</f>
        <v>0</v>
      </c>
      <c r="F56" s="2" t="s">
        <v>20</v>
      </c>
      <c r="G56" s="2" t="s">
        <v>20</v>
      </c>
      <c r="H56" s="2" t="s">
        <v>20</v>
      </c>
      <c r="I56" s="6"/>
      <c r="J56" s="6"/>
      <c r="K56" s="6"/>
    </row>
    <row r="57" spans="1:11" x14ac:dyDescent="0.2">
      <c r="A57" s="7">
        <f>DATE(Configurações!$B$3,12,3)</f>
        <v>46359</v>
      </c>
      <c r="B57" s="2" t="str">
        <f t="shared" si="0"/>
        <v>qui</v>
      </c>
      <c r="C57" s="2" t="str">
        <f>Configurações!$A$12</f>
        <v>CAM 06</v>
      </c>
      <c r="D57" s="2" t="str">
        <f>Configurações!$B$12</f>
        <v>Câmera 06</v>
      </c>
      <c r="E57" s="2">
        <f>Configurações!$C$12</f>
        <v>0</v>
      </c>
      <c r="F57" s="2" t="s">
        <v>20</v>
      </c>
      <c r="G57" s="2" t="s">
        <v>20</v>
      </c>
      <c r="H57" s="2" t="s">
        <v>20</v>
      </c>
      <c r="I57" s="6"/>
      <c r="J57" s="6"/>
      <c r="K57" s="6"/>
    </row>
    <row r="58" spans="1:11" x14ac:dyDescent="0.2">
      <c r="A58" s="7">
        <f>DATE(Configurações!$B$3,12,3)</f>
        <v>46359</v>
      </c>
      <c r="B58" s="2" t="str">
        <f t="shared" si="0"/>
        <v>qui</v>
      </c>
      <c r="C58" s="2" t="str">
        <f>Configurações!$A$13</f>
        <v>CAM 07</v>
      </c>
      <c r="D58" s="2" t="str">
        <f>Configurações!$B$13</f>
        <v>Câmera 07</v>
      </c>
      <c r="E58" s="2">
        <f>Configurações!$C$13</f>
        <v>0</v>
      </c>
      <c r="F58" s="2" t="s">
        <v>20</v>
      </c>
      <c r="G58" s="2" t="s">
        <v>20</v>
      </c>
      <c r="H58" s="2" t="s">
        <v>20</v>
      </c>
      <c r="I58" s="6"/>
      <c r="J58" s="6"/>
      <c r="K58" s="6"/>
    </row>
    <row r="59" spans="1:11" x14ac:dyDescent="0.2">
      <c r="A59" s="7">
        <f>DATE(Configurações!$B$3,12,3)</f>
        <v>46359</v>
      </c>
      <c r="B59" s="2" t="str">
        <f t="shared" si="0"/>
        <v>qui</v>
      </c>
      <c r="C59" s="2" t="str">
        <f>Configurações!$A$14</f>
        <v>CAM 08</v>
      </c>
      <c r="D59" s="2" t="str">
        <f>Configurações!$B$14</f>
        <v>Câmera 08</v>
      </c>
      <c r="E59" s="2">
        <f>Configurações!$C$14</f>
        <v>0</v>
      </c>
      <c r="F59" s="2" t="s">
        <v>20</v>
      </c>
      <c r="G59" s="2" t="s">
        <v>20</v>
      </c>
      <c r="H59" s="2" t="s">
        <v>20</v>
      </c>
      <c r="I59" s="6"/>
      <c r="J59" s="6"/>
      <c r="K59" s="6"/>
    </row>
    <row r="60" spans="1:11" x14ac:dyDescent="0.2">
      <c r="A60" s="7">
        <f>DATE(Configurações!$B$3,12,3)</f>
        <v>46359</v>
      </c>
      <c r="B60" s="2" t="str">
        <f t="shared" si="0"/>
        <v>qui</v>
      </c>
      <c r="C60" s="2" t="str">
        <f>Configurações!$A$15</f>
        <v>CAM 09</v>
      </c>
      <c r="D60" s="2" t="str">
        <f>Configurações!$B$15</f>
        <v>Câmera 09</v>
      </c>
      <c r="E60" s="2">
        <f>Configurações!$C$15</f>
        <v>0</v>
      </c>
      <c r="F60" s="2" t="s">
        <v>20</v>
      </c>
      <c r="G60" s="2" t="s">
        <v>20</v>
      </c>
      <c r="H60" s="2" t="s">
        <v>20</v>
      </c>
      <c r="I60" s="6"/>
      <c r="J60" s="6"/>
      <c r="K60" s="6"/>
    </row>
    <row r="61" spans="1:11" x14ac:dyDescent="0.2">
      <c r="A61" s="7">
        <f>DATE(Configurações!$B$3,12,3)</f>
        <v>46359</v>
      </c>
      <c r="B61" s="2" t="str">
        <f t="shared" si="0"/>
        <v>qui</v>
      </c>
      <c r="C61" s="2" t="str">
        <f>Configurações!$A$16</f>
        <v>CAM 10</v>
      </c>
      <c r="D61" s="2" t="str">
        <f>Configurações!$B$16</f>
        <v>Câmera 10</v>
      </c>
      <c r="E61" s="2">
        <f>Configurações!$C$16</f>
        <v>0</v>
      </c>
      <c r="F61" s="2" t="s">
        <v>20</v>
      </c>
      <c r="G61" s="2" t="s">
        <v>20</v>
      </c>
      <c r="H61" s="2" t="s">
        <v>20</v>
      </c>
      <c r="I61" s="6"/>
      <c r="J61" s="6"/>
      <c r="K61" s="6"/>
    </row>
    <row r="62" spans="1:11" x14ac:dyDescent="0.2">
      <c r="A62" s="7">
        <f>DATE(Configurações!$B$3,12,3)</f>
        <v>46359</v>
      </c>
      <c r="B62" s="2" t="str">
        <f t="shared" si="0"/>
        <v>qui</v>
      </c>
      <c r="C62" s="2" t="str">
        <f>Configurações!$A$17</f>
        <v>CAM 11</v>
      </c>
      <c r="D62" s="2" t="str">
        <f>Configurações!$B$17</f>
        <v>Câmera 11</v>
      </c>
      <c r="E62" s="2">
        <f>Configurações!$C$17</f>
        <v>0</v>
      </c>
      <c r="F62" s="2" t="s">
        <v>20</v>
      </c>
      <c r="G62" s="2" t="s">
        <v>20</v>
      </c>
      <c r="H62" s="2" t="s">
        <v>20</v>
      </c>
      <c r="I62" s="6"/>
      <c r="J62" s="6"/>
      <c r="K62" s="6"/>
    </row>
    <row r="63" spans="1:11" x14ac:dyDescent="0.2">
      <c r="A63" s="7">
        <f>DATE(Configurações!$B$3,12,3)</f>
        <v>46359</v>
      </c>
      <c r="B63" s="2" t="str">
        <f t="shared" si="0"/>
        <v>qui</v>
      </c>
      <c r="C63" s="2" t="str">
        <f>Configurações!$A$18</f>
        <v>CAM 12</v>
      </c>
      <c r="D63" s="2" t="str">
        <f>Configurações!$B$18</f>
        <v>Câmera 12</v>
      </c>
      <c r="E63" s="2">
        <f>Configurações!$C$18</f>
        <v>0</v>
      </c>
      <c r="F63" s="2" t="s">
        <v>20</v>
      </c>
      <c r="G63" s="2" t="s">
        <v>20</v>
      </c>
      <c r="H63" s="2" t="s">
        <v>20</v>
      </c>
      <c r="I63" s="6"/>
      <c r="J63" s="6"/>
      <c r="K63" s="6"/>
    </row>
    <row r="64" spans="1:11" x14ac:dyDescent="0.2">
      <c r="A64" s="7">
        <f>DATE(Configurações!$B$3,12,3)</f>
        <v>46359</v>
      </c>
      <c r="B64" s="2" t="str">
        <f t="shared" si="0"/>
        <v>qui</v>
      </c>
      <c r="C64" s="2" t="str">
        <f>Configurações!$A$19</f>
        <v>CAM 13</v>
      </c>
      <c r="D64" s="2" t="str">
        <f>Configurações!$B$19</f>
        <v>Câmera 13</v>
      </c>
      <c r="E64" s="2">
        <f>Configurações!$C$19</f>
        <v>0</v>
      </c>
      <c r="F64" s="2" t="s">
        <v>20</v>
      </c>
      <c r="G64" s="2" t="s">
        <v>20</v>
      </c>
      <c r="H64" s="2" t="s">
        <v>20</v>
      </c>
      <c r="I64" s="6"/>
      <c r="J64" s="6"/>
      <c r="K64" s="6"/>
    </row>
    <row r="65" spans="1:11" x14ac:dyDescent="0.2">
      <c r="A65" s="7">
        <f>DATE(Configurações!$B$3,12,3)</f>
        <v>46359</v>
      </c>
      <c r="B65" s="2" t="str">
        <f t="shared" si="0"/>
        <v>qui</v>
      </c>
      <c r="C65" s="2" t="str">
        <f>Configurações!$A$20</f>
        <v>CAM 14</v>
      </c>
      <c r="D65" s="2" t="str">
        <f>Configurações!$B$20</f>
        <v>Reserva/Futura 01</v>
      </c>
      <c r="E65" s="2">
        <f>Configurações!$C$20</f>
        <v>0</v>
      </c>
      <c r="F65" s="2" t="s">
        <v>20</v>
      </c>
      <c r="G65" s="2" t="s">
        <v>20</v>
      </c>
      <c r="H65" s="2" t="s">
        <v>20</v>
      </c>
      <c r="I65" s="6"/>
      <c r="J65" s="6"/>
      <c r="K65" s="6"/>
    </row>
    <row r="66" spans="1:11" x14ac:dyDescent="0.2">
      <c r="A66" s="7">
        <f>DATE(Configurações!$B$3,12,3)</f>
        <v>46359</v>
      </c>
      <c r="B66" s="2" t="str">
        <f t="shared" si="0"/>
        <v>qui</v>
      </c>
      <c r="C66" s="2" t="str">
        <f>Configurações!$A$21</f>
        <v>CAM 15</v>
      </c>
      <c r="D66" s="2" t="str">
        <f>Configurações!$B$21</f>
        <v>Reserva/Futura 02</v>
      </c>
      <c r="E66" s="2">
        <f>Configurações!$C$21</f>
        <v>0</v>
      </c>
      <c r="F66" s="2" t="s">
        <v>20</v>
      </c>
      <c r="G66" s="2" t="s">
        <v>20</v>
      </c>
      <c r="H66" s="2" t="s">
        <v>20</v>
      </c>
      <c r="I66" s="6"/>
      <c r="J66" s="6"/>
      <c r="K66" s="6"/>
    </row>
    <row r="67" spans="1:11" x14ac:dyDescent="0.2">
      <c r="A67" s="7">
        <f>DATE(Configurações!$B$3,12,3)</f>
        <v>46359</v>
      </c>
      <c r="B67" s="2" t="str">
        <f t="shared" si="0"/>
        <v>qui</v>
      </c>
      <c r="C67" s="2" t="str">
        <f>Configurações!$A$22</f>
        <v>CAM 16</v>
      </c>
      <c r="D67" s="2" t="str">
        <f>Configurações!$B$22</f>
        <v>Reserva/Futura 03</v>
      </c>
      <c r="E67" s="2">
        <f>Configurações!$C$22</f>
        <v>0</v>
      </c>
      <c r="F67" s="2" t="s">
        <v>20</v>
      </c>
      <c r="G67" s="2" t="s">
        <v>20</v>
      </c>
      <c r="H67" s="2" t="s">
        <v>20</v>
      </c>
      <c r="I67" s="6"/>
      <c r="J67" s="6"/>
      <c r="K67" s="6"/>
    </row>
    <row r="68" spans="1:11" x14ac:dyDescent="0.2">
      <c r="A68" s="7">
        <f>DATE(Configurações!$B$3,12,3)</f>
        <v>46359</v>
      </c>
      <c r="B68" s="2" t="str">
        <f t="shared" si="0"/>
        <v>qui</v>
      </c>
      <c r="C68" s="2" t="str">
        <f>Configurações!$A$23</f>
        <v>CAM 17</v>
      </c>
      <c r="D68" s="2" t="str">
        <f>Configurações!$B$23</f>
        <v>Reserva/Futura 04</v>
      </c>
      <c r="E68" s="2">
        <f>Configurações!$C$23</f>
        <v>0</v>
      </c>
      <c r="F68" s="2" t="s">
        <v>20</v>
      </c>
      <c r="G68" s="2" t="s">
        <v>20</v>
      </c>
      <c r="H68" s="2" t="s">
        <v>20</v>
      </c>
      <c r="I68" s="6"/>
      <c r="J68" s="6"/>
      <c r="K68" s="6"/>
    </row>
    <row r="69" spans="1:11" x14ac:dyDescent="0.2">
      <c r="A69" s="7">
        <f>DATE(Configurações!$B$3,12,3)</f>
        <v>46359</v>
      </c>
      <c r="B69" s="2" t="str">
        <f t="shared" si="0"/>
        <v>qui</v>
      </c>
      <c r="C69" s="2" t="str">
        <f>Configurações!$A$24</f>
        <v>CAM 18</v>
      </c>
      <c r="D69" s="2" t="str">
        <f>Configurações!$B$24</f>
        <v>Reserva/Futura 05</v>
      </c>
      <c r="E69" s="2">
        <f>Configurações!$C$24</f>
        <v>0</v>
      </c>
      <c r="F69" s="2" t="s">
        <v>20</v>
      </c>
      <c r="G69" s="2" t="s">
        <v>20</v>
      </c>
      <c r="H69" s="2" t="s">
        <v>20</v>
      </c>
      <c r="I69" s="6"/>
      <c r="J69" s="6"/>
      <c r="K69" s="6"/>
    </row>
    <row r="70" spans="1:11" x14ac:dyDescent="0.2">
      <c r="A70" s="7">
        <f>DATE(Configurações!$B$3,12,3)</f>
        <v>46359</v>
      </c>
      <c r="B70" s="2" t="str">
        <f t="shared" ref="B70:B133" si="1">TEXT(A70,"ddd")</f>
        <v>qui</v>
      </c>
      <c r="C70" s="2" t="str">
        <f>Configurações!$A$25</f>
        <v>CAM 19</v>
      </c>
      <c r="D70" s="2" t="str">
        <f>Configurações!$B$25</f>
        <v>Reserva/Futura 06</v>
      </c>
      <c r="E70" s="2">
        <f>Configurações!$C$25</f>
        <v>0</v>
      </c>
      <c r="F70" s="2" t="s">
        <v>20</v>
      </c>
      <c r="G70" s="2" t="s">
        <v>20</v>
      </c>
      <c r="H70" s="2" t="s">
        <v>20</v>
      </c>
      <c r="I70" s="6"/>
      <c r="J70" s="6"/>
      <c r="K70" s="6"/>
    </row>
    <row r="71" spans="1:11" x14ac:dyDescent="0.2">
      <c r="A71" s="7">
        <f>DATE(Configurações!$B$3,12,3)</f>
        <v>46359</v>
      </c>
      <c r="B71" s="2" t="str">
        <f t="shared" si="1"/>
        <v>qui</v>
      </c>
      <c r="C71" s="2" t="str">
        <f>Configurações!$A$26</f>
        <v>CAM 20</v>
      </c>
      <c r="D71" s="2" t="str">
        <f>Configurações!$B$26</f>
        <v>Reserva/Futura 07</v>
      </c>
      <c r="E71" s="2">
        <f>Configurações!$C$26</f>
        <v>0</v>
      </c>
      <c r="F71" s="2" t="s">
        <v>20</v>
      </c>
      <c r="G71" s="2" t="s">
        <v>20</v>
      </c>
      <c r="H71" s="2" t="s">
        <v>20</v>
      </c>
      <c r="I71" s="6"/>
      <c r="J71" s="6"/>
      <c r="K71" s="6"/>
    </row>
    <row r="72" spans="1:11" x14ac:dyDescent="0.2">
      <c r="A72" s="7">
        <f>DATE(Configurações!$B$3,12,3)</f>
        <v>46359</v>
      </c>
      <c r="B72" s="2" t="str">
        <f t="shared" si="1"/>
        <v>qui</v>
      </c>
      <c r="C72" s="2" t="str">
        <f>Configurações!$A$27</f>
        <v>CAM 21</v>
      </c>
      <c r="D72" s="2" t="str">
        <f>Configurações!$B$27</f>
        <v>Reserva/Futura 08</v>
      </c>
      <c r="E72" s="2">
        <f>Configurações!$C$27</f>
        <v>0</v>
      </c>
      <c r="F72" s="2" t="s">
        <v>20</v>
      </c>
      <c r="G72" s="2" t="s">
        <v>20</v>
      </c>
      <c r="H72" s="2" t="s">
        <v>20</v>
      </c>
      <c r="I72" s="6"/>
      <c r="J72" s="6"/>
      <c r="K72" s="6"/>
    </row>
    <row r="73" spans="1:11" x14ac:dyDescent="0.2">
      <c r="A73" s="7">
        <f>DATE(Configurações!$B$3,12,3)</f>
        <v>46359</v>
      </c>
      <c r="B73" s="2" t="str">
        <f t="shared" si="1"/>
        <v>qui</v>
      </c>
      <c r="C73" s="2" t="str">
        <f>Configurações!$A$28</f>
        <v>CAM 22</v>
      </c>
      <c r="D73" s="2" t="str">
        <f>Configurações!$B$28</f>
        <v>Reserva/Futura 09</v>
      </c>
      <c r="E73" s="2">
        <f>Configurações!$C$28</f>
        <v>0</v>
      </c>
      <c r="F73" s="2" t="s">
        <v>20</v>
      </c>
      <c r="G73" s="2" t="s">
        <v>20</v>
      </c>
      <c r="H73" s="2" t="s">
        <v>20</v>
      </c>
      <c r="I73" s="6"/>
      <c r="J73" s="6"/>
      <c r="K73" s="6"/>
    </row>
    <row r="74" spans="1:11" x14ac:dyDescent="0.2">
      <c r="A74" s="7">
        <f>DATE(Configurações!$B$3,12,3)</f>
        <v>46359</v>
      </c>
      <c r="B74" s="2" t="str">
        <f t="shared" si="1"/>
        <v>qui</v>
      </c>
      <c r="C74" s="2" t="str">
        <f>Configurações!$A$29</f>
        <v>CAM 23</v>
      </c>
      <c r="D74" s="2" t="str">
        <f>Configurações!$B$29</f>
        <v>Reserva/Futura 10</v>
      </c>
      <c r="E74" s="2">
        <f>Configurações!$C$29</f>
        <v>0</v>
      </c>
      <c r="F74" s="2" t="s">
        <v>20</v>
      </c>
      <c r="G74" s="2" t="s">
        <v>20</v>
      </c>
      <c r="H74" s="2" t="s">
        <v>20</v>
      </c>
      <c r="I74" s="6"/>
      <c r="J74" s="6"/>
      <c r="K74" s="6"/>
    </row>
    <row r="75" spans="1:11" x14ac:dyDescent="0.2">
      <c r="A75" s="7">
        <f>DATE(Configurações!$B$3,12,4)</f>
        <v>46360</v>
      </c>
      <c r="B75" s="2" t="str">
        <f t="shared" si="1"/>
        <v>sex</v>
      </c>
      <c r="C75" s="2" t="str">
        <f>Configurações!$A$7</f>
        <v>CAM 01</v>
      </c>
      <c r="D75" s="2" t="str">
        <f>Configurações!$B$7</f>
        <v>BARU ANDES</v>
      </c>
      <c r="E75" s="2">
        <f>Configurações!$C$7</f>
        <v>0</v>
      </c>
      <c r="F75" s="2" t="s">
        <v>20</v>
      </c>
      <c r="G75" s="2" t="s">
        <v>20</v>
      </c>
      <c r="H75" s="2" t="s">
        <v>20</v>
      </c>
      <c r="I75" s="6"/>
      <c r="J75" s="6"/>
      <c r="K75" s="6"/>
    </row>
    <row r="76" spans="1:11" x14ac:dyDescent="0.2">
      <c r="A76" s="7">
        <f>DATE(Configurações!$B$3,12,4)</f>
        <v>46360</v>
      </c>
      <c r="B76" s="2" t="str">
        <f t="shared" si="1"/>
        <v>sex</v>
      </c>
      <c r="C76" s="2" t="str">
        <f>Configurações!$A$8</f>
        <v>CAM 02</v>
      </c>
      <c r="D76" s="2" t="str">
        <f>Configurações!$B$8</f>
        <v>Câmera 02</v>
      </c>
      <c r="E76" s="2">
        <f>Configurações!$C$8</f>
        <v>0</v>
      </c>
      <c r="F76" s="2" t="s">
        <v>20</v>
      </c>
      <c r="G76" s="2" t="s">
        <v>20</v>
      </c>
      <c r="H76" s="2" t="s">
        <v>20</v>
      </c>
      <c r="I76" s="6"/>
      <c r="J76" s="6"/>
      <c r="K76" s="6"/>
    </row>
    <row r="77" spans="1:11" x14ac:dyDescent="0.2">
      <c r="A77" s="7">
        <f>DATE(Configurações!$B$3,12,4)</f>
        <v>46360</v>
      </c>
      <c r="B77" s="2" t="str">
        <f t="shared" si="1"/>
        <v>sex</v>
      </c>
      <c r="C77" s="2" t="str">
        <f>Configurações!$A$9</f>
        <v>CAM 03</v>
      </c>
      <c r="D77" s="2" t="str">
        <f>Configurações!$B$9</f>
        <v>Câmera 03</v>
      </c>
      <c r="E77" s="2">
        <f>Configurações!$C$9</f>
        <v>0</v>
      </c>
      <c r="F77" s="2" t="s">
        <v>20</v>
      </c>
      <c r="G77" s="2" t="s">
        <v>20</v>
      </c>
      <c r="H77" s="2" t="s">
        <v>20</v>
      </c>
      <c r="I77" s="6"/>
      <c r="J77" s="6"/>
      <c r="K77" s="6"/>
    </row>
    <row r="78" spans="1:11" x14ac:dyDescent="0.2">
      <c r="A78" s="7">
        <f>DATE(Configurações!$B$3,12,4)</f>
        <v>46360</v>
      </c>
      <c r="B78" s="2" t="str">
        <f t="shared" si="1"/>
        <v>sex</v>
      </c>
      <c r="C78" s="2" t="str">
        <f>Configurações!$A$10</f>
        <v>CAM 04</v>
      </c>
      <c r="D78" s="2" t="str">
        <f>Configurações!$B$10</f>
        <v>Câmera 04</v>
      </c>
      <c r="E78" s="2">
        <f>Configurações!$C$10</f>
        <v>0</v>
      </c>
      <c r="F78" s="2" t="s">
        <v>20</v>
      </c>
      <c r="G78" s="2" t="s">
        <v>20</v>
      </c>
      <c r="H78" s="2" t="s">
        <v>20</v>
      </c>
      <c r="I78" s="6"/>
      <c r="J78" s="6"/>
      <c r="K78" s="6"/>
    </row>
    <row r="79" spans="1:11" x14ac:dyDescent="0.2">
      <c r="A79" s="7">
        <f>DATE(Configurações!$B$3,12,4)</f>
        <v>46360</v>
      </c>
      <c r="B79" s="2" t="str">
        <f t="shared" si="1"/>
        <v>sex</v>
      </c>
      <c r="C79" s="2" t="str">
        <f>Configurações!$A$11</f>
        <v>CAM 05</v>
      </c>
      <c r="D79" s="2" t="str">
        <f>Configurações!$B$11</f>
        <v>Câmera 05</v>
      </c>
      <c r="E79" s="2">
        <f>Configurações!$C$11</f>
        <v>0</v>
      </c>
      <c r="F79" s="2" t="s">
        <v>20</v>
      </c>
      <c r="G79" s="2" t="s">
        <v>20</v>
      </c>
      <c r="H79" s="2" t="s">
        <v>20</v>
      </c>
      <c r="I79" s="6"/>
      <c r="J79" s="6"/>
      <c r="K79" s="6"/>
    </row>
    <row r="80" spans="1:11" x14ac:dyDescent="0.2">
      <c r="A80" s="7">
        <f>DATE(Configurações!$B$3,12,4)</f>
        <v>46360</v>
      </c>
      <c r="B80" s="2" t="str">
        <f t="shared" si="1"/>
        <v>sex</v>
      </c>
      <c r="C80" s="2" t="str">
        <f>Configurações!$A$12</f>
        <v>CAM 06</v>
      </c>
      <c r="D80" s="2" t="str">
        <f>Configurações!$B$12</f>
        <v>Câmera 06</v>
      </c>
      <c r="E80" s="2">
        <f>Configurações!$C$12</f>
        <v>0</v>
      </c>
      <c r="F80" s="2" t="s">
        <v>20</v>
      </c>
      <c r="G80" s="2" t="s">
        <v>20</v>
      </c>
      <c r="H80" s="2" t="s">
        <v>20</v>
      </c>
      <c r="I80" s="6"/>
      <c r="J80" s="6"/>
      <c r="K80" s="6"/>
    </row>
    <row r="81" spans="1:11" x14ac:dyDescent="0.2">
      <c r="A81" s="7">
        <f>DATE(Configurações!$B$3,12,4)</f>
        <v>46360</v>
      </c>
      <c r="B81" s="2" t="str">
        <f t="shared" si="1"/>
        <v>sex</v>
      </c>
      <c r="C81" s="2" t="str">
        <f>Configurações!$A$13</f>
        <v>CAM 07</v>
      </c>
      <c r="D81" s="2" t="str">
        <f>Configurações!$B$13</f>
        <v>Câmera 07</v>
      </c>
      <c r="E81" s="2">
        <f>Configurações!$C$13</f>
        <v>0</v>
      </c>
      <c r="F81" s="2" t="s">
        <v>20</v>
      </c>
      <c r="G81" s="2" t="s">
        <v>20</v>
      </c>
      <c r="H81" s="2" t="s">
        <v>20</v>
      </c>
      <c r="I81" s="6"/>
      <c r="J81" s="6"/>
      <c r="K81" s="6"/>
    </row>
    <row r="82" spans="1:11" x14ac:dyDescent="0.2">
      <c r="A82" s="7">
        <f>DATE(Configurações!$B$3,12,4)</f>
        <v>46360</v>
      </c>
      <c r="B82" s="2" t="str">
        <f t="shared" si="1"/>
        <v>sex</v>
      </c>
      <c r="C82" s="2" t="str">
        <f>Configurações!$A$14</f>
        <v>CAM 08</v>
      </c>
      <c r="D82" s="2" t="str">
        <f>Configurações!$B$14</f>
        <v>Câmera 08</v>
      </c>
      <c r="E82" s="2">
        <f>Configurações!$C$14</f>
        <v>0</v>
      </c>
      <c r="F82" s="2" t="s">
        <v>20</v>
      </c>
      <c r="G82" s="2" t="s">
        <v>20</v>
      </c>
      <c r="H82" s="2" t="s">
        <v>20</v>
      </c>
      <c r="I82" s="6"/>
      <c r="J82" s="6"/>
      <c r="K82" s="6"/>
    </row>
    <row r="83" spans="1:11" x14ac:dyDescent="0.2">
      <c r="A83" s="7">
        <f>DATE(Configurações!$B$3,12,4)</f>
        <v>46360</v>
      </c>
      <c r="B83" s="2" t="str">
        <f t="shared" si="1"/>
        <v>sex</v>
      </c>
      <c r="C83" s="2" t="str">
        <f>Configurações!$A$15</f>
        <v>CAM 09</v>
      </c>
      <c r="D83" s="2" t="str">
        <f>Configurações!$B$15</f>
        <v>Câmera 09</v>
      </c>
      <c r="E83" s="2">
        <f>Configurações!$C$15</f>
        <v>0</v>
      </c>
      <c r="F83" s="2" t="s">
        <v>20</v>
      </c>
      <c r="G83" s="2" t="s">
        <v>20</v>
      </c>
      <c r="H83" s="2" t="s">
        <v>20</v>
      </c>
      <c r="I83" s="6"/>
      <c r="J83" s="6"/>
      <c r="K83" s="6"/>
    </row>
    <row r="84" spans="1:11" x14ac:dyDescent="0.2">
      <c r="A84" s="7">
        <f>DATE(Configurações!$B$3,12,4)</f>
        <v>46360</v>
      </c>
      <c r="B84" s="2" t="str">
        <f t="shared" si="1"/>
        <v>sex</v>
      </c>
      <c r="C84" s="2" t="str">
        <f>Configurações!$A$16</f>
        <v>CAM 10</v>
      </c>
      <c r="D84" s="2" t="str">
        <f>Configurações!$B$16</f>
        <v>Câmera 10</v>
      </c>
      <c r="E84" s="2">
        <f>Configurações!$C$16</f>
        <v>0</v>
      </c>
      <c r="F84" s="2" t="s">
        <v>20</v>
      </c>
      <c r="G84" s="2" t="s">
        <v>20</v>
      </c>
      <c r="H84" s="2" t="s">
        <v>20</v>
      </c>
      <c r="I84" s="6"/>
      <c r="J84" s="6"/>
      <c r="K84" s="6"/>
    </row>
    <row r="85" spans="1:11" x14ac:dyDescent="0.2">
      <c r="A85" s="7">
        <f>DATE(Configurações!$B$3,12,4)</f>
        <v>46360</v>
      </c>
      <c r="B85" s="2" t="str">
        <f t="shared" si="1"/>
        <v>sex</v>
      </c>
      <c r="C85" s="2" t="str">
        <f>Configurações!$A$17</f>
        <v>CAM 11</v>
      </c>
      <c r="D85" s="2" t="str">
        <f>Configurações!$B$17</f>
        <v>Câmera 11</v>
      </c>
      <c r="E85" s="2">
        <f>Configurações!$C$17</f>
        <v>0</v>
      </c>
      <c r="F85" s="2" t="s">
        <v>20</v>
      </c>
      <c r="G85" s="2" t="s">
        <v>20</v>
      </c>
      <c r="H85" s="2" t="s">
        <v>20</v>
      </c>
      <c r="I85" s="6"/>
      <c r="J85" s="6"/>
      <c r="K85" s="6"/>
    </row>
    <row r="86" spans="1:11" x14ac:dyDescent="0.2">
      <c r="A86" s="7">
        <f>DATE(Configurações!$B$3,12,4)</f>
        <v>46360</v>
      </c>
      <c r="B86" s="2" t="str">
        <f t="shared" si="1"/>
        <v>sex</v>
      </c>
      <c r="C86" s="2" t="str">
        <f>Configurações!$A$18</f>
        <v>CAM 12</v>
      </c>
      <c r="D86" s="2" t="str">
        <f>Configurações!$B$18</f>
        <v>Câmera 12</v>
      </c>
      <c r="E86" s="2">
        <f>Configurações!$C$18</f>
        <v>0</v>
      </c>
      <c r="F86" s="2" t="s">
        <v>20</v>
      </c>
      <c r="G86" s="2" t="s">
        <v>20</v>
      </c>
      <c r="H86" s="2" t="s">
        <v>20</v>
      </c>
      <c r="I86" s="6"/>
      <c r="J86" s="6"/>
      <c r="K86" s="6"/>
    </row>
    <row r="87" spans="1:11" x14ac:dyDescent="0.2">
      <c r="A87" s="7">
        <f>DATE(Configurações!$B$3,12,4)</f>
        <v>46360</v>
      </c>
      <c r="B87" s="2" t="str">
        <f t="shared" si="1"/>
        <v>sex</v>
      </c>
      <c r="C87" s="2" t="str">
        <f>Configurações!$A$19</f>
        <v>CAM 13</v>
      </c>
      <c r="D87" s="2" t="str">
        <f>Configurações!$B$19</f>
        <v>Câmera 13</v>
      </c>
      <c r="E87" s="2">
        <f>Configurações!$C$19</f>
        <v>0</v>
      </c>
      <c r="F87" s="2" t="s">
        <v>20</v>
      </c>
      <c r="G87" s="2" t="s">
        <v>20</v>
      </c>
      <c r="H87" s="2" t="s">
        <v>20</v>
      </c>
      <c r="I87" s="6"/>
      <c r="J87" s="6"/>
      <c r="K87" s="6"/>
    </row>
    <row r="88" spans="1:11" x14ac:dyDescent="0.2">
      <c r="A88" s="7">
        <f>DATE(Configurações!$B$3,12,4)</f>
        <v>46360</v>
      </c>
      <c r="B88" s="2" t="str">
        <f t="shared" si="1"/>
        <v>sex</v>
      </c>
      <c r="C88" s="2" t="str">
        <f>Configurações!$A$20</f>
        <v>CAM 14</v>
      </c>
      <c r="D88" s="2" t="str">
        <f>Configurações!$B$20</f>
        <v>Reserva/Futura 01</v>
      </c>
      <c r="E88" s="2">
        <f>Configurações!$C$20</f>
        <v>0</v>
      </c>
      <c r="F88" s="2" t="s">
        <v>20</v>
      </c>
      <c r="G88" s="2" t="s">
        <v>20</v>
      </c>
      <c r="H88" s="2" t="s">
        <v>20</v>
      </c>
      <c r="I88" s="6"/>
      <c r="J88" s="6"/>
      <c r="K88" s="6"/>
    </row>
    <row r="89" spans="1:11" x14ac:dyDescent="0.2">
      <c r="A89" s="7">
        <f>DATE(Configurações!$B$3,12,4)</f>
        <v>46360</v>
      </c>
      <c r="B89" s="2" t="str">
        <f t="shared" si="1"/>
        <v>sex</v>
      </c>
      <c r="C89" s="2" t="str">
        <f>Configurações!$A$21</f>
        <v>CAM 15</v>
      </c>
      <c r="D89" s="2" t="str">
        <f>Configurações!$B$21</f>
        <v>Reserva/Futura 02</v>
      </c>
      <c r="E89" s="2">
        <f>Configurações!$C$21</f>
        <v>0</v>
      </c>
      <c r="F89" s="2" t="s">
        <v>20</v>
      </c>
      <c r="G89" s="2" t="s">
        <v>20</v>
      </c>
      <c r="H89" s="2" t="s">
        <v>20</v>
      </c>
      <c r="I89" s="6"/>
      <c r="J89" s="6"/>
      <c r="K89" s="6"/>
    </row>
    <row r="90" spans="1:11" x14ac:dyDescent="0.2">
      <c r="A90" s="7">
        <f>DATE(Configurações!$B$3,12,4)</f>
        <v>46360</v>
      </c>
      <c r="B90" s="2" t="str">
        <f t="shared" si="1"/>
        <v>sex</v>
      </c>
      <c r="C90" s="2" t="str">
        <f>Configurações!$A$22</f>
        <v>CAM 16</v>
      </c>
      <c r="D90" s="2" t="str">
        <f>Configurações!$B$22</f>
        <v>Reserva/Futura 03</v>
      </c>
      <c r="E90" s="2">
        <f>Configurações!$C$22</f>
        <v>0</v>
      </c>
      <c r="F90" s="2" t="s">
        <v>20</v>
      </c>
      <c r="G90" s="2" t="s">
        <v>20</v>
      </c>
      <c r="H90" s="2" t="s">
        <v>20</v>
      </c>
      <c r="I90" s="6"/>
      <c r="J90" s="6"/>
      <c r="K90" s="6"/>
    </row>
    <row r="91" spans="1:11" x14ac:dyDescent="0.2">
      <c r="A91" s="7">
        <f>DATE(Configurações!$B$3,12,4)</f>
        <v>46360</v>
      </c>
      <c r="B91" s="2" t="str">
        <f t="shared" si="1"/>
        <v>sex</v>
      </c>
      <c r="C91" s="2" t="str">
        <f>Configurações!$A$23</f>
        <v>CAM 17</v>
      </c>
      <c r="D91" s="2" t="str">
        <f>Configurações!$B$23</f>
        <v>Reserva/Futura 04</v>
      </c>
      <c r="E91" s="2">
        <f>Configurações!$C$23</f>
        <v>0</v>
      </c>
      <c r="F91" s="2" t="s">
        <v>20</v>
      </c>
      <c r="G91" s="2" t="s">
        <v>20</v>
      </c>
      <c r="H91" s="2" t="s">
        <v>20</v>
      </c>
      <c r="I91" s="6"/>
      <c r="J91" s="6"/>
      <c r="K91" s="6"/>
    </row>
    <row r="92" spans="1:11" x14ac:dyDescent="0.2">
      <c r="A92" s="7">
        <f>DATE(Configurações!$B$3,12,4)</f>
        <v>46360</v>
      </c>
      <c r="B92" s="2" t="str">
        <f t="shared" si="1"/>
        <v>sex</v>
      </c>
      <c r="C92" s="2" t="str">
        <f>Configurações!$A$24</f>
        <v>CAM 18</v>
      </c>
      <c r="D92" s="2" t="str">
        <f>Configurações!$B$24</f>
        <v>Reserva/Futura 05</v>
      </c>
      <c r="E92" s="2">
        <f>Configurações!$C$24</f>
        <v>0</v>
      </c>
      <c r="F92" s="2" t="s">
        <v>20</v>
      </c>
      <c r="G92" s="2" t="s">
        <v>20</v>
      </c>
      <c r="H92" s="2" t="s">
        <v>20</v>
      </c>
      <c r="I92" s="6"/>
      <c r="J92" s="6"/>
      <c r="K92" s="6"/>
    </row>
    <row r="93" spans="1:11" x14ac:dyDescent="0.2">
      <c r="A93" s="7">
        <f>DATE(Configurações!$B$3,12,4)</f>
        <v>46360</v>
      </c>
      <c r="B93" s="2" t="str">
        <f t="shared" si="1"/>
        <v>sex</v>
      </c>
      <c r="C93" s="2" t="str">
        <f>Configurações!$A$25</f>
        <v>CAM 19</v>
      </c>
      <c r="D93" s="2" t="str">
        <f>Configurações!$B$25</f>
        <v>Reserva/Futura 06</v>
      </c>
      <c r="E93" s="2">
        <f>Configurações!$C$25</f>
        <v>0</v>
      </c>
      <c r="F93" s="2" t="s">
        <v>20</v>
      </c>
      <c r="G93" s="2" t="s">
        <v>20</v>
      </c>
      <c r="H93" s="2" t="s">
        <v>20</v>
      </c>
      <c r="I93" s="6"/>
      <c r="J93" s="6"/>
      <c r="K93" s="6"/>
    </row>
    <row r="94" spans="1:11" x14ac:dyDescent="0.2">
      <c r="A94" s="7">
        <f>DATE(Configurações!$B$3,12,4)</f>
        <v>46360</v>
      </c>
      <c r="B94" s="2" t="str">
        <f t="shared" si="1"/>
        <v>sex</v>
      </c>
      <c r="C94" s="2" t="str">
        <f>Configurações!$A$26</f>
        <v>CAM 20</v>
      </c>
      <c r="D94" s="2" t="str">
        <f>Configurações!$B$26</f>
        <v>Reserva/Futura 07</v>
      </c>
      <c r="E94" s="2">
        <f>Configurações!$C$26</f>
        <v>0</v>
      </c>
      <c r="F94" s="2" t="s">
        <v>20</v>
      </c>
      <c r="G94" s="2" t="s">
        <v>20</v>
      </c>
      <c r="H94" s="2" t="s">
        <v>20</v>
      </c>
      <c r="I94" s="6"/>
      <c r="J94" s="6"/>
      <c r="K94" s="6"/>
    </row>
    <row r="95" spans="1:11" x14ac:dyDescent="0.2">
      <c r="A95" s="7">
        <f>DATE(Configurações!$B$3,12,4)</f>
        <v>46360</v>
      </c>
      <c r="B95" s="2" t="str">
        <f t="shared" si="1"/>
        <v>sex</v>
      </c>
      <c r="C95" s="2" t="str">
        <f>Configurações!$A$27</f>
        <v>CAM 21</v>
      </c>
      <c r="D95" s="2" t="str">
        <f>Configurações!$B$27</f>
        <v>Reserva/Futura 08</v>
      </c>
      <c r="E95" s="2">
        <f>Configurações!$C$27</f>
        <v>0</v>
      </c>
      <c r="F95" s="2" t="s">
        <v>20</v>
      </c>
      <c r="G95" s="2" t="s">
        <v>20</v>
      </c>
      <c r="H95" s="2" t="s">
        <v>20</v>
      </c>
      <c r="I95" s="6"/>
      <c r="J95" s="6"/>
      <c r="K95" s="6"/>
    </row>
    <row r="96" spans="1:11" x14ac:dyDescent="0.2">
      <c r="A96" s="7">
        <f>DATE(Configurações!$B$3,12,4)</f>
        <v>46360</v>
      </c>
      <c r="B96" s="2" t="str">
        <f t="shared" si="1"/>
        <v>sex</v>
      </c>
      <c r="C96" s="2" t="str">
        <f>Configurações!$A$28</f>
        <v>CAM 22</v>
      </c>
      <c r="D96" s="2" t="str">
        <f>Configurações!$B$28</f>
        <v>Reserva/Futura 09</v>
      </c>
      <c r="E96" s="2">
        <f>Configurações!$C$28</f>
        <v>0</v>
      </c>
      <c r="F96" s="2" t="s">
        <v>20</v>
      </c>
      <c r="G96" s="2" t="s">
        <v>20</v>
      </c>
      <c r="H96" s="2" t="s">
        <v>20</v>
      </c>
      <c r="I96" s="6"/>
      <c r="J96" s="6"/>
      <c r="K96" s="6"/>
    </row>
    <row r="97" spans="1:11" x14ac:dyDescent="0.2">
      <c r="A97" s="7">
        <f>DATE(Configurações!$B$3,12,4)</f>
        <v>46360</v>
      </c>
      <c r="B97" s="2" t="str">
        <f t="shared" si="1"/>
        <v>sex</v>
      </c>
      <c r="C97" s="2" t="str">
        <f>Configurações!$A$29</f>
        <v>CAM 23</v>
      </c>
      <c r="D97" s="2" t="str">
        <f>Configurações!$B$29</f>
        <v>Reserva/Futura 10</v>
      </c>
      <c r="E97" s="2">
        <f>Configurações!$C$29</f>
        <v>0</v>
      </c>
      <c r="F97" s="2" t="s">
        <v>20</v>
      </c>
      <c r="G97" s="2" t="s">
        <v>20</v>
      </c>
      <c r="H97" s="2" t="s">
        <v>20</v>
      </c>
      <c r="I97" s="6"/>
      <c r="J97" s="6"/>
      <c r="K97" s="6"/>
    </row>
    <row r="98" spans="1:11" x14ac:dyDescent="0.2">
      <c r="A98" s="7">
        <f>DATE(Configurações!$B$3,12,5)</f>
        <v>46361</v>
      </c>
      <c r="B98" s="2" t="str">
        <f t="shared" si="1"/>
        <v>sáb</v>
      </c>
      <c r="C98" s="2" t="str">
        <f>Configurações!$A$7</f>
        <v>CAM 01</v>
      </c>
      <c r="D98" s="2" t="str">
        <f>Configurações!$B$7</f>
        <v>BARU ANDES</v>
      </c>
      <c r="E98" s="2">
        <f>Configurações!$C$7</f>
        <v>0</v>
      </c>
      <c r="F98" s="2" t="s">
        <v>20</v>
      </c>
      <c r="G98" s="2" t="s">
        <v>20</v>
      </c>
      <c r="H98" s="2" t="s">
        <v>20</v>
      </c>
      <c r="I98" s="6"/>
      <c r="J98" s="6"/>
      <c r="K98" s="6"/>
    </row>
    <row r="99" spans="1:11" x14ac:dyDescent="0.2">
      <c r="A99" s="7">
        <f>DATE(Configurações!$B$3,12,5)</f>
        <v>46361</v>
      </c>
      <c r="B99" s="2" t="str">
        <f t="shared" si="1"/>
        <v>sáb</v>
      </c>
      <c r="C99" s="2" t="str">
        <f>Configurações!$A$8</f>
        <v>CAM 02</v>
      </c>
      <c r="D99" s="2" t="str">
        <f>Configurações!$B$8</f>
        <v>Câmera 02</v>
      </c>
      <c r="E99" s="2">
        <f>Configurações!$C$8</f>
        <v>0</v>
      </c>
      <c r="F99" s="2" t="s">
        <v>20</v>
      </c>
      <c r="G99" s="2" t="s">
        <v>20</v>
      </c>
      <c r="H99" s="2" t="s">
        <v>20</v>
      </c>
      <c r="I99" s="6"/>
      <c r="J99" s="6"/>
      <c r="K99" s="6"/>
    </row>
    <row r="100" spans="1:11" x14ac:dyDescent="0.2">
      <c r="A100" s="7">
        <f>DATE(Configurações!$B$3,12,5)</f>
        <v>46361</v>
      </c>
      <c r="B100" s="2" t="str">
        <f t="shared" si="1"/>
        <v>sáb</v>
      </c>
      <c r="C100" s="2" t="str">
        <f>Configurações!$A$9</f>
        <v>CAM 03</v>
      </c>
      <c r="D100" s="2" t="str">
        <f>Configurações!$B$9</f>
        <v>Câmera 03</v>
      </c>
      <c r="E100" s="2">
        <f>Configurações!$C$9</f>
        <v>0</v>
      </c>
      <c r="F100" s="2" t="s">
        <v>20</v>
      </c>
      <c r="G100" s="2" t="s">
        <v>20</v>
      </c>
      <c r="H100" s="2" t="s">
        <v>20</v>
      </c>
      <c r="I100" s="6"/>
      <c r="J100" s="6"/>
      <c r="K100" s="6"/>
    </row>
    <row r="101" spans="1:11" x14ac:dyDescent="0.2">
      <c r="A101" s="7">
        <f>DATE(Configurações!$B$3,12,5)</f>
        <v>46361</v>
      </c>
      <c r="B101" s="2" t="str">
        <f t="shared" si="1"/>
        <v>sáb</v>
      </c>
      <c r="C101" s="2" t="str">
        <f>Configurações!$A$10</f>
        <v>CAM 04</v>
      </c>
      <c r="D101" s="2" t="str">
        <f>Configurações!$B$10</f>
        <v>Câmera 04</v>
      </c>
      <c r="E101" s="2">
        <f>Configurações!$C$10</f>
        <v>0</v>
      </c>
      <c r="F101" s="2" t="s">
        <v>20</v>
      </c>
      <c r="G101" s="2" t="s">
        <v>20</v>
      </c>
      <c r="H101" s="2" t="s">
        <v>20</v>
      </c>
      <c r="I101" s="6"/>
      <c r="J101" s="6"/>
      <c r="K101" s="6"/>
    </row>
    <row r="102" spans="1:11" x14ac:dyDescent="0.2">
      <c r="A102" s="7">
        <f>DATE(Configurações!$B$3,12,5)</f>
        <v>46361</v>
      </c>
      <c r="B102" s="2" t="str">
        <f t="shared" si="1"/>
        <v>sáb</v>
      </c>
      <c r="C102" s="2" t="str">
        <f>Configurações!$A$11</f>
        <v>CAM 05</v>
      </c>
      <c r="D102" s="2" t="str">
        <f>Configurações!$B$11</f>
        <v>Câmera 05</v>
      </c>
      <c r="E102" s="2">
        <f>Configurações!$C$11</f>
        <v>0</v>
      </c>
      <c r="F102" s="2" t="s">
        <v>20</v>
      </c>
      <c r="G102" s="2" t="s">
        <v>20</v>
      </c>
      <c r="H102" s="2" t="s">
        <v>20</v>
      </c>
      <c r="I102" s="6"/>
      <c r="J102" s="6"/>
      <c r="K102" s="6"/>
    </row>
    <row r="103" spans="1:11" x14ac:dyDescent="0.2">
      <c r="A103" s="7">
        <f>DATE(Configurações!$B$3,12,5)</f>
        <v>46361</v>
      </c>
      <c r="B103" s="2" t="str">
        <f t="shared" si="1"/>
        <v>sáb</v>
      </c>
      <c r="C103" s="2" t="str">
        <f>Configurações!$A$12</f>
        <v>CAM 06</v>
      </c>
      <c r="D103" s="2" t="str">
        <f>Configurações!$B$12</f>
        <v>Câmera 06</v>
      </c>
      <c r="E103" s="2">
        <f>Configurações!$C$12</f>
        <v>0</v>
      </c>
      <c r="F103" s="2" t="s">
        <v>20</v>
      </c>
      <c r="G103" s="2" t="s">
        <v>20</v>
      </c>
      <c r="H103" s="2" t="s">
        <v>20</v>
      </c>
      <c r="I103" s="6"/>
      <c r="J103" s="6"/>
      <c r="K103" s="6"/>
    </row>
    <row r="104" spans="1:11" x14ac:dyDescent="0.2">
      <c r="A104" s="7">
        <f>DATE(Configurações!$B$3,12,5)</f>
        <v>46361</v>
      </c>
      <c r="B104" s="2" t="str">
        <f t="shared" si="1"/>
        <v>sáb</v>
      </c>
      <c r="C104" s="2" t="str">
        <f>Configurações!$A$13</f>
        <v>CAM 07</v>
      </c>
      <c r="D104" s="2" t="str">
        <f>Configurações!$B$13</f>
        <v>Câmera 07</v>
      </c>
      <c r="E104" s="2">
        <f>Configurações!$C$13</f>
        <v>0</v>
      </c>
      <c r="F104" s="2" t="s">
        <v>20</v>
      </c>
      <c r="G104" s="2" t="s">
        <v>20</v>
      </c>
      <c r="H104" s="2" t="s">
        <v>20</v>
      </c>
      <c r="I104" s="6"/>
      <c r="J104" s="6"/>
      <c r="K104" s="6"/>
    </row>
    <row r="105" spans="1:11" x14ac:dyDescent="0.2">
      <c r="A105" s="7">
        <f>DATE(Configurações!$B$3,12,5)</f>
        <v>46361</v>
      </c>
      <c r="B105" s="2" t="str">
        <f t="shared" si="1"/>
        <v>sáb</v>
      </c>
      <c r="C105" s="2" t="str">
        <f>Configurações!$A$14</f>
        <v>CAM 08</v>
      </c>
      <c r="D105" s="2" t="str">
        <f>Configurações!$B$14</f>
        <v>Câmera 08</v>
      </c>
      <c r="E105" s="2">
        <f>Configurações!$C$14</f>
        <v>0</v>
      </c>
      <c r="F105" s="2" t="s">
        <v>20</v>
      </c>
      <c r="G105" s="2" t="s">
        <v>20</v>
      </c>
      <c r="H105" s="2" t="s">
        <v>20</v>
      </c>
      <c r="I105" s="6"/>
      <c r="J105" s="6"/>
      <c r="K105" s="6"/>
    </row>
    <row r="106" spans="1:11" x14ac:dyDescent="0.2">
      <c r="A106" s="7">
        <f>DATE(Configurações!$B$3,12,5)</f>
        <v>46361</v>
      </c>
      <c r="B106" s="2" t="str">
        <f t="shared" si="1"/>
        <v>sáb</v>
      </c>
      <c r="C106" s="2" t="str">
        <f>Configurações!$A$15</f>
        <v>CAM 09</v>
      </c>
      <c r="D106" s="2" t="str">
        <f>Configurações!$B$15</f>
        <v>Câmera 09</v>
      </c>
      <c r="E106" s="2">
        <f>Configurações!$C$15</f>
        <v>0</v>
      </c>
      <c r="F106" s="2" t="s">
        <v>20</v>
      </c>
      <c r="G106" s="2" t="s">
        <v>20</v>
      </c>
      <c r="H106" s="2" t="s">
        <v>20</v>
      </c>
      <c r="I106" s="6"/>
      <c r="J106" s="6"/>
      <c r="K106" s="6"/>
    </row>
    <row r="107" spans="1:11" x14ac:dyDescent="0.2">
      <c r="A107" s="7">
        <f>DATE(Configurações!$B$3,12,5)</f>
        <v>46361</v>
      </c>
      <c r="B107" s="2" t="str">
        <f t="shared" si="1"/>
        <v>sáb</v>
      </c>
      <c r="C107" s="2" t="str">
        <f>Configurações!$A$16</f>
        <v>CAM 10</v>
      </c>
      <c r="D107" s="2" t="str">
        <f>Configurações!$B$16</f>
        <v>Câmera 10</v>
      </c>
      <c r="E107" s="2">
        <f>Configurações!$C$16</f>
        <v>0</v>
      </c>
      <c r="F107" s="2" t="s">
        <v>20</v>
      </c>
      <c r="G107" s="2" t="s">
        <v>20</v>
      </c>
      <c r="H107" s="2" t="s">
        <v>20</v>
      </c>
      <c r="I107" s="6"/>
      <c r="J107" s="6"/>
      <c r="K107" s="6"/>
    </row>
    <row r="108" spans="1:11" x14ac:dyDescent="0.2">
      <c r="A108" s="7">
        <f>DATE(Configurações!$B$3,12,5)</f>
        <v>46361</v>
      </c>
      <c r="B108" s="2" t="str">
        <f t="shared" si="1"/>
        <v>sáb</v>
      </c>
      <c r="C108" s="2" t="str">
        <f>Configurações!$A$17</f>
        <v>CAM 11</v>
      </c>
      <c r="D108" s="2" t="str">
        <f>Configurações!$B$17</f>
        <v>Câmera 11</v>
      </c>
      <c r="E108" s="2">
        <f>Configurações!$C$17</f>
        <v>0</v>
      </c>
      <c r="F108" s="2" t="s">
        <v>20</v>
      </c>
      <c r="G108" s="2" t="s">
        <v>20</v>
      </c>
      <c r="H108" s="2" t="s">
        <v>20</v>
      </c>
      <c r="I108" s="6"/>
      <c r="J108" s="6"/>
      <c r="K108" s="6"/>
    </row>
    <row r="109" spans="1:11" x14ac:dyDescent="0.2">
      <c r="A109" s="7">
        <f>DATE(Configurações!$B$3,12,5)</f>
        <v>46361</v>
      </c>
      <c r="B109" s="2" t="str">
        <f t="shared" si="1"/>
        <v>sáb</v>
      </c>
      <c r="C109" s="2" t="str">
        <f>Configurações!$A$18</f>
        <v>CAM 12</v>
      </c>
      <c r="D109" s="2" t="str">
        <f>Configurações!$B$18</f>
        <v>Câmera 12</v>
      </c>
      <c r="E109" s="2">
        <f>Configurações!$C$18</f>
        <v>0</v>
      </c>
      <c r="F109" s="2" t="s">
        <v>20</v>
      </c>
      <c r="G109" s="2" t="s">
        <v>20</v>
      </c>
      <c r="H109" s="2" t="s">
        <v>20</v>
      </c>
      <c r="I109" s="6"/>
      <c r="J109" s="6"/>
      <c r="K109" s="6"/>
    </row>
    <row r="110" spans="1:11" x14ac:dyDescent="0.2">
      <c r="A110" s="7">
        <f>DATE(Configurações!$B$3,12,5)</f>
        <v>46361</v>
      </c>
      <c r="B110" s="2" t="str">
        <f t="shared" si="1"/>
        <v>sáb</v>
      </c>
      <c r="C110" s="2" t="str">
        <f>Configurações!$A$19</f>
        <v>CAM 13</v>
      </c>
      <c r="D110" s="2" t="str">
        <f>Configurações!$B$19</f>
        <v>Câmera 13</v>
      </c>
      <c r="E110" s="2">
        <f>Configurações!$C$19</f>
        <v>0</v>
      </c>
      <c r="F110" s="2" t="s">
        <v>20</v>
      </c>
      <c r="G110" s="2" t="s">
        <v>20</v>
      </c>
      <c r="H110" s="2" t="s">
        <v>20</v>
      </c>
      <c r="I110" s="6"/>
      <c r="J110" s="6"/>
      <c r="K110" s="6"/>
    </row>
    <row r="111" spans="1:11" x14ac:dyDescent="0.2">
      <c r="A111" s="7">
        <f>DATE(Configurações!$B$3,12,5)</f>
        <v>46361</v>
      </c>
      <c r="B111" s="2" t="str">
        <f t="shared" si="1"/>
        <v>sáb</v>
      </c>
      <c r="C111" s="2" t="str">
        <f>Configurações!$A$20</f>
        <v>CAM 14</v>
      </c>
      <c r="D111" s="2" t="str">
        <f>Configurações!$B$20</f>
        <v>Reserva/Futura 01</v>
      </c>
      <c r="E111" s="2">
        <f>Configurações!$C$20</f>
        <v>0</v>
      </c>
      <c r="F111" s="2" t="s">
        <v>20</v>
      </c>
      <c r="G111" s="2" t="s">
        <v>20</v>
      </c>
      <c r="H111" s="2" t="s">
        <v>20</v>
      </c>
      <c r="I111" s="6"/>
      <c r="J111" s="6"/>
      <c r="K111" s="6"/>
    </row>
    <row r="112" spans="1:11" x14ac:dyDescent="0.2">
      <c r="A112" s="7">
        <f>DATE(Configurações!$B$3,12,5)</f>
        <v>46361</v>
      </c>
      <c r="B112" s="2" t="str">
        <f t="shared" si="1"/>
        <v>sáb</v>
      </c>
      <c r="C112" s="2" t="str">
        <f>Configurações!$A$21</f>
        <v>CAM 15</v>
      </c>
      <c r="D112" s="2" t="str">
        <f>Configurações!$B$21</f>
        <v>Reserva/Futura 02</v>
      </c>
      <c r="E112" s="2">
        <f>Configurações!$C$21</f>
        <v>0</v>
      </c>
      <c r="F112" s="2" t="s">
        <v>20</v>
      </c>
      <c r="G112" s="2" t="s">
        <v>20</v>
      </c>
      <c r="H112" s="2" t="s">
        <v>20</v>
      </c>
      <c r="I112" s="6"/>
      <c r="J112" s="6"/>
      <c r="K112" s="6"/>
    </row>
    <row r="113" spans="1:11" x14ac:dyDescent="0.2">
      <c r="A113" s="7">
        <f>DATE(Configurações!$B$3,12,5)</f>
        <v>46361</v>
      </c>
      <c r="B113" s="2" t="str">
        <f t="shared" si="1"/>
        <v>sáb</v>
      </c>
      <c r="C113" s="2" t="str">
        <f>Configurações!$A$22</f>
        <v>CAM 16</v>
      </c>
      <c r="D113" s="2" t="str">
        <f>Configurações!$B$22</f>
        <v>Reserva/Futura 03</v>
      </c>
      <c r="E113" s="2">
        <f>Configurações!$C$22</f>
        <v>0</v>
      </c>
      <c r="F113" s="2" t="s">
        <v>20</v>
      </c>
      <c r="G113" s="2" t="s">
        <v>20</v>
      </c>
      <c r="H113" s="2" t="s">
        <v>20</v>
      </c>
      <c r="I113" s="6"/>
      <c r="J113" s="6"/>
      <c r="K113" s="6"/>
    </row>
    <row r="114" spans="1:11" x14ac:dyDescent="0.2">
      <c r="A114" s="7">
        <f>DATE(Configurações!$B$3,12,5)</f>
        <v>46361</v>
      </c>
      <c r="B114" s="2" t="str">
        <f t="shared" si="1"/>
        <v>sáb</v>
      </c>
      <c r="C114" s="2" t="str">
        <f>Configurações!$A$23</f>
        <v>CAM 17</v>
      </c>
      <c r="D114" s="2" t="str">
        <f>Configurações!$B$23</f>
        <v>Reserva/Futura 04</v>
      </c>
      <c r="E114" s="2">
        <f>Configurações!$C$23</f>
        <v>0</v>
      </c>
      <c r="F114" s="2" t="s">
        <v>20</v>
      </c>
      <c r="G114" s="2" t="s">
        <v>20</v>
      </c>
      <c r="H114" s="2" t="s">
        <v>20</v>
      </c>
      <c r="I114" s="6"/>
      <c r="J114" s="6"/>
      <c r="K114" s="6"/>
    </row>
    <row r="115" spans="1:11" x14ac:dyDescent="0.2">
      <c r="A115" s="7">
        <f>DATE(Configurações!$B$3,12,5)</f>
        <v>46361</v>
      </c>
      <c r="B115" s="2" t="str">
        <f t="shared" si="1"/>
        <v>sáb</v>
      </c>
      <c r="C115" s="2" t="str">
        <f>Configurações!$A$24</f>
        <v>CAM 18</v>
      </c>
      <c r="D115" s="2" t="str">
        <f>Configurações!$B$24</f>
        <v>Reserva/Futura 05</v>
      </c>
      <c r="E115" s="2">
        <f>Configurações!$C$24</f>
        <v>0</v>
      </c>
      <c r="F115" s="2" t="s">
        <v>20</v>
      </c>
      <c r="G115" s="2" t="s">
        <v>20</v>
      </c>
      <c r="H115" s="2" t="s">
        <v>20</v>
      </c>
      <c r="I115" s="6"/>
      <c r="J115" s="6"/>
      <c r="K115" s="6"/>
    </row>
    <row r="116" spans="1:11" x14ac:dyDescent="0.2">
      <c r="A116" s="7">
        <f>DATE(Configurações!$B$3,12,5)</f>
        <v>46361</v>
      </c>
      <c r="B116" s="2" t="str">
        <f t="shared" si="1"/>
        <v>sáb</v>
      </c>
      <c r="C116" s="2" t="str">
        <f>Configurações!$A$25</f>
        <v>CAM 19</v>
      </c>
      <c r="D116" s="2" t="str">
        <f>Configurações!$B$25</f>
        <v>Reserva/Futura 06</v>
      </c>
      <c r="E116" s="2">
        <f>Configurações!$C$25</f>
        <v>0</v>
      </c>
      <c r="F116" s="2" t="s">
        <v>20</v>
      </c>
      <c r="G116" s="2" t="s">
        <v>20</v>
      </c>
      <c r="H116" s="2" t="s">
        <v>20</v>
      </c>
      <c r="I116" s="6"/>
      <c r="J116" s="6"/>
      <c r="K116" s="6"/>
    </row>
    <row r="117" spans="1:11" x14ac:dyDescent="0.2">
      <c r="A117" s="7">
        <f>DATE(Configurações!$B$3,12,5)</f>
        <v>46361</v>
      </c>
      <c r="B117" s="2" t="str">
        <f t="shared" si="1"/>
        <v>sáb</v>
      </c>
      <c r="C117" s="2" t="str">
        <f>Configurações!$A$26</f>
        <v>CAM 20</v>
      </c>
      <c r="D117" s="2" t="str">
        <f>Configurações!$B$26</f>
        <v>Reserva/Futura 07</v>
      </c>
      <c r="E117" s="2">
        <f>Configurações!$C$26</f>
        <v>0</v>
      </c>
      <c r="F117" s="2" t="s">
        <v>20</v>
      </c>
      <c r="G117" s="2" t="s">
        <v>20</v>
      </c>
      <c r="H117" s="2" t="s">
        <v>20</v>
      </c>
      <c r="I117" s="6"/>
      <c r="J117" s="6"/>
      <c r="K117" s="6"/>
    </row>
    <row r="118" spans="1:11" x14ac:dyDescent="0.2">
      <c r="A118" s="7">
        <f>DATE(Configurações!$B$3,12,5)</f>
        <v>46361</v>
      </c>
      <c r="B118" s="2" t="str">
        <f t="shared" si="1"/>
        <v>sáb</v>
      </c>
      <c r="C118" s="2" t="str">
        <f>Configurações!$A$27</f>
        <v>CAM 21</v>
      </c>
      <c r="D118" s="2" t="str">
        <f>Configurações!$B$27</f>
        <v>Reserva/Futura 08</v>
      </c>
      <c r="E118" s="2">
        <f>Configurações!$C$27</f>
        <v>0</v>
      </c>
      <c r="F118" s="2" t="s">
        <v>20</v>
      </c>
      <c r="G118" s="2" t="s">
        <v>20</v>
      </c>
      <c r="H118" s="2" t="s">
        <v>20</v>
      </c>
      <c r="I118" s="6"/>
      <c r="J118" s="6"/>
      <c r="K118" s="6"/>
    </row>
    <row r="119" spans="1:11" x14ac:dyDescent="0.2">
      <c r="A119" s="7">
        <f>DATE(Configurações!$B$3,12,5)</f>
        <v>46361</v>
      </c>
      <c r="B119" s="2" t="str">
        <f t="shared" si="1"/>
        <v>sáb</v>
      </c>
      <c r="C119" s="2" t="str">
        <f>Configurações!$A$28</f>
        <v>CAM 22</v>
      </c>
      <c r="D119" s="2" t="str">
        <f>Configurações!$B$28</f>
        <v>Reserva/Futura 09</v>
      </c>
      <c r="E119" s="2">
        <f>Configurações!$C$28</f>
        <v>0</v>
      </c>
      <c r="F119" s="2" t="s">
        <v>20</v>
      </c>
      <c r="G119" s="2" t="s">
        <v>20</v>
      </c>
      <c r="H119" s="2" t="s">
        <v>20</v>
      </c>
      <c r="I119" s="6"/>
      <c r="J119" s="6"/>
      <c r="K119" s="6"/>
    </row>
    <row r="120" spans="1:11" x14ac:dyDescent="0.2">
      <c r="A120" s="7">
        <f>DATE(Configurações!$B$3,12,5)</f>
        <v>46361</v>
      </c>
      <c r="B120" s="2" t="str">
        <f t="shared" si="1"/>
        <v>sáb</v>
      </c>
      <c r="C120" s="2" t="str">
        <f>Configurações!$A$29</f>
        <v>CAM 23</v>
      </c>
      <c r="D120" s="2" t="str">
        <f>Configurações!$B$29</f>
        <v>Reserva/Futura 10</v>
      </c>
      <c r="E120" s="2">
        <f>Configurações!$C$29</f>
        <v>0</v>
      </c>
      <c r="F120" s="2" t="s">
        <v>20</v>
      </c>
      <c r="G120" s="2" t="s">
        <v>20</v>
      </c>
      <c r="H120" s="2" t="s">
        <v>20</v>
      </c>
      <c r="I120" s="6"/>
      <c r="J120" s="6"/>
      <c r="K120" s="6"/>
    </row>
    <row r="121" spans="1:11" x14ac:dyDescent="0.2">
      <c r="A121" s="7">
        <f>DATE(Configurações!$B$3,12,6)</f>
        <v>46362</v>
      </c>
      <c r="B121" s="2" t="str">
        <f t="shared" si="1"/>
        <v>dom</v>
      </c>
      <c r="C121" s="2" t="str">
        <f>Configurações!$A$7</f>
        <v>CAM 01</v>
      </c>
      <c r="D121" s="2" t="str">
        <f>Configurações!$B$7</f>
        <v>BARU ANDES</v>
      </c>
      <c r="E121" s="2">
        <f>Configurações!$C$7</f>
        <v>0</v>
      </c>
      <c r="F121" s="2" t="s">
        <v>20</v>
      </c>
      <c r="G121" s="2" t="s">
        <v>20</v>
      </c>
      <c r="H121" s="2" t="s">
        <v>20</v>
      </c>
      <c r="I121" s="6"/>
      <c r="J121" s="6"/>
      <c r="K121" s="6"/>
    </row>
    <row r="122" spans="1:11" x14ac:dyDescent="0.2">
      <c r="A122" s="7">
        <f>DATE(Configurações!$B$3,12,6)</f>
        <v>46362</v>
      </c>
      <c r="B122" s="2" t="str">
        <f t="shared" si="1"/>
        <v>dom</v>
      </c>
      <c r="C122" s="2" t="str">
        <f>Configurações!$A$8</f>
        <v>CAM 02</v>
      </c>
      <c r="D122" s="2" t="str">
        <f>Configurações!$B$8</f>
        <v>Câmera 02</v>
      </c>
      <c r="E122" s="2">
        <f>Configurações!$C$8</f>
        <v>0</v>
      </c>
      <c r="F122" s="2" t="s">
        <v>20</v>
      </c>
      <c r="G122" s="2" t="s">
        <v>20</v>
      </c>
      <c r="H122" s="2" t="s">
        <v>20</v>
      </c>
      <c r="I122" s="6"/>
      <c r="J122" s="6"/>
      <c r="K122" s="6"/>
    </row>
    <row r="123" spans="1:11" x14ac:dyDescent="0.2">
      <c r="A123" s="7">
        <f>DATE(Configurações!$B$3,12,6)</f>
        <v>46362</v>
      </c>
      <c r="B123" s="2" t="str">
        <f t="shared" si="1"/>
        <v>dom</v>
      </c>
      <c r="C123" s="2" t="str">
        <f>Configurações!$A$9</f>
        <v>CAM 03</v>
      </c>
      <c r="D123" s="2" t="str">
        <f>Configurações!$B$9</f>
        <v>Câmera 03</v>
      </c>
      <c r="E123" s="2">
        <f>Configurações!$C$9</f>
        <v>0</v>
      </c>
      <c r="F123" s="2" t="s">
        <v>20</v>
      </c>
      <c r="G123" s="2" t="s">
        <v>20</v>
      </c>
      <c r="H123" s="2" t="s">
        <v>20</v>
      </c>
      <c r="I123" s="6"/>
      <c r="J123" s="6"/>
      <c r="K123" s="6"/>
    </row>
    <row r="124" spans="1:11" x14ac:dyDescent="0.2">
      <c r="A124" s="7">
        <f>DATE(Configurações!$B$3,12,6)</f>
        <v>46362</v>
      </c>
      <c r="B124" s="2" t="str">
        <f t="shared" si="1"/>
        <v>dom</v>
      </c>
      <c r="C124" s="2" t="str">
        <f>Configurações!$A$10</f>
        <v>CAM 04</v>
      </c>
      <c r="D124" s="2" t="str">
        <f>Configurações!$B$10</f>
        <v>Câmera 04</v>
      </c>
      <c r="E124" s="2">
        <f>Configurações!$C$10</f>
        <v>0</v>
      </c>
      <c r="F124" s="2" t="s">
        <v>20</v>
      </c>
      <c r="G124" s="2" t="s">
        <v>20</v>
      </c>
      <c r="H124" s="2" t="s">
        <v>20</v>
      </c>
      <c r="I124" s="6"/>
      <c r="J124" s="6"/>
      <c r="K124" s="6"/>
    </row>
    <row r="125" spans="1:11" x14ac:dyDescent="0.2">
      <c r="A125" s="7">
        <f>DATE(Configurações!$B$3,12,6)</f>
        <v>46362</v>
      </c>
      <c r="B125" s="2" t="str">
        <f t="shared" si="1"/>
        <v>dom</v>
      </c>
      <c r="C125" s="2" t="str">
        <f>Configurações!$A$11</f>
        <v>CAM 05</v>
      </c>
      <c r="D125" s="2" t="str">
        <f>Configurações!$B$11</f>
        <v>Câmera 05</v>
      </c>
      <c r="E125" s="2">
        <f>Configurações!$C$11</f>
        <v>0</v>
      </c>
      <c r="F125" s="2" t="s">
        <v>20</v>
      </c>
      <c r="G125" s="2" t="s">
        <v>20</v>
      </c>
      <c r="H125" s="2" t="s">
        <v>20</v>
      </c>
      <c r="I125" s="6"/>
      <c r="J125" s="6"/>
      <c r="K125" s="6"/>
    </row>
    <row r="126" spans="1:11" x14ac:dyDescent="0.2">
      <c r="A126" s="7">
        <f>DATE(Configurações!$B$3,12,6)</f>
        <v>46362</v>
      </c>
      <c r="B126" s="2" t="str">
        <f t="shared" si="1"/>
        <v>dom</v>
      </c>
      <c r="C126" s="2" t="str">
        <f>Configurações!$A$12</f>
        <v>CAM 06</v>
      </c>
      <c r="D126" s="2" t="str">
        <f>Configurações!$B$12</f>
        <v>Câmera 06</v>
      </c>
      <c r="E126" s="2">
        <f>Configurações!$C$12</f>
        <v>0</v>
      </c>
      <c r="F126" s="2" t="s">
        <v>20</v>
      </c>
      <c r="G126" s="2" t="s">
        <v>20</v>
      </c>
      <c r="H126" s="2" t="s">
        <v>20</v>
      </c>
      <c r="I126" s="6"/>
      <c r="J126" s="6"/>
      <c r="K126" s="6"/>
    </row>
    <row r="127" spans="1:11" x14ac:dyDescent="0.2">
      <c r="A127" s="7">
        <f>DATE(Configurações!$B$3,12,6)</f>
        <v>46362</v>
      </c>
      <c r="B127" s="2" t="str">
        <f t="shared" si="1"/>
        <v>dom</v>
      </c>
      <c r="C127" s="2" t="str">
        <f>Configurações!$A$13</f>
        <v>CAM 07</v>
      </c>
      <c r="D127" s="2" t="str">
        <f>Configurações!$B$13</f>
        <v>Câmera 07</v>
      </c>
      <c r="E127" s="2">
        <f>Configurações!$C$13</f>
        <v>0</v>
      </c>
      <c r="F127" s="2" t="s">
        <v>20</v>
      </c>
      <c r="G127" s="2" t="s">
        <v>20</v>
      </c>
      <c r="H127" s="2" t="s">
        <v>20</v>
      </c>
      <c r="I127" s="6"/>
      <c r="J127" s="6"/>
      <c r="K127" s="6"/>
    </row>
    <row r="128" spans="1:11" x14ac:dyDescent="0.2">
      <c r="A128" s="7">
        <f>DATE(Configurações!$B$3,12,6)</f>
        <v>46362</v>
      </c>
      <c r="B128" s="2" t="str">
        <f t="shared" si="1"/>
        <v>dom</v>
      </c>
      <c r="C128" s="2" t="str">
        <f>Configurações!$A$14</f>
        <v>CAM 08</v>
      </c>
      <c r="D128" s="2" t="str">
        <f>Configurações!$B$14</f>
        <v>Câmera 08</v>
      </c>
      <c r="E128" s="2">
        <f>Configurações!$C$14</f>
        <v>0</v>
      </c>
      <c r="F128" s="2" t="s">
        <v>20</v>
      </c>
      <c r="G128" s="2" t="s">
        <v>20</v>
      </c>
      <c r="H128" s="2" t="s">
        <v>20</v>
      </c>
      <c r="I128" s="6"/>
      <c r="J128" s="6"/>
      <c r="K128" s="6"/>
    </row>
    <row r="129" spans="1:11" x14ac:dyDescent="0.2">
      <c r="A129" s="7">
        <f>DATE(Configurações!$B$3,12,6)</f>
        <v>46362</v>
      </c>
      <c r="B129" s="2" t="str">
        <f t="shared" si="1"/>
        <v>dom</v>
      </c>
      <c r="C129" s="2" t="str">
        <f>Configurações!$A$15</f>
        <v>CAM 09</v>
      </c>
      <c r="D129" s="2" t="str">
        <f>Configurações!$B$15</f>
        <v>Câmera 09</v>
      </c>
      <c r="E129" s="2">
        <f>Configurações!$C$15</f>
        <v>0</v>
      </c>
      <c r="F129" s="2" t="s">
        <v>20</v>
      </c>
      <c r="G129" s="2" t="s">
        <v>20</v>
      </c>
      <c r="H129" s="2" t="s">
        <v>20</v>
      </c>
      <c r="I129" s="6"/>
      <c r="J129" s="6"/>
      <c r="K129" s="6"/>
    </row>
    <row r="130" spans="1:11" x14ac:dyDescent="0.2">
      <c r="A130" s="7">
        <f>DATE(Configurações!$B$3,12,6)</f>
        <v>46362</v>
      </c>
      <c r="B130" s="2" t="str">
        <f t="shared" si="1"/>
        <v>dom</v>
      </c>
      <c r="C130" s="2" t="str">
        <f>Configurações!$A$16</f>
        <v>CAM 10</v>
      </c>
      <c r="D130" s="2" t="str">
        <f>Configurações!$B$16</f>
        <v>Câmera 10</v>
      </c>
      <c r="E130" s="2">
        <f>Configurações!$C$16</f>
        <v>0</v>
      </c>
      <c r="F130" s="2" t="s">
        <v>20</v>
      </c>
      <c r="G130" s="2" t="s">
        <v>20</v>
      </c>
      <c r="H130" s="2" t="s">
        <v>20</v>
      </c>
      <c r="I130" s="6"/>
      <c r="J130" s="6"/>
      <c r="K130" s="6"/>
    </row>
    <row r="131" spans="1:11" x14ac:dyDescent="0.2">
      <c r="A131" s="7">
        <f>DATE(Configurações!$B$3,12,6)</f>
        <v>46362</v>
      </c>
      <c r="B131" s="2" t="str">
        <f t="shared" si="1"/>
        <v>dom</v>
      </c>
      <c r="C131" s="2" t="str">
        <f>Configurações!$A$17</f>
        <v>CAM 11</v>
      </c>
      <c r="D131" s="2" t="str">
        <f>Configurações!$B$17</f>
        <v>Câmera 11</v>
      </c>
      <c r="E131" s="2">
        <f>Configurações!$C$17</f>
        <v>0</v>
      </c>
      <c r="F131" s="2" t="s">
        <v>20</v>
      </c>
      <c r="G131" s="2" t="s">
        <v>20</v>
      </c>
      <c r="H131" s="2" t="s">
        <v>20</v>
      </c>
      <c r="I131" s="6"/>
      <c r="J131" s="6"/>
      <c r="K131" s="6"/>
    </row>
    <row r="132" spans="1:11" x14ac:dyDescent="0.2">
      <c r="A132" s="7">
        <f>DATE(Configurações!$B$3,12,6)</f>
        <v>46362</v>
      </c>
      <c r="B132" s="2" t="str">
        <f t="shared" si="1"/>
        <v>dom</v>
      </c>
      <c r="C132" s="2" t="str">
        <f>Configurações!$A$18</f>
        <v>CAM 12</v>
      </c>
      <c r="D132" s="2" t="str">
        <f>Configurações!$B$18</f>
        <v>Câmera 12</v>
      </c>
      <c r="E132" s="2">
        <f>Configurações!$C$18</f>
        <v>0</v>
      </c>
      <c r="F132" s="2" t="s">
        <v>20</v>
      </c>
      <c r="G132" s="2" t="s">
        <v>20</v>
      </c>
      <c r="H132" s="2" t="s">
        <v>20</v>
      </c>
      <c r="I132" s="6"/>
      <c r="J132" s="6"/>
      <c r="K132" s="6"/>
    </row>
    <row r="133" spans="1:11" x14ac:dyDescent="0.2">
      <c r="A133" s="7">
        <f>DATE(Configurações!$B$3,12,6)</f>
        <v>46362</v>
      </c>
      <c r="B133" s="2" t="str">
        <f t="shared" si="1"/>
        <v>dom</v>
      </c>
      <c r="C133" s="2" t="str">
        <f>Configurações!$A$19</f>
        <v>CAM 13</v>
      </c>
      <c r="D133" s="2" t="str">
        <f>Configurações!$B$19</f>
        <v>Câmera 13</v>
      </c>
      <c r="E133" s="2">
        <f>Configurações!$C$19</f>
        <v>0</v>
      </c>
      <c r="F133" s="2" t="s">
        <v>20</v>
      </c>
      <c r="G133" s="2" t="s">
        <v>20</v>
      </c>
      <c r="H133" s="2" t="s">
        <v>20</v>
      </c>
      <c r="I133" s="6"/>
      <c r="J133" s="6"/>
      <c r="K133" s="6"/>
    </row>
    <row r="134" spans="1:11" x14ac:dyDescent="0.2">
      <c r="A134" s="7">
        <f>DATE(Configurações!$B$3,12,6)</f>
        <v>46362</v>
      </c>
      <c r="B134" s="2" t="str">
        <f t="shared" ref="B134:B197" si="2">TEXT(A134,"ddd")</f>
        <v>dom</v>
      </c>
      <c r="C134" s="2" t="str">
        <f>Configurações!$A$20</f>
        <v>CAM 14</v>
      </c>
      <c r="D134" s="2" t="str">
        <f>Configurações!$B$20</f>
        <v>Reserva/Futura 01</v>
      </c>
      <c r="E134" s="2">
        <f>Configurações!$C$20</f>
        <v>0</v>
      </c>
      <c r="F134" s="2" t="s">
        <v>20</v>
      </c>
      <c r="G134" s="2" t="s">
        <v>20</v>
      </c>
      <c r="H134" s="2" t="s">
        <v>20</v>
      </c>
      <c r="I134" s="6"/>
      <c r="J134" s="6"/>
      <c r="K134" s="6"/>
    </row>
    <row r="135" spans="1:11" x14ac:dyDescent="0.2">
      <c r="A135" s="7">
        <f>DATE(Configurações!$B$3,12,6)</f>
        <v>46362</v>
      </c>
      <c r="B135" s="2" t="str">
        <f t="shared" si="2"/>
        <v>dom</v>
      </c>
      <c r="C135" s="2" t="str">
        <f>Configurações!$A$21</f>
        <v>CAM 15</v>
      </c>
      <c r="D135" s="2" t="str">
        <f>Configurações!$B$21</f>
        <v>Reserva/Futura 02</v>
      </c>
      <c r="E135" s="2">
        <f>Configurações!$C$21</f>
        <v>0</v>
      </c>
      <c r="F135" s="2" t="s">
        <v>20</v>
      </c>
      <c r="G135" s="2" t="s">
        <v>20</v>
      </c>
      <c r="H135" s="2" t="s">
        <v>20</v>
      </c>
      <c r="I135" s="6"/>
      <c r="J135" s="6"/>
      <c r="K135" s="6"/>
    </row>
    <row r="136" spans="1:11" x14ac:dyDescent="0.2">
      <c r="A136" s="7">
        <f>DATE(Configurações!$B$3,12,6)</f>
        <v>46362</v>
      </c>
      <c r="B136" s="2" t="str">
        <f t="shared" si="2"/>
        <v>dom</v>
      </c>
      <c r="C136" s="2" t="str">
        <f>Configurações!$A$22</f>
        <v>CAM 16</v>
      </c>
      <c r="D136" s="2" t="str">
        <f>Configurações!$B$22</f>
        <v>Reserva/Futura 03</v>
      </c>
      <c r="E136" s="2">
        <f>Configurações!$C$22</f>
        <v>0</v>
      </c>
      <c r="F136" s="2" t="s">
        <v>20</v>
      </c>
      <c r="G136" s="2" t="s">
        <v>20</v>
      </c>
      <c r="H136" s="2" t="s">
        <v>20</v>
      </c>
      <c r="I136" s="6"/>
      <c r="J136" s="6"/>
      <c r="K136" s="6"/>
    </row>
    <row r="137" spans="1:11" x14ac:dyDescent="0.2">
      <c r="A137" s="7">
        <f>DATE(Configurações!$B$3,12,6)</f>
        <v>46362</v>
      </c>
      <c r="B137" s="2" t="str">
        <f t="shared" si="2"/>
        <v>dom</v>
      </c>
      <c r="C137" s="2" t="str">
        <f>Configurações!$A$23</f>
        <v>CAM 17</v>
      </c>
      <c r="D137" s="2" t="str">
        <f>Configurações!$B$23</f>
        <v>Reserva/Futura 04</v>
      </c>
      <c r="E137" s="2">
        <f>Configurações!$C$23</f>
        <v>0</v>
      </c>
      <c r="F137" s="2" t="s">
        <v>20</v>
      </c>
      <c r="G137" s="2" t="s">
        <v>20</v>
      </c>
      <c r="H137" s="2" t="s">
        <v>20</v>
      </c>
      <c r="I137" s="6"/>
      <c r="J137" s="6"/>
      <c r="K137" s="6"/>
    </row>
    <row r="138" spans="1:11" x14ac:dyDescent="0.2">
      <c r="A138" s="7">
        <f>DATE(Configurações!$B$3,12,6)</f>
        <v>46362</v>
      </c>
      <c r="B138" s="2" t="str">
        <f t="shared" si="2"/>
        <v>dom</v>
      </c>
      <c r="C138" s="2" t="str">
        <f>Configurações!$A$24</f>
        <v>CAM 18</v>
      </c>
      <c r="D138" s="2" t="str">
        <f>Configurações!$B$24</f>
        <v>Reserva/Futura 05</v>
      </c>
      <c r="E138" s="2">
        <f>Configurações!$C$24</f>
        <v>0</v>
      </c>
      <c r="F138" s="2" t="s">
        <v>20</v>
      </c>
      <c r="G138" s="2" t="s">
        <v>20</v>
      </c>
      <c r="H138" s="2" t="s">
        <v>20</v>
      </c>
      <c r="I138" s="6"/>
      <c r="J138" s="6"/>
      <c r="K138" s="6"/>
    </row>
    <row r="139" spans="1:11" x14ac:dyDescent="0.2">
      <c r="A139" s="7">
        <f>DATE(Configurações!$B$3,12,6)</f>
        <v>46362</v>
      </c>
      <c r="B139" s="2" t="str">
        <f t="shared" si="2"/>
        <v>dom</v>
      </c>
      <c r="C139" s="2" t="str">
        <f>Configurações!$A$25</f>
        <v>CAM 19</v>
      </c>
      <c r="D139" s="2" t="str">
        <f>Configurações!$B$25</f>
        <v>Reserva/Futura 06</v>
      </c>
      <c r="E139" s="2">
        <f>Configurações!$C$25</f>
        <v>0</v>
      </c>
      <c r="F139" s="2" t="s">
        <v>20</v>
      </c>
      <c r="G139" s="2" t="s">
        <v>20</v>
      </c>
      <c r="H139" s="2" t="s">
        <v>20</v>
      </c>
      <c r="I139" s="6"/>
      <c r="J139" s="6"/>
      <c r="K139" s="6"/>
    </row>
    <row r="140" spans="1:11" x14ac:dyDescent="0.2">
      <c r="A140" s="7">
        <f>DATE(Configurações!$B$3,12,6)</f>
        <v>46362</v>
      </c>
      <c r="B140" s="2" t="str">
        <f t="shared" si="2"/>
        <v>dom</v>
      </c>
      <c r="C140" s="2" t="str">
        <f>Configurações!$A$26</f>
        <v>CAM 20</v>
      </c>
      <c r="D140" s="2" t="str">
        <f>Configurações!$B$26</f>
        <v>Reserva/Futura 07</v>
      </c>
      <c r="E140" s="2">
        <f>Configurações!$C$26</f>
        <v>0</v>
      </c>
      <c r="F140" s="2" t="s">
        <v>20</v>
      </c>
      <c r="G140" s="2" t="s">
        <v>20</v>
      </c>
      <c r="H140" s="2" t="s">
        <v>20</v>
      </c>
      <c r="I140" s="6"/>
      <c r="J140" s="6"/>
      <c r="K140" s="6"/>
    </row>
    <row r="141" spans="1:11" x14ac:dyDescent="0.2">
      <c r="A141" s="7">
        <f>DATE(Configurações!$B$3,12,6)</f>
        <v>46362</v>
      </c>
      <c r="B141" s="2" t="str">
        <f t="shared" si="2"/>
        <v>dom</v>
      </c>
      <c r="C141" s="2" t="str">
        <f>Configurações!$A$27</f>
        <v>CAM 21</v>
      </c>
      <c r="D141" s="2" t="str">
        <f>Configurações!$B$27</f>
        <v>Reserva/Futura 08</v>
      </c>
      <c r="E141" s="2">
        <f>Configurações!$C$27</f>
        <v>0</v>
      </c>
      <c r="F141" s="2" t="s">
        <v>20</v>
      </c>
      <c r="G141" s="2" t="s">
        <v>20</v>
      </c>
      <c r="H141" s="2" t="s">
        <v>20</v>
      </c>
      <c r="I141" s="6"/>
      <c r="J141" s="6"/>
      <c r="K141" s="6"/>
    </row>
    <row r="142" spans="1:11" x14ac:dyDescent="0.2">
      <c r="A142" s="7">
        <f>DATE(Configurações!$B$3,12,6)</f>
        <v>46362</v>
      </c>
      <c r="B142" s="2" t="str">
        <f t="shared" si="2"/>
        <v>dom</v>
      </c>
      <c r="C142" s="2" t="str">
        <f>Configurações!$A$28</f>
        <v>CAM 22</v>
      </c>
      <c r="D142" s="2" t="str">
        <f>Configurações!$B$28</f>
        <v>Reserva/Futura 09</v>
      </c>
      <c r="E142" s="2">
        <f>Configurações!$C$28</f>
        <v>0</v>
      </c>
      <c r="F142" s="2" t="s">
        <v>20</v>
      </c>
      <c r="G142" s="2" t="s">
        <v>20</v>
      </c>
      <c r="H142" s="2" t="s">
        <v>20</v>
      </c>
      <c r="I142" s="6"/>
      <c r="J142" s="6"/>
      <c r="K142" s="6"/>
    </row>
    <row r="143" spans="1:11" x14ac:dyDescent="0.2">
      <c r="A143" s="7">
        <f>DATE(Configurações!$B$3,12,6)</f>
        <v>46362</v>
      </c>
      <c r="B143" s="2" t="str">
        <f t="shared" si="2"/>
        <v>dom</v>
      </c>
      <c r="C143" s="2" t="str">
        <f>Configurações!$A$29</f>
        <v>CAM 23</v>
      </c>
      <c r="D143" s="2" t="str">
        <f>Configurações!$B$29</f>
        <v>Reserva/Futura 10</v>
      </c>
      <c r="E143" s="2">
        <f>Configurações!$C$29</f>
        <v>0</v>
      </c>
      <c r="F143" s="2" t="s">
        <v>20</v>
      </c>
      <c r="G143" s="2" t="s">
        <v>20</v>
      </c>
      <c r="H143" s="2" t="s">
        <v>20</v>
      </c>
      <c r="I143" s="6"/>
      <c r="J143" s="6"/>
      <c r="K143" s="6"/>
    </row>
    <row r="144" spans="1:11" x14ac:dyDescent="0.2">
      <c r="A144" s="7">
        <f>DATE(Configurações!$B$3,12,7)</f>
        <v>46363</v>
      </c>
      <c r="B144" s="2" t="str">
        <f t="shared" si="2"/>
        <v>seg</v>
      </c>
      <c r="C144" s="2" t="str">
        <f>Configurações!$A$7</f>
        <v>CAM 01</v>
      </c>
      <c r="D144" s="2" t="str">
        <f>Configurações!$B$7</f>
        <v>BARU ANDES</v>
      </c>
      <c r="E144" s="2">
        <f>Configurações!$C$7</f>
        <v>0</v>
      </c>
      <c r="F144" s="2" t="s">
        <v>20</v>
      </c>
      <c r="G144" s="2" t="s">
        <v>20</v>
      </c>
      <c r="H144" s="2" t="s">
        <v>20</v>
      </c>
      <c r="I144" s="6"/>
      <c r="J144" s="6"/>
      <c r="K144" s="6"/>
    </row>
    <row r="145" spans="1:11" x14ac:dyDescent="0.2">
      <c r="A145" s="7">
        <f>DATE(Configurações!$B$3,12,7)</f>
        <v>46363</v>
      </c>
      <c r="B145" s="2" t="str">
        <f t="shared" si="2"/>
        <v>seg</v>
      </c>
      <c r="C145" s="2" t="str">
        <f>Configurações!$A$8</f>
        <v>CAM 02</v>
      </c>
      <c r="D145" s="2" t="str">
        <f>Configurações!$B$8</f>
        <v>Câmera 02</v>
      </c>
      <c r="E145" s="2">
        <f>Configurações!$C$8</f>
        <v>0</v>
      </c>
      <c r="F145" s="2" t="s">
        <v>20</v>
      </c>
      <c r="G145" s="2" t="s">
        <v>20</v>
      </c>
      <c r="H145" s="2" t="s">
        <v>20</v>
      </c>
      <c r="I145" s="6"/>
      <c r="J145" s="6"/>
      <c r="K145" s="6"/>
    </row>
    <row r="146" spans="1:11" x14ac:dyDescent="0.2">
      <c r="A146" s="7">
        <f>DATE(Configurações!$B$3,12,7)</f>
        <v>46363</v>
      </c>
      <c r="B146" s="2" t="str">
        <f t="shared" si="2"/>
        <v>seg</v>
      </c>
      <c r="C146" s="2" t="str">
        <f>Configurações!$A$9</f>
        <v>CAM 03</v>
      </c>
      <c r="D146" s="2" t="str">
        <f>Configurações!$B$9</f>
        <v>Câmera 03</v>
      </c>
      <c r="E146" s="2">
        <f>Configurações!$C$9</f>
        <v>0</v>
      </c>
      <c r="F146" s="2" t="s">
        <v>20</v>
      </c>
      <c r="G146" s="2" t="s">
        <v>20</v>
      </c>
      <c r="H146" s="2" t="s">
        <v>20</v>
      </c>
      <c r="I146" s="6"/>
      <c r="J146" s="6"/>
      <c r="K146" s="6"/>
    </row>
    <row r="147" spans="1:11" x14ac:dyDescent="0.2">
      <c r="A147" s="7">
        <f>DATE(Configurações!$B$3,12,7)</f>
        <v>46363</v>
      </c>
      <c r="B147" s="2" t="str">
        <f t="shared" si="2"/>
        <v>seg</v>
      </c>
      <c r="C147" s="2" t="str">
        <f>Configurações!$A$10</f>
        <v>CAM 04</v>
      </c>
      <c r="D147" s="2" t="str">
        <f>Configurações!$B$10</f>
        <v>Câmera 04</v>
      </c>
      <c r="E147" s="2">
        <f>Configurações!$C$10</f>
        <v>0</v>
      </c>
      <c r="F147" s="2" t="s">
        <v>20</v>
      </c>
      <c r="G147" s="2" t="s">
        <v>20</v>
      </c>
      <c r="H147" s="2" t="s">
        <v>20</v>
      </c>
      <c r="I147" s="6"/>
      <c r="J147" s="6"/>
      <c r="K147" s="6"/>
    </row>
    <row r="148" spans="1:11" x14ac:dyDescent="0.2">
      <c r="A148" s="7">
        <f>DATE(Configurações!$B$3,12,7)</f>
        <v>46363</v>
      </c>
      <c r="B148" s="2" t="str">
        <f t="shared" si="2"/>
        <v>seg</v>
      </c>
      <c r="C148" s="2" t="str">
        <f>Configurações!$A$11</f>
        <v>CAM 05</v>
      </c>
      <c r="D148" s="2" t="str">
        <f>Configurações!$B$11</f>
        <v>Câmera 05</v>
      </c>
      <c r="E148" s="2">
        <f>Configurações!$C$11</f>
        <v>0</v>
      </c>
      <c r="F148" s="2" t="s">
        <v>20</v>
      </c>
      <c r="G148" s="2" t="s">
        <v>20</v>
      </c>
      <c r="H148" s="2" t="s">
        <v>20</v>
      </c>
      <c r="I148" s="6"/>
      <c r="J148" s="6"/>
      <c r="K148" s="6"/>
    </row>
    <row r="149" spans="1:11" x14ac:dyDescent="0.2">
      <c r="A149" s="7">
        <f>DATE(Configurações!$B$3,12,7)</f>
        <v>46363</v>
      </c>
      <c r="B149" s="2" t="str">
        <f t="shared" si="2"/>
        <v>seg</v>
      </c>
      <c r="C149" s="2" t="str">
        <f>Configurações!$A$12</f>
        <v>CAM 06</v>
      </c>
      <c r="D149" s="2" t="str">
        <f>Configurações!$B$12</f>
        <v>Câmera 06</v>
      </c>
      <c r="E149" s="2">
        <f>Configurações!$C$12</f>
        <v>0</v>
      </c>
      <c r="F149" s="2" t="s">
        <v>20</v>
      </c>
      <c r="G149" s="2" t="s">
        <v>20</v>
      </c>
      <c r="H149" s="2" t="s">
        <v>20</v>
      </c>
      <c r="I149" s="6"/>
      <c r="J149" s="6"/>
      <c r="K149" s="6"/>
    </row>
    <row r="150" spans="1:11" x14ac:dyDescent="0.2">
      <c r="A150" s="7">
        <f>DATE(Configurações!$B$3,12,7)</f>
        <v>46363</v>
      </c>
      <c r="B150" s="2" t="str">
        <f t="shared" si="2"/>
        <v>seg</v>
      </c>
      <c r="C150" s="2" t="str">
        <f>Configurações!$A$13</f>
        <v>CAM 07</v>
      </c>
      <c r="D150" s="2" t="str">
        <f>Configurações!$B$13</f>
        <v>Câmera 07</v>
      </c>
      <c r="E150" s="2">
        <f>Configurações!$C$13</f>
        <v>0</v>
      </c>
      <c r="F150" s="2" t="s">
        <v>20</v>
      </c>
      <c r="G150" s="2" t="s">
        <v>20</v>
      </c>
      <c r="H150" s="2" t="s">
        <v>20</v>
      </c>
      <c r="I150" s="6"/>
      <c r="J150" s="6"/>
      <c r="K150" s="6"/>
    </row>
    <row r="151" spans="1:11" x14ac:dyDescent="0.2">
      <c r="A151" s="7">
        <f>DATE(Configurações!$B$3,12,7)</f>
        <v>46363</v>
      </c>
      <c r="B151" s="2" t="str">
        <f t="shared" si="2"/>
        <v>seg</v>
      </c>
      <c r="C151" s="2" t="str">
        <f>Configurações!$A$14</f>
        <v>CAM 08</v>
      </c>
      <c r="D151" s="2" t="str">
        <f>Configurações!$B$14</f>
        <v>Câmera 08</v>
      </c>
      <c r="E151" s="2">
        <f>Configurações!$C$14</f>
        <v>0</v>
      </c>
      <c r="F151" s="2" t="s">
        <v>20</v>
      </c>
      <c r="G151" s="2" t="s">
        <v>20</v>
      </c>
      <c r="H151" s="2" t="s">
        <v>20</v>
      </c>
      <c r="I151" s="6"/>
      <c r="J151" s="6"/>
      <c r="K151" s="6"/>
    </row>
    <row r="152" spans="1:11" x14ac:dyDescent="0.2">
      <c r="A152" s="7">
        <f>DATE(Configurações!$B$3,12,7)</f>
        <v>46363</v>
      </c>
      <c r="B152" s="2" t="str">
        <f t="shared" si="2"/>
        <v>seg</v>
      </c>
      <c r="C152" s="2" t="str">
        <f>Configurações!$A$15</f>
        <v>CAM 09</v>
      </c>
      <c r="D152" s="2" t="str">
        <f>Configurações!$B$15</f>
        <v>Câmera 09</v>
      </c>
      <c r="E152" s="2">
        <f>Configurações!$C$15</f>
        <v>0</v>
      </c>
      <c r="F152" s="2" t="s">
        <v>20</v>
      </c>
      <c r="G152" s="2" t="s">
        <v>20</v>
      </c>
      <c r="H152" s="2" t="s">
        <v>20</v>
      </c>
      <c r="I152" s="6"/>
      <c r="J152" s="6"/>
      <c r="K152" s="6"/>
    </row>
    <row r="153" spans="1:11" x14ac:dyDescent="0.2">
      <c r="A153" s="7">
        <f>DATE(Configurações!$B$3,12,7)</f>
        <v>46363</v>
      </c>
      <c r="B153" s="2" t="str">
        <f t="shared" si="2"/>
        <v>seg</v>
      </c>
      <c r="C153" s="2" t="str">
        <f>Configurações!$A$16</f>
        <v>CAM 10</v>
      </c>
      <c r="D153" s="2" t="str">
        <f>Configurações!$B$16</f>
        <v>Câmera 10</v>
      </c>
      <c r="E153" s="2">
        <f>Configurações!$C$16</f>
        <v>0</v>
      </c>
      <c r="F153" s="2" t="s">
        <v>20</v>
      </c>
      <c r="G153" s="2" t="s">
        <v>20</v>
      </c>
      <c r="H153" s="2" t="s">
        <v>20</v>
      </c>
      <c r="I153" s="6"/>
      <c r="J153" s="6"/>
      <c r="K153" s="6"/>
    </row>
    <row r="154" spans="1:11" x14ac:dyDescent="0.2">
      <c r="A154" s="7">
        <f>DATE(Configurações!$B$3,12,7)</f>
        <v>46363</v>
      </c>
      <c r="B154" s="2" t="str">
        <f t="shared" si="2"/>
        <v>seg</v>
      </c>
      <c r="C154" s="2" t="str">
        <f>Configurações!$A$17</f>
        <v>CAM 11</v>
      </c>
      <c r="D154" s="2" t="str">
        <f>Configurações!$B$17</f>
        <v>Câmera 11</v>
      </c>
      <c r="E154" s="2">
        <f>Configurações!$C$17</f>
        <v>0</v>
      </c>
      <c r="F154" s="2" t="s">
        <v>20</v>
      </c>
      <c r="G154" s="2" t="s">
        <v>20</v>
      </c>
      <c r="H154" s="2" t="s">
        <v>20</v>
      </c>
      <c r="I154" s="6"/>
      <c r="J154" s="6"/>
      <c r="K154" s="6"/>
    </row>
    <row r="155" spans="1:11" x14ac:dyDescent="0.2">
      <c r="A155" s="7">
        <f>DATE(Configurações!$B$3,12,7)</f>
        <v>46363</v>
      </c>
      <c r="B155" s="2" t="str">
        <f t="shared" si="2"/>
        <v>seg</v>
      </c>
      <c r="C155" s="2" t="str">
        <f>Configurações!$A$18</f>
        <v>CAM 12</v>
      </c>
      <c r="D155" s="2" t="str">
        <f>Configurações!$B$18</f>
        <v>Câmera 12</v>
      </c>
      <c r="E155" s="2">
        <f>Configurações!$C$18</f>
        <v>0</v>
      </c>
      <c r="F155" s="2" t="s">
        <v>20</v>
      </c>
      <c r="G155" s="2" t="s">
        <v>20</v>
      </c>
      <c r="H155" s="2" t="s">
        <v>20</v>
      </c>
      <c r="I155" s="6"/>
      <c r="J155" s="6"/>
      <c r="K155" s="6"/>
    </row>
    <row r="156" spans="1:11" x14ac:dyDescent="0.2">
      <c r="A156" s="7">
        <f>DATE(Configurações!$B$3,12,7)</f>
        <v>46363</v>
      </c>
      <c r="B156" s="2" t="str">
        <f t="shared" si="2"/>
        <v>seg</v>
      </c>
      <c r="C156" s="2" t="str">
        <f>Configurações!$A$19</f>
        <v>CAM 13</v>
      </c>
      <c r="D156" s="2" t="str">
        <f>Configurações!$B$19</f>
        <v>Câmera 13</v>
      </c>
      <c r="E156" s="2">
        <f>Configurações!$C$19</f>
        <v>0</v>
      </c>
      <c r="F156" s="2" t="s">
        <v>20</v>
      </c>
      <c r="G156" s="2" t="s">
        <v>20</v>
      </c>
      <c r="H156" s="2" t="s">
        <v>20</v>
      </c>
      <c r="I156" s="6"/>
      <c r="J156" s="6"/>
      <c r="K156" s="6"/>
    </row>
    <row r="157" spans="1:11" x14ac:dyDescent="0.2">
      <c r="A157" s="7">
        <f>DATE(Configurações!$B$3,12,7)</f>
        <v>46363</v>
      </c>
      <c r="B157" s="2" t="str">
        <f t="shared" si="2"/>
        <v>seg</v>
      </c>
      <c r="C157" s="2" t="str">
        <f>Configurações!$A$20</f>
        <v>CAM 14</v>
      </c>
      <c r="D157" s="2" t="str">
        <f>Configurações!$B$20</f>
        <v>Reserva/Futura 01</v>
      </c>
      <c r="E157" s="2">
        <f>Configurações!$C$20</f>
        <v>0</v>
      </c>
      <c r="F157" s="2" t="s">
        <v>20</v>
      </c>
      <c r="G157" s="2" t="s">
        <v>20</v>
      </c>
      <c r="H157" s="2" t="s">
        <v>20</v>
      </c>
      <c r="I157" s="6"/>
      <c r="J157" s="6"/>
      <c r="K157" s="6"/>
    </row>
    <row r="158" spans="1:11" x14ac:dyDescent="0.2">
      <c r="A158" s="7">
        <f>DATE(Configurações!$B$3,12,7)</f>
        <v>46363</v>
      </c>
      <c r="B158" s="2" t="str">
        <f t="shared" si="2"/>
        <v>seg</v>
      </c>
      <c r="C158" s="2" t="str">
        <f>Configurações!$A$21</f>
        <v>CAM 15</v>
      </c>
      <c r="D158" s="2" t="str">
        <f>Configurações!$B$21</f>
        <v>Reserva/Futura 02</v>
      </c>
      <c r="E158" s="2">
        <f>Configurações!$C$21</f>
        <v>0</v>
      </c>
      <c r="F158" s="2" t="s">
        <v>20</v>
      </c>
      <c r="G158" s="2" t="s">
        <v>20</v>
      </c>
      <c r="H158" s="2" t="s">
        <v>20</v>
      </c>
      <c r="I158" s="6"/>
      <c r="J158" s="6"/>
      <c r="K158" s="6"/>
    </row>
    <row r="159" spans="1:11" x14ac:dyDescent="0.2">
      <c r="A159" s="7">
        <f>DATE(Configurações!$B$3,12,7)</f>
        <v>46363</v>
      </c>
      <c r="B159" s="2" t="str">
        <f t="shared" si="2"/>
        <v>seg</v>
      </c>
      <c r="C159" s="2" t="str">
        <f>Configurações!$A$22</f>
        <v>CAM 16</v>
      </c>
      <c r="D159" s="2" t="str">
        <f>Configurações!$B$22</f>
        <v>Reserva/Futura 03</v>
      </c>
      <c r="E159" s="2">
        <f>Configurações!$C$22</f>
        <v>0</v>
      </c>
      <c r="F159" s="2" t="s">
        <v>20</v>
      </c>
      <c r="G159" s="2" t="s">
        <v>20</v>
      </c>
      <c r="H159" s="2" t="s">
        <v>20</v>
      </c>
      <c r="I159" s="6"/>
      <c r="J159" s="6"/>
      <c r="K159" s="6"/>
    </row>
    <row r="160" spans="1:11" x14ac:dyDescent="0.2">
      <c r="A160" s="7">
        <f>DATE(Configurações!$B$3,12,7)</f>
        <v>46363</v>
      </c>
      <c r="B160" s="2" t="str">
        <f t="shared" si="2"/>
        <v>seg</v>
      </c>
      <c r="C160" s="2" t="str">
        <f>Configurações!$A$23</f>
        <v>CAM 17</v>
      </c>
      <c r="D160" s="2" t="str">
        <f>Configurações!$B$23</f>
        <v>Reserva/Futura 04</v>
      </c>
      <c r="E160" s="2">
        <f>Configurações!$C$23</f>
        <v>0</v>
      </c>
      <c r="F160" s="2" t="s">
        <v>20</v>
      </c>
      <c r="G160" s="2" t="s">
        <v>20</v>
      </c>
      <c r="H160" s="2" t="s">
        <v>20</v>
      </c>
      <c r="I160" s="6"/>
      <c r="J160" s="6"/>
      <c r="K160" s="6"/>
    </row>
    <row r="161" spans="1:11" x14ac:dyDescent="0.2">
      <c r="A161" s="7">
        <f>DATE(Configurações!$B$3,12,7)</f>
        <v>46363</v>
      </c>
      <c r="B161" s="2" t="str">
        <f t="shared" si="2"/>
        <v>seg</v>
      </c>
      <c r="C161" s="2" t="str">
        <f>Configurações!$A$24</f>
        <v>CAM 18</v>
      </c>
      <c r="D161" s="2" t="str">
        <f>Configurações!$B$24</f>
        <v>Reserva/Futura 05</v>
      </c>
      <c r="E161" s="2">
        <f>Configurações!$C$24</f>
        <v>0</v>
      </c>
      <c r="F161" s="2" t="s">
        <v>20</v>
      </c>
      <c r="G161" s="2" t="s">
        <v>20</v>
      </c>
      <c r="H161" s="2" t="s">
        <v>20</v>
      </c>
      <c r="I161" s="6"/>
      <c r="J161" s="6"/>
      <c r="K161" s="6"/>
    </row>
    <row r="162" spans="1:11" x14ac:dyDescent="0.2">
      <c r="A162" s="7">
        <f>DATE(Configurações!$B$3,12,7)</f>
        <v>46363</v>
      </c>
      <c r="B162" s="2" t="str">
        <f t="shared" si="2"/>
        <v>seg</v>
      </c>
      <c r="C162" s="2" t="str">
        <f>Configurações!$A$25</f>
        <v>CAM 19</v>
      </c>
      <c r="D162" s="2" t="str">
        <f>Configurações!$B$25</f>
        <v>Reserva/Futura 06</v>
      </c>
      <c r="E162" s="2">
        <f>Configurações!$C$25</f>
        <v>0</v>
      </c>
      <c r="F162" s="2" t="s">
        <v>20</v>
      </c>
      <c r="G162" s="2" t="s">
        <v>20</v>
      </c>
      <c r="H162" s="2" t="s">
        <v>20</v>
      </c>
      <c r="I162" s="6"/>
      <c r="J162" s="6"/>
      <c r="K162" s="6"/>
    </row>
    <row r="163" spans="1:11" x14ac:dyDescent="0.2">
      <c r="A163" s="7">
        <f>DATE(Configurações!$B$3,12,7)</f>
        <v>46363</v>
      </c>
      <c r="B163" s="2" t="str">
        <f t="shared" si="2"/>
        <v>seg</v>
      </c>
      <c r="C163" s="2" t="str">
        <f>Configurações!$A$26</f>
        <v>CAM 20</v>
      </c>
      <c r="D163" s="2" t="str">
        <f>Configurações!$B$26</f>
        <v>Reserva/Futura 07</v>
      </c>
      <c r="E163" s="2">
        <f>Configurações!$C$26</f>
        <v>0</v>
      </c>
      <c r="F163" s="2" t="s">
        <v>20</v>
      </c>
      <c r="G163" s="2" t="s">
        <v>20</v>
      </c>
      <c r="H163" s="2" t="s">
        <v>20</v>
      </c>
      <c r="I163" s="6"/>
      <c r="J163" s="6"/>
      <c r="K163" s="6"/>
    </row>
    <row r="164" spans="1:11" x14ac:dyDescent="0.2">
      <c r="A164" s="7">
        <f>DATE(Configurações!$B$3,12,7)</f>
        <v>46363</v>
      </c>
      <c r="B164" s="2" t="str">
        <f t="shared" si="2"/>
        <v>seg</v>
      </c>
      <c r="C164" s="2" t="str">
        <f>Configurações!$A$27</f>
        <v>CAM 21</v>
      </c>
      <c r="D164" s="2" t="str">
        <f>Configurações!$B$27</f>
        <v>Reserva/Futura 08</v>
      </c>
      <c r="E164" s="2">
        <f>Configurações!$C$27</f>
        <v>0</v>
      </c>
      <c r="F164" s="2" t="s">
        <v>20</v>
      </c>
      <c r="G164" s="2" t="s">
        <v>20</v>
      </c>
      <c r="H164" s="2" t="s">
        <v>20</v>
      </c>
      <c r="I164" s="6"/>
      <c r="J164" s="6"/>
      <c r="K164" s="6"/>
    </row>
    <row r="165" spans="1:11" x14ac:dyDescent="0.2">
      <c r="A165" s="7">
        <f>DATE(Configurações!$B$3,12,7)</f>
        <v>46363</v>
      </c>
      <c r="B165" s="2" t="str">
        <f t="shared" si="2"/>
        <v>seg</v>
      </c>
      <c r="C165" s="2" t="str">
        <f>Configurações!$A$28</f>
        <v>CAM 22</v>
      </c>
      <c r="D165" s="2" t="str">
        <f>Configurações!$B$28</f>
        <v>Reserva/Futura 09</v>
      </c>
      <c r="E165" s="2">
        <f>Configurações!$C$28</f>
        <v>0</v>
      </c>
      <c r="F165" s="2" t="s">
        <v>20</v>
      </c>
      <c r="G165" s="2" t="s">
        <v>20</v>
      </c>
      <c r="H165" s="2" t="s">
        <v>20</v>
      </c>
      <c r="I165" s="6"/>
      <c r="J165" s="6"/>
      <c r="K165" s="6"/>
    </row>
    <row r="166" spans="1:11" x14ac:dyDescent="0.2">
      <c r="A166" s="7">
        <f>DATE(Configurações!$B$3,12,7)</f>
        <v>46363</v>
      </c>
      <c r="B166" s="2" t="str">
        <f t="shared" si="2"/>
        <v>seg</v>
      </c>
      <c r="C166" s="2" t="str">
        <f>Configurações!$A$29</f>
        <v>CAM 23</v>
      </c>
      <c r="D166" s="2" t="str">
        <f>Configurações!$B$29</f>
        <v>Reserva/Futura 10</v>
      </c>
      <c r="E166" s="2">
        <f>Configurações!$C$29</f>
        <v>0</v>
      </c>
      <c r="F166" s="2" t="s">
        <v>20</v>
      </c>
      <c r="G166" s="2" t="s">
        <v>20</v>
      </c>
      <c r="H166" s="2" t="s">
        <v>20</v>
      </c>
      <c r="I166" s="6"/>
      <c r="J166" s="6"/>
      <c r="K166" s="6"/>
    </row>
    <row r="167" spans="1:11" x14ac:dyDescent="0.2">
      <c r="A167" s="7">
        <f>DATE(Configurações!$B$3,12,8)</f>
        <v>46364</v>
      </c>
      <c r="B167" s="2" t="str">
        <f t="shared" si="2"/>
        <v>ter</v>
      </c>
      <c r="C167" s="2" t="str">
        <f>Configurações!$A$7</f>
        <v>CAM 01</v>
      </c>
      <c r="D167" s="2" t="str">
        <f>Configurações!$B$7</f>
        <v>BARU ANDES</v>
      </c>
      <c r="E167" s="2">
        <f>Configurações!$C$7</f>
        <v>0</v>
      </c>
      <c r="F167" s="2" t="s">
        <v>20</v>
      </c>
      <c r="G167" s="2" t="s">
        <v>20</v>
      </c>
      <c r="H167" s="2" t="s">
        <v>20</v>
      </c>
      <c r="I167" s="6"/>
      <c r="J167" s="6"/>
      <c r="K167" s="6"/>
    </row>
    <row r="168" spans="1:11" x14ac:dyDescent="0.2">
      <c r="A168" s="7">
        <f>DATE(Configurações!$B$3,12,8)</f>
        <v>46364</v>
      </c>
      <c r="B168" s="2" t="str">
        <f t="shared" si="2"/>
        <v>ter</v>
      </c>
      <c r="C168" s="2" t="str">
        <f>Configurações!$A$8</f>
        <v>CAM 02</v>
      </c>
      <c r="D168" s="2" t="str">
        <f>Configurações!$B$8</f>
        <v>Câmera 02</v>
      </c>
      <c r="E168" s="2">
        <f>Configurações!$C$8</f>
        <v>0</v>
      </c>
      <c r="F168" s="2" t="s">
        <v>20</v>
      </c>
      <c r="G168" s="2" t="s">
        <v>20</v>
      </c>
      <c r="H168" s="2" t="s">
        <v>20</v>
      </c>
      <c r="I168" s="6"/>
      <c r="J168" s="6"/>
      <c r="K168" s="6"/>
    </row>
    <row r="169" spans="1:11" x14ac:dyDescent="0.2">
      <c r="A169" s="7">
        <f>DATE(Configurações!$B$3,12,8)</f>
        <v>46364</v>
      </c>
      <c r="B169" s="2" t="str">
        <f t="shared" si="2"/>
        <v>ter</v>
      </c>
      <c r="C169" s="2" t="str">
        <f>Configurações!$A$9</f>
        <v>CAM 03</v>
      </c>
      <c r="D169" s="2" t="str">
        <f>Configurações!$B$9</f>
        <v>Câmera 03</v>
      </c>
      <c r="E169" s="2">
        <f>Configurações!$C$9</f>
        <v>0</v>
      </c>
      <c r="F169" s="2" t="s">
        <v>20</v>
      </c>
      <c r="G169" s="2" t="s">
        <v>20</v>
      </c>
      <c r="H169" s="2" t="s">
        <v>20</v>
      </c>
      <c r="I169" s="6"/>
      <c r="J169" s="6"/>
      <c r="K169" s="6"/>
    </row>
    <row r="170" spans="1:11" x14ac:dyDescent="0.2">
      <c r="A170" s="7">
        <f>DATE(Configurações!$B$3,12,8)</f>
        <v>46364</v>
      </c>
      <c r="B170" s="2" t="str">
        <f t="shared" si="2"/>
        <v>ter</v>
      </c>
      <c r="C170" s="2" t="str">
        <f>Configurações!$A$10</f>
        <v>CAM 04</v>
      </c>
      <c r="D170" s="2" t="str">
        <f>Configurações!$B$10</f>
        <v>Câmera 04</v>
      </c>
      <c r="E170" s="2">
        <f>Configurações!$C$10</f>
        <v>0</v>
      </c>
      <c r="F170" s="2" t="s">
        <v>20</v>
      </c>
      <c r="G170" s="2" t="s">
        <v>20</v>
      </c>
      <c r="H170" s="2" t="s">
        <v>20</v>
      </c>
      <c r="I170" s="6"/>
      <c r="J170" s="6"/>
      <c r="K170" s="6"/>
    </row>
    <row r="171" spans="1:11" x14ac:dyDescent="0.2">
      <c r="A171" s="7">
        <f>DATE(Configurações!$B$3,12,8)</f>
        <v>46364</v>
      </c>
      <c r="B171" s="2" t="str">
        <f t="shared" si="2"/>
        <v>ter</v>
      </c>
      <c r="C171" s="2" t="str">
        <f>Configurações!$A$11</f>
        <v>CAM 05</v>
      </c>
      <c r="D171" s="2" t="str">
        <f>Configurações!$B$11</f>
        <v>Câmera 05</v>
      </c>
      <c r="E171" s="2">
        <f>Configurações!$C$11</f>
        <v>0</v>
      </c>
      <c r="F171" s="2" t="s">
        <v>20</v>
      </c>
      <c r="G171" s="2" t="s">
        <v>20</v>
      </c>
      <c r="H171" s="2" t="s">
        <v>20</v>
      </c>
      <c r="I171" s="6"/>
      <c r="J171" s="6"/>
      <c r="K171" s="6"/>
    </row>
    <row r="172" spans="1:11" x14ac:dyDescent="0.2">
      <c r="A172" s="7">
        <f>DATE(Configurações!$B$3,12,8)</f>
        <v>46364</v>
      </c>
      <c r="B172" s="2" t="str">
        <f t="shared" si="2"/>
        <v>ter</v>
      </c>
      <c r="C172" s="2" t="str">
        <f>Configurações!$A$12</f>
        <v>CAM 06</v>
      </c>
      <c r="D172" s="2" t="str">
        <f>Configurações!$B$12</f>
        <v>Câmera 06</v>
      </c>
      <c r="E172" s="2">
        <f>Configurações!$C$12</f>
        <v>0</v>
      </c>
      <c r="F172" s="2" t="s">
        <v>20</v>
      </c>
      <c r="G172" s="2" t="s">
        <v>20</v>
      </c>
      <c r="H172" s="2" t="s">
        <v>20</v>
      </c>
      <c r="I172" s="6"/>
      <c r="J172" s="6"/>
      <c r="K172" s="6"/>
    </row>
    <row r="173" spans="1:11" x14ac:dyDescent="0.2">
      <c r="A173" s="7">
        <f>DATE(Configurações!$B$3,12,8)</f>
        <v>46364</v>
      </c>
      <c r="B173" s="2" t="str">
        <f t="shared" si="2"/>
        <v>ter</v>
      </c>
      <c r="C173" s="2" t="str">
        <f>Configurações!$A$13</f>
        <v>CAM 07</v>
      </c>
      <c r="D173" s="2" t="str">
        <f>Configurações!$B$13</f>
        <v>Câmera 07</v>
      </c>
      <c r="E173" s="2">
        <f>Configurações!$C$13</f>
        <v>0</v>
      </c>
      <c r="F173" s="2" t="s">
        <v>20</v>
      </c>
      <c r="G173" s="2" t="s">
        <v>20</v>
      </c>
      <c r="H173" s="2" t="s">
        <v>20</v>
      </c>
      <c r="I173" s="6"/>
      <c r="J173" s="6"/>
      <c r="K173" s="6"/>
    </row>
    <row r="174" spans="1:11" x14ac:dyDescent="0.2">
      <c r="A174" s="7">
        <f>DATE(Configurações!$B$3,12,8)</f>
        <v>46364</v>
      </c>
      <c r="B174" s="2" t="str">
        <f t="shared" si="2"/>
        <v>ter</v>
      </c>
      <c r="C174" s="2" t="str">
        <f>Configurações!$A$14</f>
        <v>CAM 08</v>
      </c>
      <c r="D174" s="2" t="str">
        <f>Configurações!$B$14</f>
        <v>Câmera 08</v>
      </c>
      <c r="E174" s="2">
        <f>Configurações!$C$14</f>
        <v>0</v>
      </c>
      <c r="F174" s="2" t="s">
        <v>20</v>
      </c>
      <c r="G174" s="2" t="s">
        <v>20</v>
      </c>
      <c r="H174" s="2" t="s">
        <v>20</v>
      </c>
      <c r="I174" s="6"/>
      <c r="J174" s="6"/>
      <c r="K174" s="6"/>
    </row>
    <row r="175" spans="1:11" x14ac:dyDescent="0.2">
      <c r="A175" s="7">
        <f>DATE(Configurações!$B$3,12,8)</f>
        <v>46364</v>
      </c>
      <c r="B175" s="2" t="str">
        <f t="shared" si="2"/>
        <v>ter</v>
      </c>
      <c r="C175" s="2" t="str">
        <f>Configurações!$A$15</f>
        <v>CAM 09</v>
      </c>
      <c r="D175" s="2" t="str">
        <f>Configurações!$B$15</f>
        <v>Câmera 09</v>
      </c>
      <c r="E175" s="2">
        <f>Configurações!$C$15</f>
        <v>0</v>
      </c>
      <c r="F175" s="2" t="s">
        <v>20</v>
      </c>
      <c r="G175" s="2" t="s">
        <v>20</v>
      </c>
      <c r="H175" s="2" t="s">
        <v>20</v>
      </c>
      <c r="I175" s="6"/>
      <c r="J175" s="6"/>
      <c r="K175" s="6"/>
    </row>
    <row r="176" spans="1:11" x14ac:dyDescent="0.2">
      <c r="A176" s="7">
        <f>DATE(Configurações!$B$3,12,8)</f>
        <v>46364</v>
      </c>
      <c r="B176" s="2" t="str">
        <f t="shared" si="2"/>
        <v>ter</v>
      </c>
      <c r="C176" s="2" t="str">
        <f>Configurações!$A$16</f>
        <v>CAM 10</v>
      </c>
      <c r="D176" s="2" t="str">
        <f>Configurações!$B$16</f>
        <v>Câmera 10</v>
      </c>
      <c r="E176" s="2">
        <f>Configurações!$C$16</f>
        <v>0</v>
      </c>
      <c r="F176" s="2" t="s">
        <v>20</v>
      </c>
      <c r="G176" s="2" t="s">
        <v>20</v>
      </c>
      <c r="H176" s="2" t="s">
        <v>20</v>
      </c>
      <c r="I176" s="6"/>
      <c r="J176" s="6"/>
      <c r="K176" s="6"/>
    </row>
    <row r="177" spans="1:11" x14ac:dyDescent="0.2">
      <c r="A177" s="7">
        <f>DATE(Configurações!$B$3,12,8)</f>
        <v>46364</v>
      </c>
      <c r="B177" s="2" t="str">
        <f t="shared" si="2"/>
        <v>ter</v>
      </c>
      <c r="C177" s="2" t="str">
        <f>Configurações!$A$17</f>
        <v>CAM 11</v>
      </c>
      <c r="D177" s="2" t="str">
        <f>Configurações!$B$17</f>
        <v>Câmera 11</v>
      </c>
      <c r="E177" s="2">
        <f>Configurações!$C$17</f>
        <v>0</v>
      </c>
      <c r="F177" s="2" t="s">
        <v>20</v>
      </c>
      <c r="G177" s="2" t="s">
        <v>20</v>
      </c>
      <c r="H177" s="2" t="s">
        <v>20</v>
      </c>
      <c r="I177" s="6"/>
      <c r="J177" s="6"/>
      <c r="K177" s="6"/>
    </row>
    <row r="178" spans="1:11" x14ac:dyDescent="0.2">
      <c r="A178" s="7">
        <f>DATE(Configurações!$B$3,12,8)</f>
        <v>46364</v>
      </c>
      <c r="B178" s="2" t="str">
        <f t="shared" si="2"/>
        <v>ter</v>
      </c>
      <c r="C178" s="2" t="str">
        <f>Configurações!$A$18</f>
        <v>CAM 12</v>
      </c>
      <c r="D178" s="2" t="str">
        <f>Configurações!$B$18</f>
        <v>Câmera 12</v>
      </c>
      <c r="E178" s="2">
        <f>Configurações!$C$18</f>
        <v>0</v>
      </c>
      <c r="F178" s="2" t="s">
        <v>20</v>
      </c>
      <c r="G178" s="2" t="s">
        <v>20</v>
      </c>
      <c r="H178" s="2" t="s">
        <v>20</v>
      </c>
      <c r="I178" s="6"/>
      <c r="J178" s="6"/>
      <c r="K178" s="6"/>
    </row>
    <row r="179" spans="1:11" x14ac:dyDescent="0.2">
      <c r="A179" s="7">
        <f>DATE(Configurações!$B$3,12,8)</f>
        <v>46364</v>
      </c>
      <c r="B179" s="2" t="str">
        <f t="shared" si="2"/>
        <v>ter</v>
      </c>
      <c r="C179" s="2" t="str">
        <f>Configurações!$A$19</f>
        <v>CAM 13</v>
      </c>
      <c r="D179" s="2" t="str">
        <f>Configurações!$B$19</f>
        <v>Câmera 13</v>
      </c>
      <c r="E179" s="2">
        <f>Configurações!$C$19</f>
        <v>0</v>
      </c>
      <c r="F179" s="2" t="s">
        <v>20</v>
      </c>
      <c r="G179" s="2" t="s">
        <v>20</v>
      </c>
      <c r="H179" s="2" t="s">
        <v>20</v>
      </c>
      <c r="I179" s="6"/>
      <c r="J179" s="6"/>
      <c r="K179" s="6"/>
    </row>
    <row r="180" spans="1:11" x14ac:dyDescent="0.2">
      <c r="A180" s="7">
        <f>DATE(Configurações!$B$3,12,8)</f>
        <v>46364</v>
      </c>
      <c r="B180" s="2" t="str">
        <f t="shared" si="2"/>
        <v>ter</v>
      </c>
      <c r="C180" s="2" t="str">
        <f>Configurações!$A$20</f>
        <v>CAM 14</v>
      </c>
      <c r="D180" s="2" t="str">
        <f>Configurações!$B$20</f>
        <v>Reserva/Futura 01</v>
      </c>
      <c r="E180" s="2">
        <f>Configurações!$C$20</f>
        <v>0</v>
      </c>
      <c r="F180" s="2" t="s">
        <v>20</v>
      </c>
      <c r="G180" s="2" t="s">
        <v>20</v>
      </c>
      <c r="H180" s="2" t="s">
        <v>20</v>
      </c>
      <c r="I180" s="6"/>
      <c r="J180" s="6"/>
      <c r="K180" s="6"/>
    </row>
    <row r="181" spans="1:11" x14ac:dyDescent="0.2">
      <c r="A181" s="7">
        <f>DATE(Configurações!$B$3,12,8)</f>
        <v>46364</v>
      </c>
      <c r="B181" s="2" t="str">
        <f t="shared" si="2"/>
        <v>ter</v>
      </c>
      <c r="C181" s="2" t="str">
        <f>Configurações!$A$21</f>
        <v>CAM 15</v>
      </c>
      <c r="D181" s="2" t="str">
        <f>Configurações!$B$21</f>
        <v>Reserva/Futura 02</v>
      </c>
      <c r="E181" s="2">
        <f>Configurações!$C$21</f>
        <v>0</v>
      </c>
      <c r="F181" s="2" t="s">
        <v>20</v>
      </c>
      <c r="G181" s="2" t="s">
        <v>20</v>
      </c>
      <c r="H181" s="2" t="s">
        <v>20</v>
      </c>
      <c r="I181" s="6"/>
      <c r="J181" s="6"/>
      <c r="K181" s="6"/>
    </row>
    <row r="182" spans="1:11" x14ac:dyDescent="0.2">
      <c r="A182" s="7">
        <f>DATE(Configurações!$B$3,12,8)</f>
        <v>46364</v>
      </c>
      <c r="B182" s="2" t="str">
        <f t="shared" si="2"/>
        <v>ter</v>
      </c>
      <c r="C182" s="2" t="str">
        <f>Configurações!$A$22</f>
        <v>CAM 16</v>
      </c>
      <c r="D182" s="2" t="str">
        <f>Configurações!$B$22</f>
        <v>Reserva/Futura 03</v>
      </c>
      <c r="E182" s="2">
        <f>Configurações!$C$22</f>
        <v>0</v>
      </c>
      <c r="F182" s="2" t="s">
        <v>20</v>
      </c>
      <c r="G182" s="2" t="s">
        <v>20</v>
      </c>
      <c r="H182" s="2" t="s">
        <v>20</v>
      </c>
      <c r="I182" s="6"/>
      <c r="J182" s="6"/>
      <c r="K182" s="6"/>
    </row>
    <row r="183" spans="1:11" x14ac:dyDescent="0.2">
      <c r="A183" s="7">
        <f>DATE(Configurações!$B$3,12,8)</f>
        <v>46364</v>
      </c>
      <c r="B183" s="2" t="str">
        <f t="shared" si="2"/>
        <v>ter</v>
      </c>
      <c r="C183" s="2" t="str">
        <f>Configurações!$A$23</f>
        <v>CAM 17</v>
      </c>
      <c r="D183" s="2" t="str">
        <f>Configurações!$B$23</f>
        <v>Reserva/Futura 04</v>
      </c>
      <c r="E183" s="2">
        <f>Configurações!$C$23</f>
        <v>0</v>
      </c>
      <c r="F183" s="2" t="s">
        <v>20</v>
      </c>
      <c r="G183" s="2" t="s">
        <v>20</v>
      </c>
      <c r="H183" s="2" t="s">
        <v>20</v>
      </c>
      <c r="I183" s="6"/>
      <c r="J183" s="6"/>
      <c r="K183" s="6"/>
    </row>
    <row r="184" spans="1:11" x14ac:dyDescent="0.2">
      <c r="A184" s="7">
        <f>DATE(Configurações!$B$3,12,8)</f>
        <v>46364</v>
      </c>
      <c r="B184" s="2" t="str">
        <f t="shared" si="2"/>
        <v>ter</v>
      </c>
      <c r="C184" s="2" t="str">
        <f>Configurações!$A$24</f>
        <v>CAM 18</v>
      </c>
      <c r="D184" s="2" t="str">
        <f>Configurações!$B$24</f>
        <v>Reserva/Futura 05</v>
      </c>
      <c r="E184" s="2">
        <f>Configurações!$C$24</f>
        <v>0</v>
      </c>
      <c r="F184" s="2" t="s">
        <v>20</v>
      </c>
      <c r="G184" s="2" t="s">
        <v>20</v>
      </c>
      <c r="H184" s="2" t="s">
        <v>20</v>
      </c>
      <c r="I184" s="6"/>
      <c r="J184" s="6"/>
      <c r="K184" s="6"/>
    </row>
    <row r="185" spans="1:11" x14ac:dyDescent="0.2">
      <c r="A185" s="7">
        <f>DATE(Configurações!$B$3,12,8)</f>
        <v>46364</v>
      </c>
      <c r="B185" s="2" t="str">
        <f t="shared" si="2"/>
        <v>ter</v>
      </c>
      <c r="C185" s="2" t="str">
        <f>Configurações!$A$25</f>
        <v>CAM 19</v>
      </c>
      <c r="D185" s="2" t="str">
        <f>Configurações!$B$25</f>
        <v>Reserva/Futura 06</v>
      </c>
      <c r="E185" s="2">
        <f>Configurações!$C$25</f>
        <v>0</v>
      </c>
      <c r="F185" s="2" t="s">
        <v>20</v>
      </c>
      <c r="G185" s="2" t="s">
        <v>20</v>
      </c>
      <c r="H185" s="2" t="s">
        <v>20</v>
      </c>
      <c r="I185" s="6"/>
      <c r="J185" s="6"/>
      <c r="K185" s="6"/>
    </row>
    <row r="186" spans="1:11" x14ac:dyDescent="0.2">
      <c r="A186" s="7">
        <f>DATE(Configurações!$B$3,12,8)</f>
        <v>46364</v>
      </c>
      <c r="B186" s="2" t="str">
        <f t="shared" si="2"/>
        <v>ter</v>
      </c>
      <c r="C186" s="2" t="str">
        <f>Configurações!$A$26</f>
        <v>CAM 20</v>
      </c>
      <c r="D186" s="2" t="str">
        <f>Configurações!$B$26</f>
        <v>Reserva/Futura 07</v>
      </c>
      <c r="E186" s="2">
        <f>Configurações!$C$26</f>
        <v>0</v>
      </c>
      <c r="F186" s="2" t="s">
        <v>20</v>
      </c>
      <c r="G186" s="2" t="s">
        <v>20</v>
      </c>
      <c r="H186" s="2" t="s">
        <v>20</v>
      </c>
      <c r="I186" s="6"/>
      <c r="J186" s="6"/>
      <c r="K186" s="6"/>
    </row>
    <row r="187" spans="1:11" x14ac:dyDescent="0.2">
      <c r="A187" s="7">
        <f>DATE(Configurações!$B$3,12,8)</f>
        <v>46364</v>
      </c>
      <c r="B187" s="2" t="str">
        <f t="shared" si="2"/>
        <v>ter</v>
      </c>
      <c r="C187" s="2" t="str">
        <f>Configurações!$A$27</f>
        <v>CAM 21</v>
      </c>
      <c r="D187" s="2" t="str">
        <f>Configurações!$B$27</f>
        <v>Reserva/Futura 08</v>
      </c>
      <c r="E187" s="2">
        <f>Configurações!$C$27</f>
        <v>0</v>
      </c>
      <c r="F187" s="2" t="s">
        <v>20</v>
      </c>
      <c r="G187" s="2" t="s">
        <v>20</v>
      </c>
      <c r="H187" s="2" t="s">
        <v>20</v>
      </c>
      <c r="I187" s="6"/>
      <c r="J187" s="6"/>
      <c r="K187" s="6"/>
    </row>
    <row r="188" spans="1:11" x14ac:dyDescent="0.2">
      <c r="A188" s="7">
        <f>DATE(Configurações!$B$3,12,8)</f>
        <v>46364</v>
      </c>
      <c r="B188" s="2" t="str">
        <f t="shared" si="2"/>
        <v>ter</v>
      </c>
      <c r="C188" s="2" t="str">
        <f>Configurações!$A$28</f>
        <v>CAM 22</v>
      </c>
      <c r="D188" s="2" t="str">
        <f>Configurações!$B$28</f>
        <v>Reserva/Futura 09</v>
      </c>
      <c r="E188" s="2">
        <f>Configurações!$C$28</f>
        <v>0</v>
      </c>
      <c r="F188" s="2" t="s">
        <v>20</v>
      </c>
      <c r="G188" s="2" t="s">
        <v>20</v>
      </c>
      <c r="H188" s="2" t="s">
        <v>20</v>
      </c>
      <c r="I188" s="6"/>
      <c r="J188" s="6"/>
      <c r="K188" s="6"/>
    </row>
    <row r="189" spans="1:11" x14ac:dyDescent="0.2">
      <c r="A189" s="7">
        <f>DATE(Configurações!$B$3,12,8)</f>
        <v>46364</v>
      </c>
      <c r="B189" s="2" t="str">
        <f t="shared" si="2"/>
        <v>ter</v>
      </c>
      <c r="C189" s="2" t="str">
        <f>Configurações!$A$29</f>
        <v>CAM 23</v>
      </c>
      <c r="D189" s="2" t="str">
        <f>Configurações!$B$29</f>
        <v>Reserva/Futura 10</v>
      </c>
      <c r="E189" s="2">
        <f>Configurações!$C$29</f>
        <v>0</v>
      </c>
      <c r="F189" s="2" t="s">
        <v>20</v>
      </c>
      <c r="G189" s="2" t="s">
        <v>20</v>
      </c>
      <c r="H189" s="2" t="s">
        <v>20</v>
      </c>
      <c r="I189" s="6"/>
      <c r="J189" s="6"/>
      <c r="K189" s="6"/>
    </row>
    <row r="190" spans="1:11" x14ac:dyDescent="0.2">
      <c r="A190" s="7">
        <f>DATE(Configurações!$B$3,12,9)</f>
        <v>46365</v>
      </c>
      <c r="B190" s="2" t="str">
        <f t="shared" si="2"/>
        <v>qua</v>
      </c>
      <c r="C190" s="2" t="str">
        <f>Configurações!$A$7</f>
        <v>CAM 01</v>
      </c>
      <c r="D190" s="2" t="str">
        <f>Configurações!$B$7</f>
        <v>BARU ANDES</v>
      </c>
      <c r="E190" s="2">
        <f>Configurações!$C$7</f>
        <v>0</v>
      </c>
      <c r="F190" s="2" t="s">
        <v>20</v>
      </c>
      <c r="G190" s="2" t="s">
        <v>20</v>
      </c>
      <c r="H190" s="2" t="s">
        <v>20</v>
      </c>
      <c r="I190" s="6"/>
      <c r="J190" s="6"/>
      <c r="K190" s="6"/>
    </row>
    <row r="191" spans="1:11" x14ac:dyDescent="0.2">
      <c r="A191" s="7">
        <f>DATE(Configurações!$B$3,12,9)</f>
        <v>46365</v>
      </c>
      <c r="B191" s="2" t="str">
        <f t="shared" si="2"/>
        <v>qua</v>
      </c>
      <c r="C191" s="2" t="str">
        <f>Configurações!$A$8</f>
        <v>CAM 02</v>
      </c>
      <c r="D191" s="2" t="str">
        <f>Configurações!$B$8</f>
        <v>Câmera 02</v>
      </c>
      <c r="E191" s="2">
        <f>Configurações!$C$8</f>
        <v>0</v>
      </c>
      <c r="F191" s="2" t="s">
        <v>20</v>
      </c>
      <c r="G191" s="2" t="s">
        <v>20</v>
      </c>
      <c r="H191" s="2" t="s">
        <v>20</v>
      </c>
      <c r="I191" s="6"/>
      <c r="J191" s="6"/>
      <c r="K191" s="6"/>
    </row>
    <row r="192" spans="1:11" x14ac:dyDescent="0.2">
      <c r="A192" s="7">
        <f>DATE(Configurações!$B$3,12,9)</f>
        <v>46365</v>
      </c>
      <c r="B192" s="2" t="str">
        <f t="shared" si="2"/>
        <v>qua</v>
      </c>
      <c r="C192" s="2" t="str">
        <f>Configurações!$A$9</f>
        <v>CAM 03</v>
      </c>
      <c r="D192" s="2" t="str">
        <f>Configurações!$B$9</f>
        <v>Câmera 03</v>
      </c>
      <c r="E192" s="2">
        <f>Configurações!$C$9</f>
        <v>0</v>
      </c>
      <c r="F192" s="2" t="s">
        <v>20</v>
      </c>
      <c r="G192" s="2" t="s">
        <v>20</v>
      </c>
      <c r="H192" s="2" t="s">
        <v>20</v>
      </c>
      <c r="I192" s="6"/>
      <c r="J192" s="6"/>
      <c r="K192" s="6"/>
    </row>
    <row r="193" spans="1:11" x14ac:dyDescent="0.2">
      <c r="A193" s="7">
        <f>DATE(Configurações!$B$3,12,9)</f>
        <v>46365</v>
      </c>
      <c r="B193" s="2" t="str">
        <f t="shared" si="2"/>
        <v>qua</v>
      </c>
      <c r="C193" s="2" t="str">
        <f>Configurações!$A$10</f>
        <v>CAM 04</v>
      </c>
      <c r="D193" s="2" t="str">
        <f>Configurações!$B$10</f>
        <v>Câmera 04</v>
      </c>
      <c r="E193" s="2">
        <f>Configurações!$C$10</f>
        <v>0</v>
      </c>
      <c r="F193" s="2" t="s">
        <v>20</v>
      </c>
      <c r="G193" s="2" t="s">
        <v>20</v>
      </c>
      <c r="H193" s="2" t="s">
        <v>20</v>
      </c>
      <c r="I193" s="6"/>
      <c r="J193" s="6"/>
      <c r="K193" s="6"/>
    </row>
    <row r="194" spans="1:11" x14ac:dyDescent="0.2">
      <c r="A194" s="7">
        <f>DATE(Configurações!$B$3,12,9)</f>
        <v>46365</v>
      </c>
      <c r="B194" s="2" t="str">
        <f t="shared" si="2"/>
        <v>qua</v>
      </c>
      <c r="C194" s="2" t="str">
        <f>Configurações!$A$11</f>
        <v>CAM 05</v>
      </c>
      <c r="D194" s="2" t="str">
        <f>Configurações!$B$11</f>
        <v>Câmera 05</v>
      </c>
      <c r="E194" s="2">
        <f>Configurações!$C$11</f>
        <v>0</v>
      </c>
      <c r="F194" s="2" t="s">
        <v>20</v>
      </c>
      <c r="G194" s="2" t="s">
        <v>20</v>
      </c>
      <c r="H194" s="2" t="s">
        <v>20</v>
      </c>
      <c r="I194" s="6"/>
      <c r="J194" s="6"/>
      <c r="K194" s="6"/>
    </row>
    <row r="195" spans="1:11" x14ac:dyDescent="0.2">
      <c r="A195" s="7">
        <f>DATE(Configurações!$B$3,12,9)</f>
        <v>46365</v>
      </c>
      <c r="B195" s="2" t="str">
        <f t="shared" si="2"/>
        <v>qua</v>
      </c>
      <c r="C195" s="2" t="str">
        <f>Configurações!$A$12</f>
        <v>CAM 06</v>
      </c>
      <c r="D195" s="2" t="str">
        <f>Configurações!$B$12</f>
        <v>Câmera 06</v>
      </c>
      <c r="E195" s="2">
        <f>Configurações!$C$12</f>
        <v>0</v>
      </c>
      <c r="F195" s="2" t="s">
        <v>20</v>
      </c>
      <c r="G195" s="2" t="s">
        <v>20</v>
      </c>
      <c r="H195" s="2" t="s">
        <v>20</v>
      </c>
      <c r="I195" s="6"/>
      <c r="J195" s="6"/>
      <c r="K195" s="6"/>
    </row>
    <row r="196" spans="1:11" x14ac:dyDescent="0.2">
      <c r="A196" s="7">
        <f>DATE(Configurações!$B$3,12,9)</f>
        <v>46365</v>
      </c>
      <c r="B196" s="2" t="str">
        <f t="shared" si="2"/>
        <v>qua</v>
      </c>
      <c r="C196" s="2" t="str">
        <f>Configurações!$A$13</f>
        <v>CAM 07</v>
      </c>
      <c r="D196" s="2" t="str">
        <f>Configurações!$B$13</f>
        <v>Câmera 07</v>
      </c>
      <c r="E196" s="2">
        <f>Configurações!$C$13</f>
        <v>0</v>
      </c>
      <c r="F196" s="2" t="s">
        <v>20</v>
      </c>
      <c r="G196" s="2" t="s">
        <v>20</v>
      </c>
      <c r="H196" s="2" t="s">
        <v>20</v>
      </c>
      <c r="I196" s="6"/>
      <c r="J196" s="6"/>
      <c r="K196" s="6"/>
    </row>
    <row r="197" spans="1:11" x14ac:dyDescent="0.2">
      <c r="A197" s="7">
        <f>DATE(Configurações!$B$3,12,9)</f>
        <v>46365</v>
      </c>
      <c r="B197" s="2" t="str">
        <f t="shared" si="2"/>
        <v>qua</v>
      </c>
      <c r="C197" s="2" t="str">
        <f>Configurações!$A$14</f>
        <v>CAM 08</v>
      </c>
      <c r="D197" s="2" t="str">
        <f>Configurações!$B$14</f>
        <v>Câmera 08</v>
      </c>
      <c r="E197" s="2">
        <f>Configurações!$C$14</f>
        <v>0</v>
      </c>
      <c r="F197" s="2" t="s">
        <v>20</v>
      </c>
      <c r="G197" s="2" t="s">
        <v>20</v>
      </c>
      <c r="H197" s="2" t="s">
        <v>20</v>
      </c>
      <c r="I197" s="6"/>
      <c r="J197" s="6"/>
      <c r="K197" s="6"/>
    </row>
    <row r="198" spans="1:11" x14ac:dyDescent="0.2">
      <c r="A198" s="7">
        <f>DATE(Configurações!$B$3,12,9)</f>
        <v>46365</v>
      </c>
      <c r="B198" s="2" t="str">
        <f t="shared" ref="B198:B261" si="3">TEXT(A198,"ddd")</f>
        <v>qua</v>
      </c>
      <c r="C198" s="2" t="str">
        <f>Configurações!$A$15</f>
        <v>CAM 09</v>
      </c>
      <c r="D198" s="2" t="str">
        <f>Configurações!$B$15</f>
        <v>Câmera 09</v>
      </c>
      <c r="E198" s="2">
        <f>Configurações!$C$15</f>
        <v>0</v>
      </c>
      <c r="F198" s="2" t="s">
        <v>20</v>
      </c>
      <c r="G198" s="2" t="s">
        <v>20</v>
      </c>
      <c r="H198" s="2" t="s">
        <v>20</v>
      </c>
      <c r="I198" s="6"/>
      <c r="J198" s="6"/>
      <c r="K198" s="6"/>
    </row>
    <row r="199" spans="1:11" x14ac:dyDescent="0.2">
      <c r="A199" s="7">
        <f>DATE(Configurações!$B$3,12,9)</f>
        <v>46365</v>
      </c>
      <c r="B199" s="2" t="str">
        <f t="shared" si="3"/>
        <v>qua</v>
      </c>
      <c r="C199" s="2" t="str">
        <f>Configurações!$A$16</f>
        <v>CAM 10</v>
      </c>
      <c r="D199" s="2" t="str">
        <f>Configurações!$B$16</f>
        <v>Câmera 10</v>
      </c>
      <c r="E199" s="2">
        <f>Configurações!$C$16</f>
        <v>0</v>
      </c>
      <c r="F199" s="2" t="s">
        <v>20</v>
      </c>
      <c r="G199" s="2" t="s">
        <v>20</v>
      </c>
      <c r="H199" s="2" t="s">
        <v>20</v>
      </c>
      <c r="I199" s="6"/>
      <c r="J199" s="6"/>
      <c r="K199" s="6"/>
    </row>
    <row r="200" spans="1:11" x14ac:dyDescent="0.2">
      <c r="A200" s="7">
        <f>DATE(Configurações!$B$3,12,9)</f>
        <v>46365</v>
      </c>
      <c r="B200" s="2" t="str">
        <f t="shared" si="3"/>
        <v>qua</v>
      </c>
      <c r="C200" s="2" t="str">
        <f>Configurações!$A$17</f>
        <v>CAM 11</v>
      </c>
      <c r="D200" s="2" t="str">
        <f>Configurações!$B$17</f>
        <v>Câmera 11</v>
      </c>
      <c r="E200" s="2">
        <f>Configurações!$C$17</f>
        <v>0</v>
      </c>
      <c r="F200" s="2" t="s">
        <v>20</v>
      </c>
      <c r="G200" s="2" t="s">
        <v>20</v>
      </c>
      <c r="H200" s="2" t="s">
        <v>20</v>
      </c>
      <c r="I200" s="6"/>
      <c r="J200" s="6"/>
      <c r="K200" s="6"/>
    </row>
    <row r="201" spans="1:11" x14ac:dyDescent="0.2">
      <c r="A201" s="7">
        <f>DATE(Configurações!$B$3,12,9)</f>
        <v>46365</v>
      </c>
      <c r="B201" s="2" t="str">
        <f t="shared" si="3"/>
        <v>qua</v>
      </c>
      <c r="C201" s="2" t="str">
        <f>Configurações!$A$18</f>
        <v>CAM 12</v>
      </c>
      <c r="D201" s="2" t="str">
        <f>Configurações!$B$18</f>
        <v>Câmera 12</v>
      </c>
      <c r="E201" s="2">
        <f>Configurações!$C$18</f>
        <v>0</v>
      </c>
      <c r="F201" s="2" t="s">
        <v>20</v>
      </c>
      <c r="G201" s="2" t="s">
        <v>20</v>
      </c>
      <c r="H201" s="2" t="s">
        <v>20</v>
      </c>
      <c r="I201" s="6"/>
      <c r="J201" s="6"/>
      <c r="K201" s="6"/>
    </row>
    <row r="202" spans="1:11" x14ac:dyDescent="0.2">
      <c r="A202" s="7">
        <f>DATE(Configurações!$B$3,12,9)</f>
        <v>46365</v>
      </c>
      <c r="B202" s="2" t="str">
        <f t="shared" si="3"/>
        <v>qua</v>
      </c>
      <c r="C202" s="2" t="str">
        <f>Configurações!$A$19</f>
        <v>CAM 13</v>
      </c>
      <c r="D202" s="2" t="str">
        <f>Configurações!$B$19</f>
        <v>Câmera 13</v>
      </c>
      <c r="E202" s="2">
        <f>Configurações!$C$19</f>
        <v>0</v>
      </c>
      <c r="F202" s="2" t="s">
        <v>20</v>
      </c>
      <c r="G202" s="2" t="s">
        <v>20</v>
      </c>
      <c r="H202" s="2" t="s">
        <v>20</v>
      </c>
      <c r="I202" s="6"/>
      <c r="J202" s="6"/>
      <c r="K202" s="6"/>
    </row>
    <row r="203" spans="1:11" x14ac:dyDescent="0.2">
      <c r="A203" s="7">
        <f>DATE(Configurações!$B$3,12,9)</f>
        <v>46365</v>
      </c>
      <c r="B203" s="2" t="str">
        <f t="shared" si="3"/>
        <v>qua</v>
      </c>
      <c r="C203" s="2" t="str">
        <f>Configurações!$A$20</f>
        <v>CAM 14</v>
      </c>
      <c r="D203" s="2" t="str">
        <f>Configurações!$B$20</f>
        <v>Reserva/Futura 01</v>
      </c>
      <c r="E203" s="2">
        <f>Configurações!$C$20</f>
        <v>0</v>
      </c>
      <c r="F203" s="2" t="s">
        <v>20</v>
      </c>
      <c r="G203" s="2" t="s">
        <v>20</v>
      </c>
      <c r="H203" s="2" t="s">
        <v>20</v>
      </c>
      <c r="I203" s="6"/>
      <c r="J203" s="6"/>
      <c r="K203" s="6"/>
    </row>
    <row r="204" spans="1:11" x14ac:dyDescent="0.2">
      <c r="A204" s="7">
        <f>DATE(Configurações!$B$3,12,9)</f>
        <v>46365</v>
      </c>
      <c r="B204" s="2" t="str">
        <f t="shared" si="3"/>
        <v>qua</v>
      </c>
      <c r="C204" s="2" t="str">
        <f>Configurações!$A$21</f>
        <v>CAM 15</v>
      </c>
      <c r="D204" s="2" t="str">
        <f>Configurações!$B$21</f>
        <v>Reserva/Futura 02</v>
      </c>
      <c r="E204" s="2">
        <f>Configurações!$C$21</f>
        <v>0</v>
      </c>
      <c r="F204" s="2" t="s">
        <v>20</v>
      </c>
      <c r="G204" s="2" t="s">
        <v>20</v>
      </c>
      <c r="H204" s="2" t="s">
        <v>20</v>
      </c>
      <c r="I204" s="6"/>
      <c r="J204" s="6"/>
      <c r="K204" s="6"/>
    </row>
    <row r="205" spans="1:11" x14ac:dyDescent="0.2">
      <c r="A205" s="7">
        <f>DATE(Configurações!$B$3,12,9)</f>
        <v>46365</v>
      </c>
      <c r="B205" s="2" t="str">
        <f t="shared" si="3"/>
        <v>qua</v>
      </c>
      <c r="C205" s="2" t="str">
        <f>Configurações!$A$22</f>
        <v>CAM 16</v>
      </c>
      <c r="D205" s="2" t="str">
        <f>Configurações!$B$22</f>
        <v>Reserva/Futura 03</v>
      </c>
      <c r="E205" s="2">
        <f>Configurações!$C$22</f>
        <v>0</v>
      </c>
      <c r="F205" s="2" t="s">
        <v>20</v>
      </c>
      <c r="G205" s="2" t="s">
        <v>20</v>
      </c>
      <c r="H205" s="2" t="s">
        <v>20</v>
      </c>
      <c r="I205" s="6"/>
      <c r="J205" s="6"/>
      <c r="K205" s="6"/>
    </row>
    <row r="206" spans="1:11" x14ac:dyDescent="0.2">
      <c r="A206" s="7">
        <f>DATE(Configurações!$B$3,12,9)</f>
        <v>46365</v>
      </c>
      <c r="B206" s="2" t="str">
        <f t="shared" si="3"/>
        <v>qua</v>
      </c>
      <c r="C206" s="2" t="str">
        <f>Configurações!$A$23</f>
        <v>CAM 17</v>
      </c>
      <c r="D206" s="2" t="str">
        <f>Configurações!$B$23</f>
        <v>Reserva/Futura 04</v>
      </c>
      <c r="E206" s="2">
        <f>Configurações!$C$23</f>
        <v>0</v>
      </c>
      <c r="F206" s="2" t="s">
        <v>20</v>
      </c>
      <c r="G206" s="2" t="s">
        <v>20</v>
      </c>
      <c r="H206" s="2" t="s">
        <v>20</v>
      </c>
      <c r="I206" s="6"/>
      <c r="J206" s="6"/>
      <c r="K206" s="6"/>
    </row>
    <row r="207" spans="1:11" x14ac:dyDescent="0.2">
      <c r="A207" s="7">
        <f>DATE(Configurações!$B$3,12,9)</f>
        <v>46365</v>
      </c>
      <c r="B207" s="2" t="str">
        <f t="shared" si="3"/>
        <v>qua</v>
      </c>
      <c r="C207" s="2" t="str">
        <f>Configurações!$A$24</f>
        <v>CAM 18</v>
      </c>
      <c r="D207" s="2" t="str">
        <f>Configurações!$B$24</f>
        <v>Reserva/Futura 05</v>
      </c>
      <c r="E207" s="2">
        <f>Configurações!$C$24</f>
        <v>0</v>
      </c>
      <c r="F207" s="2" t="s">
        <v>20</v>
      </c>
      <c r="G207" s="2" t="s">
        <v>20</v>
      </c>
      <c r="H207" s="2" t="s">
        <v>20</v>
      </c>
      <c r="I207" s="6"/>
      <c r="J207" s="6"/>
      <c r="K207" s="6"/>
    </row>
    <row r="208" spans="1:11" x14ac:dyDescent="0.2">
      <c r="A208" s="7">
        <f>DATE(Configurações!$B$3,12,9)</f>
        <v>46365</v>
      </c>
      <c r="B208" s="2" t="str">
        <f t="shared" si="3"/>
        <v>qua</v>
      </c>
      <c r="C208" s="2" t="str">
        <f>Configurações!$A$25</f>
        <v>CAM 19</v>
      </c>
      <c r="D208" s="2" t="str">
        <f>Configurações!$B$25</f>
        <v>Reserva/Futura 06</v>
      </c>
      <c r="E208" s="2">
        <f>Configurações!$C$25</f>
        <v>0</v>
      </c>
      <c r="F208" s="2" t="s">
        <v>20</v>
      </c>
      <c r="G208" s="2" t="s">
        <v>20</v>
      </c>
      <c r="H208" s="2" t="s">
        <v>20</v>
      </c>
      <c r="I208" s="6"/>
      <c r="J208" s="6"/>
      <c r="K208" s="6"/>
    </row>
    <row r="209" spans="1:11" x14ac:dyDescent="0.2">
      <c r="A209" s="7">
        <f>DATE(Configurações!$B$3,12,9)</f>
        <v>46365</v>
      </c>
      <c r="B209" s="2" t="str">
        <f t="shared" si="3"/>
        <v>qua</v>
      </c>
      <c r="C209" s="2" t="str">
        <f>Configurações!$A$26</f>
        <v>CAM 20</v>
      </c>
      <c r="D209" s="2" t="str">
        <f>Configurações!$B$26</f>
        <v>Reserva/Futura 07</v>
      </c>
      <c r="E209" s="2">
        <f>Configurações!$C$26</f>
        <v>0</v>
      </c>
      <c r="F209" s="2" t="s">
        <v>20</v>
      </c>
      <c r="G209" s="2" t="s">
        <v>20</v>
      </c>
      <c r="H209" s="2" t="s">
        <v>20</v>
      </c>
      <c r="I209" s="6"/>
      <c r="J209" s="6"/>
      <c r="K209" s="6"/>
    </row>
    <row r="210" spans="1:11" x14ac:dyDescent="0.2">
      <c r="A210" s="7">
        <f>DATE(Configurações!$B$3,12,9)</f>
        <v>46365</v>
      </c>
      <c r="B210" s="2" t="str">
        <f t="shared" si="3"/>
        <v>qua</v>
      </c>
      <c r="C210" s="2" t="str">
        <f>Configurações!$A$27</f>
        <v>CAM 21</v>
      </c>
      <c r="D210" s="2" t="str">
        <f>Configurações!$B$27</f>
        <v>Reserva/Futura 08</v>
      </c>
      <c r="E210" s="2">
        <f>Configurações!$C$27</f>
        <v>0</v>
      </c>
      <c r="F210" s="2" t="s">
        <v>20</v>
      </c>
      <c r="G210" s="2" t="s">
        <v>20</v>
      </c>
      <c r="H210" s="2" t="s">
        <v>20</v>
      </c>
      <c r="I210" s="6"/>
      <c r="J210" s="6"/>
      <c r="K210" s="6"/>
    </row>
    <row r="211" spans="1:11" x14ac:dyDescent="0.2">
      <c r="A211" s="7">
        <f>DATE(Configurações!$B$3,12,9)</f>
        <v>46365</v>
      </c>
      <c r="B211" s="2" t="str">
        <f t="shared" si="3"/>
        <v>qua</v>
      </c>
      <c r="C211" s="2" t="str">
        <f>Configurações!$A$28</f>
        <v>CAM 22</v>
      </c>
      <c r="D211" s="2" t="str">
        <f>Configurações!$B$28</f>
        <v>Reserva/Futura 09</v>
      </c>
      <c r="E211" s="2">
        <f>Configurações!$C$28</f>
        <v>0</v>
      </c>
      <c r="F211" s="2" t="s">
        <v>20</v>
      </c>
      <c r="G211" s="2" t="s">
        <v>20</v>
      </c>
      <c r="H211" s="2" t="s">
        <v>20</v>
      </c>
      <c r="I211" s="6"/>
      <c r="J211" s="6"/>
      <c r="K211" s="6"/>
    </row>
    <row r="212" spans="1:11" x14ac:dyDescent="0.2">
      <c r="A212" s="7">
        <f>DATE(Configurações!$B$3,12,9)</f>
        <v>46365</v>
      </c>
      <c r="B212" s="2" t="str">
        <f t="shared" si="3"/>
        <v>qua</v>
      </c>
      <c r="C212" s="2" t="str">
        <f>Configurações!$A$29</f>
        <v>CAM 23</v>
      </c>
      <c r="D212" s="2" t="str">
        <f>Configurações!$B$29</f>
        <v>Reserva/Futura 10</v>
      </c>
      <c r="E212" s="2">
        <f>Configurações!$C$29</f>
        <v>0</v>
      </c>
      <c r="F212" s="2" t="s">
        <v>20</v>
      </c>
      <c r="G212" s="2" t="s">
        <v>20</v>
      </c>
      <c r="H212" s="2" t="s">
        <v>20</v>
      </c>
      <c r="I212" s="6"/>
      <c r="J212" s="6"/>
      <c r="K212" s="6"/>
    </row>
    <row r="213" spans="1:11" x14ac:dyDescent="0.2">
      <c r="A213" s="7">
        <f>DATE(Configurações!$B$3,12,10)</f>
        <v>46366</v>
      </c>
      <c r="B213" s="2" t="str">
        <f t="shared" si="3"/>
        <v>qui</v>
      </c>
      <c r="C213" s="2" t="str">
        <f>Configurações!$A$7</f>
        <v>CAM 01</v>
      </c>
      <c r="D213" s="2" t="str">
        <f>Configurações!$B$7</f>
        <v>BARU ANDES</v>
      </c>
      <c r="E213" s="2">
        <f>Configurações!$C$7</f>
        <v>0</v>
      </c>
      <c r="F213" s="2" t="s">
        <v>20</v>
      </c>
      <c r="G213" s="2" t="s">
        <v>20</v>
      </c>
      <c r="H213" s="2" t="s">
        <v>20</v>
      </c>
      <c r="I213" s="6"/>
      <c r="J213" s="6"/>
      <c r="K213" s="6"/>
    </row>
    <row r="214" spans="1:11" x14ac:dyDescent="0.2">
      <c r="A214" s="7">
        <f>DATE(Configurações!$B$3,12,10)</f>
        <v>46366</v>
      </c>
      <c r="B214" s="2" t="str">
        <f t="shared" si="3"/>
        <v>qui</v>
      </c>
      <c r="C214" s="2" t="str">
        <f>Configurações!$A$8</f>
        <v>CAM 02</v>
      </c>
      <c r="D214" s="2" t="str">
        <f>Configurações!$B$8</f>
        <v>Câmera 02</v>
      </c>
      <c r="E214" s="2">
        <f>Configurações!$C$8</f>
        <v>0</v>
      </c>
      <c r="F214" s="2" t="s">
        <v>20</v>
      </c>
      <c r="G214" s="2" t="s">
        <v>20</v>
      </c>
      <c r="H214" s="2" t="s">
        <v>20</v>
      </c>
      <c r="I214" s="6"/>
      <c r="J214" s="6"/>
      <c r="K214" s="6"/>
    </row>
    <row r="215" spans="1:11" x14ac:dyDescent="0.2">
      <c r="A215" s="7">
        <f>DATE(Configurações!$B$3,12,10)</f>
        <v>46366</v>
      </c>
      <c r="B215" s="2" t="str">
        <f t="shared" si="3"/>
        <v>qui</v>
      </c>
      <c r="C215" s="2" t="str">
        <f>Configurações!$A$9</f>
        <v>CAM 03</v>
      </c>
      <c r="D215" s="2" t="str">
        <f>Configurações!$B$9</f>
        <v>Câmera 03</v>
      </c>
      <c r="E215" s="2">
        <f>Configurações!$C$9</f>
        <v>0</v>
      </c>
      <c r="F215" s="2" t="s">
        <v>20</v>
      </c>
      <c r="G215" s="2" t="s">
        <v>20</v>
      </c>
      <c r="H215" s="2" t="s">
        <v>20</v>
      </c>
      <c r="I215" s="6"/>
      <c r="J215" s="6"/>
      <c r="K215" s="6"/>
    </row>
    <row r="216" spans="1:11" x14ac:dyDescent="0.2">
      <c r="A216" s="7">
        <f>DATE(Configurações!$B$3,12,10)</f>
        <v>46366</v>
      </c>
      <c r="B216" s="2" t="str">
        <f t="shared" si="3"/>
        <v>qui</v>
      </c>
      <c r="C216" s="2" t="str">
        <f>Configurações!$A$10</f>
        <v>CAM 04</v>
      </c>
      <c r="D216" s="2" t="str">
        <f>Configurações!$B$10</f>
        <v>Câmera 04</v>
      </c>
      <c r="E216" s="2">
        <f>Configurações!$C$10</f>
        <v>0</v>
      </c>
      <c r="F216" s="2" t="s">
        <v>20</v>
      </c>
      <c r="G216" s="2" t="s">
        <v>20</v>
      </c>
      <c r="H216" s="2" t="s">
        <v>20</v>
      </c>
      <c r="I216" s="6"/>
      <c r="J216" s="6"/>
      <c r="K216" s="6"/>
    </row>
    <row r="217" spans="1:11" x14ac:dyDescent="0.2">
      <c r="A217" s="7">
        <f>DATE(Configurações!$B$3,12,10)</f>
        <v>46366</v>
      </c>
      <c r="B217" s="2" t="str">
        <f t="shared" si="3"/>
        <v>qui</v>
      </c>
      <c r="C217" s="2" t="str">
        <f>Configurações!$A$11</f>
        <v>CAM 05</v>
      </c>
      <c r="D217" s="2" t="str">
        <f>Configurações!$B$11</f>
        <v>Câmera 05</v>
      </c>
      <c r="E217" s="2">
        <f>Configurações!$C$11</f>
        <v>0</v>
      </c>
      <c r="F217" s="2" t="s">
        <v>20</v>
      </c>
      <c r="G217" s="2" t="s">
        <v>20</v>
      </c>
      <c r="H217" s="2" t="s">
        <v>20</v>
      </c>
      <c r="I217" s="6"/>
      <c r="J217" s="6"/>
      <c r="K217" s="6"/>
    </row>
    <row r="218" spans="1:11" x14ac:dyDescent="0.2">
      <c r="A218" s="7">
        <f>DATE(Configurações!$B$3,12,10)</f>
        <v>46366</v>
      </c>
      <c r="B218" s="2" t="str">
        <f t="shared" si="3"/>
        <v>qui</v>
      </c>
      <c r="C218" s="2" t="str">
        <f>Configurações!$A$12</f>
        <v>CAM 06</v>
      </c>
      <c r="D218" s="2" t="str">
        <f>Configurações!$B$12</f>
        <v>Câmera 06</v>
      </c>
      <c r="E218" s="2">
        <f>Configurações!$C$12</f>
        <v>0</v>
      </c>
      <c r="F218" s="2" t="s">
        <v>20</v>
      </c>
      <c r="G218" s="2" t="s">
        <v>20</v>
      </c>
      <c r="H218" s="2" t="s">
        <v>20</v>
      </c>
      <c r="I218" s="6"/>
      <c r="J218" s="6"/>
      <c r="K218" s="6"/>
    </row>
    <row r="219" spans="1:11" x14ac:dyDescent="0.2">
      <c r="A219" s="7">
        <f>DATE(Configurações!$B$3,12,10)</f>
        <v>46366</v>
      </c>
      <c r="B219" s="2" t="str">
        <f t="shared" si="3"/>
        <v>qui</v>
      </c>
      <c r="C219" s="2" t="str">
        <f>Configurações!$A$13</f>
        <v>CAM 07</v>
      </c>
      <c r="D219" s="2" t="str">
        <f>Configurações!$B$13</f>
        <v>Câmera 07</v>
      </c>
      <c r="E219" s="2">
        <f>Configurações!$C$13</f>
        <v>0</v>
      </c>
      <c r="F219" s="2" t="s">
        <v>20</v>
      </c>
      <c r="G219" s="2" t="s">
        <v>20</v>
      </c>
      <c r="H219" s="2" t="s">
        <v>20</v>
      </c>
      <c r="I219" s="6"/>
      <c r="J219" s="6"/>
      <c r="K219" s="6"/>
    </row>
    <row r="220" spans="1:11" x14ac:dyDescent="0.2">
      <c r="A220" s="7">
        <f>DATE(Configurações!$B$3,12,10)</f>
        <v>46366</v>
      </c>
      <c r="B220" s="2" t="str">
        <f t="shared" si="3"/>
        <v>qui</v>
      </c>
      <c r="C220" s="2" t="str">
        <f>Configurações!$A$14</f>
        <v>CAM 08</v>
      </c>
      <c r="D220" s="2" t="str">
        <f>Configurações!$B$14</f>
        <v>Câmera 08</v>
      </c>
      <c r="E220" s="2">
        <f>Configurações!$C$14</f>
        <v>0</v>
      </c>
      <c r="F220" s="2" t="s">
        <v>20</v>
      </c>
      <c r="G220" s="2" t="s">
        <v>20</v>
      </c>
      <c r="H220" s="2" t="s">
        <v>20</v>
      </c>
      <c r="I220" s="6"/>
      <c r="J220" s="6"/>
      <c r="K220" s="6"/>
    </row>
    <row r="221" spans="1:11" x14ac:dyDescent="0.2">
      <c r="A221" s="7">
        <f>DATE(Configurações!$B$3,12,10)</f>
        <v>46366</v>
      </c>
      <c r="B221" s="2" t="str">
        <f t="shared" si="3"/>
        <v>qui</v>
      </c>
      <c r="C221" s="2" t="str">
        <f>Configurações!$A$15</f>
        <v>CAM 09</v>
      </c>
      <c r="D221" s="2" t="str">
        <f>Configurações!$B$15</f>
        <v>Câmera 09</v>
      </c>
      <c r="E221" s="2">
        <f>Configurações!$C$15</f>
        <v>0</v>
      </c>
      <c r="F221" s="2" t="s">
        <v>20</v>
      </c>
      <c r="G221" s="2" t="s">
        <v>20</v>
      </c>
      <c r="H221" s="2" t="s">
        <v>20</v>
      </c>
      <c r="I221" s="6"/>
      <c r="J221" s="6"/>
      <c r="K221" s="6"/>
    </row>
    <row r="222" spans="1:11" x14ac:dyDescent="0.2">
      <c r="A222" s="7">
        <f>DATE(Configurações!$B$3,12,10)</f>
        <v>46366</v>
      </c>
      <c r="B222" s="2" t="str">
        <f t="shared" si="3"/>
        <v>qui</v>
      </c>
      <c r="C222" s="2" t="str">
        <f>Configurações!$A$16</f>
        <v>CAM 10</v>
      </c>
      <c r="D222" s="2" t="str">
        <f>Configurações!$B$16</f>
        <v>Câmera 10</v>
      </c>
      <c r="E222" s="2">
        <f>Configurações!$C$16</f>
        <v>0</v>
      </c>
      <c r="F222" s="2" t="s">
        <v>20</v>
      </c>
      <c r="G222" s="2" t="s">
        <v>20</v>
      </c>
      <c r="H222" s="2" t="s">
        <v>20</v>
      </c>
      <c r="I222" s="6"/>
      <c r="J222" s="6"/>
      <c r="K222" s="6"/>
    </row>
    <row r="223" spans="1:11" x14ac:dyDescent="0.2">
      <c r="A223" s="7">
        <f>DATE(Configurações!$B$3,12,10)</f>
        <v>46366</v>
      </c>
      <c r="B223" s="2" t="str">
        <f t="shared" si="3"/>
        <v>qui</v>
      </c>
      <c r="C223" s="2" t="str">
        <f>Configurações!$A$17</f>
        <v>CAM 11</v>
      </c>
      <c r="D223" s="2" t="str">
        <f>Configurações!$B$17</f>
        <v>Câmera 11</v>
      </c>
      <c r="E223" s="2">
        <f>Configurações!$C$17</f>
        <v>0</v>
      </c>
      <c r="F223" s="2" t="s">
        <v>20</v>
      </c>
      <c r="G223" s="2" t="s">
        <v>20</v>
      </c>
      <c r="H223" s="2" t="s">
        <v>20</v>
      </c>
      <c r="I223" s="6"/>
      <c r="J223" s="6"/>
      <c r="K223" s="6"/>
    </row>
    <row r="224" spans="1:11" x14ac:dyDescent="0.2">
      <c r="A224" s="7">
        <f>DATE(Configurações!$B$3,12,10)</f>
        <v>46366</v>
      </c>
      <c r="B224" s="2" t="str">
        <f t="shared" si="3"/>
        <v>qui</v>
      </c>
      <c r="C224" s="2" t="str">
        <f>Configurações!$A$18</f>
        <v>CAM 12</v>
      </c>
      <c r="D224" s="2" t="str">
        <f>Configurações!$B$18</f>
        <v>Câmera 12</v>
      </c>
      <c r="E224" s="2">
        <f>Configurações!$C$18</f>
        <v>0</v>
      </c>
      <c r="F224" s="2" t="s">
        <v>20</v>
      </c>
      <c r="G224" s="2" t="s">
        <v>20</v>
      </c>
      <c r="H224" s="2" t="s">
        <v>20</v>
      </c>
      <c r="I224" s="6"/>
      <c r="J224" s="6"/>
      <c r="K224" s="6"/>
    </row>
    <row r="225" spans="1:11" x14ac:dyDescent="0.2">
      <c r="A225" s="7">
        <f>DATE(Configurações!$B$3,12,10)</f>
        <v>46366</v>
      </c>
      <c r="B225" s="2" t="str">
        <f t="shared" si="3"/>
        <v>qui</v>
      </c>
      <c r="C225" s="2" t="str">
        <f>Configurações!$A$19</f>
        <v>CAM 13</v>
      </c>
      <c r="D225" s="2" t="str">
        <f>Configurações!$B$19</f>
        <v>Câmera 13</v>
      </c>
      <c r="E225" s="2">
        <f>Configurações!$C$19</f>
        <v>0</v>
      </c>
      <c r="F225" s="2" t="s">
        <v>20</v>
      </c>
      <c r="G225" s="2" t="s">
        <v>20</v>
      </c>
      <c r="H225" s="2" t="s">
        <v>20</v>
      </c>
      <c r="I225" s="6"/>
      <c r="J225" s="6"/>
      <c r="K225" s="6"/>
    </row>
    <row r="226" spans="1:11" x14ac:dyDescent="0.2">
      <c r="A226" s="7">
        <f>DATE(Configurações!$B$3,12,10)</f>
        <v>46366</v>
      </c>
      <c r="B226" s="2" t="str">
        <f t="shared" si="3"/>
        <v>qui</v>
      </c>
      <c r="C226" s="2" t="str">
        <f>Configurações!$A$20</f>
        <v>CAM 14</v>
      </c>
      <c r="D226" s="2" t="str">
        <f>Configurações!$B$20</f>
        <v>Reserva/Futura 01</v>
      </c>
      <c r="E226" s="2">
        <f>Configurações!$C$20</f>
        <v>0</v>
      </c>
      <c r="F226" s="2" t="s">
        <v>20</v>
      </c>
      <c r="G226" s="2" t="s">
        <v>20</v>
      </c>
      <c r="H226" s="2" t="s">
        <v>20</v>
      </c>
      <c r="I226" s="6"/>
      <c r="J226" s="6"/>
      <c r="K226" s="6"/>
    </row>
    <row r="227" spans="1:11" x14ac:dyDescent="0.2">
      <c r="A227" s="7">
        <f>DATE(Configurações!$B$3,12,10)</f>
        <v>46366</v>
      </c>
      <c r="B227" s="2" t="str">
        <f t="shared" si="3"/>
        <v>qui</v>
      </c>
      <c r="C227" s="2" t="str">
        <f>Configurações!$A$21</f>
        <v>CAM 15</v>
      </c>
      <c r="D227" s="2" t="str">
        <f>Configurações!$B$21</f>
        <v>Reserva/Futura 02</v>
      </c>
      <c r="E227" s="2">
        <f>Configurações!$C$21</f>
        <v>0</v>
      </c>
      <c r="F227" s="2" t="s">
        <v>20</v>
      </c>
      <c r="G227" s="2" t="s">
        <v>20</v>
      </c>
      <c r="H227" s="2" t="s">
        <v>20</v>
      </c>
      <c r="I227" s="6"/>
      <c r="J227" s="6"/>
      <c r="K227" s="6"/>
    </row>
    <row r="228" spans="1:11" x14ac:dyDescent="0.2">
      <c r="A228" s="7">
        <f>DATE(Configurações!$B$3,12,10)</f>
        <v>46366</v>
      </c>
      <c r="B228" s="2" t="str">
        <f t="shared" si="3"/>
        <v>qui</v>
      </c>
      <c r="C228" s="2" t="str">
        <f>Configurações!$A$22</f>
        <v>CAM 16</v>
      </c>
      <c r="D228" s="2" t="str">
        <f>Configurações!$B$22</f>
        <v>Reserva/Futura 03</v>
      </c>
      <c r="E228" s="2">
        <f>Configurações!$C$22</f>
        <v>0</v>
      </c>
      <c r="F228" s="2" t="s">
        <v>20</v>
      </c>
      <c r="G228" s="2" t="s">
        <v>20</v>
      </c>
      <c r="H228" s="2" t="s">
        <v>20</v>
      </c>
      <c r="I228" s="6"/>
      <c r="J228" s="6"/>
      <c r="K228" s="6"/>
    </row>
    <row r="229" spans="1:11" x14ac:dyDescent="0.2">
      <c r="A229" s="7">
        <f>DATE(Configurações!$B$3,12,10)</f>
        <v>46366</v>
      </c>
      <c r="B229" s="2" t="str">
        <f t="shared" si="3"/>
        <v>qui</v>
      </c>
      <c r="C229" s="2" t="str">
        <f>Configurações!$A$23</f>
        <v>CAM 17</v>
      </c>
      <c r="D229" s="2" t="str">
        <f>Configurações!$B$23</f>
        <v>Reserva/Futura 04</v>
      </c>
      <c r="E229" s="2">
        <f>Configurações!$C$23</f>
        <v>0</v>
      </c>
      <c r="F229" s="2" t="s">
        <v>20</v>
      </c>
      <c r="G229" s="2" t="s">
        <v>20</v>
      </c>
      <c r="H229" s="2" t="s">
        <v>20</v>
      </c>
      <c r="I229" s="6"/>
      <c r="J229" s="6"/>
      <c r="K229" s="6"/>
    </row>
    <row r="230" spans="1:11" x14ac:dyDescent="0.2">
      <c r="A230" s="7">
        <f>DATE(Configurações!$B$3,12,10)</f>
        <v>46366</v>
      </c>
      <c r="B230" s="2" t="str">
        <f t="shared" si="3"/>
        <v>qui</v>
      </c>
      <c r="C230" s="2" t="str">
        <f>Configurações!$A$24</f>
        <v>CAM 18</v>
      </c>
      <c r="D230" s="2" t="str">
        <f>Configurações!$B$24</f>
        <v>Reserva/Futura 05</v>
      </c>
      <c r="E230" s="2">
        <f>Configurações!$C$24</f>
        <v>0</v>
      </c>
      <c r="F230" s="2" t="s">
        <v>20</v>
      </c>
      <c r="G230" s="2" t="s">
        <v>20</v>
      </c>
      <c r="H230" s="2" t="s">
        <v>20</v>
      </c>
      <c r="I230" s="6"/>
      <c r="J230" s="6"/>
      <c r="K230" s="6"/>
    </row>
    <row r="231" spans="1:11" x14ac:dyDescent="0.2">
      <c r="A231" s="7">
        <f>DATE(Configurações!$B$3,12,10)</f>
        <v>46366</v>
      </c>
      <c r="B231" s="2" t="str">
        <f t="shared" si="3"/>
        <v>qui</v>
      </c>
      <c r="C231" s="2" t="str">
        <f>Configurações!$A$25</f>
        <v>CAM 19</v>
      </c>
      <c r="D231" s="2" t="str">
        <f>Configurações!$B$25</f>
        <v>Reserva/Futura 06</v>
      </c>
      <c r="E231" s="2">
        <f>Configurações!$C$25</f>
        <v>0</v>
      </c>
      <c r="F231" s="2" t="s">
        <v>20</v>
      </c>
      <c r="G231" s="2" t="s">
        <v>20</v>
      </c>
      <c r="H231" s="2" t="s">
        <v>20</v>
      </c>
      <c r="I231" s="6"/>
      <c r="J231" s="6"/>
      <c r="K231" s="6"/>
    </row>
    <row r="232" spans="1:11" x14ac:dyDescent="0.2">
      <c r="A232" s="7">
        <f>DATE(Configurações!$B$3,12,10)</f>
        <v>46366</v>
      </c>
      <c r="B232" s="2" t="str">
        <f t="shared" si="3"/>
        <v>qui</v>
      </c>
      <c r="C232" s="2" t="str">
        <f>Configurações!$A$26</f>
        <v>CAM 20</v>
      </c>
      <c r="D232" s="2" t="str">
        <f>Configurações!$B$26</f>
        <v>Reserva/Futura 07</v>
      </c>
      <c r="E232" s="2">
        <f>Configurações!$C$26</f>
        <v>0</v>
      </c>
      <c r="F232" s="2" t="s">
        <v>20</v>
      </c>
      <c r="G232" s="2" t="s">
        <v>20</v>
      </c>
      <c r="H232" s="2" t="s">
        <v>20</v>
      </c>
      <c r="I232" s="6"/>
      <c r="J232" s="6"/>
      <c r="K232" s="6"/>
    </row>
    <row r="233" spans="1:11" x14ac:dyDescent="0.2">
      <c r="A233" s="7">
        <f>DATE(Configurações!$B$3,12,10)</f>
        <v>46366</v>
      </c>
      <c r="B233" s="2" t="str">
        <f t="shared" si="3"/>
        <v>qui</v>
      </c>
      <c r="C233" s="2" t="str">
        <f>Configurações!$A$27</f>
        <v>CAM 21</v>
      </c>
      <c r="D233" s="2" t="str">
        <f>Configurações!$B$27</f>
        <v>Reserva/Futura 08</v>
      </c>
      <c r="E233" s="2">
        <f>Configurações!$C$27</f>
        <v>0</v>
      </c>
      <c r="F233" s="2" t="s">
        <v>20</v>
      </c>
      <c r="G233" s="2" t="s">
        <v>20</v>
      </c>
      <c r="H233" s="2" t="s">
        <v>20</v>
      </c>
      <c r="I233" s="6"/>
      <c r="J233" s="6"/>
      <c r="K233" s="6"/>
    </row>
    <row r="234" spans="1:11" x14ac:dyDescent="0.2">
      <c r="A234" s="7">
        <f>DATE(Configurações!$B$3,12,10)</f>
        <v>46366</v>
      </c>
      <c r="B234" s="2" t="str">
        <f t="shared" si="3"/>
        <v>qui</v>
      </c>
      <c r="C234" s="2" t="str">
        <f>Configurações!$A$28</f>
        <v>CAM 22</v>
      </c>
      <c r="D234" s="2" t="str">
        <f>Configurações!$B$28</f>
        <v>Reserva/Futura 09</v>
      </c>
      <c r="E234" s="2">
        <f>Configurações!$C$28</f>
        <v>0</v>
      </c>
      <c r="F234" s="2" t="s">
        <v>20</v>
      </c>
      <c r="G234" s="2" t="s">
        <v>20</v>
      </c>
      <c r="H234" s="2" t="s">
        <v>20</v>
      </c>
      <c r="I234" s="6"/>
      <c r="J234" s="6"/>
      <c r="K234" s="6"/>
    </row>
    <row r="235" spans="1:11" x14ac:dyDescent="0.2">
      <c r="A235" s="7">
        <f>DATE(Configurações!$B$3,12,10)</f>
        <v>46366</v>
      </c>
      <c r="B235" s="2" t="str">
        <f t="shared" si="3"/>
        <v>qui</v>
      </c>
      <c r="C235" s="2" t="str">
        <f>Configurações!$A$29</f>
        <v>CAM 23</v>
      </c>
      <c r="D235" s="2" t="str">
        <f>Configurações!$B$29</f>
        <v>Reserva/Futura 10</v>
      </c>
      <c r="E235" s="2">
        <f>Configurações!$C$29</f>
        <v>0</v>
      </c>
      <c r="F235" s="2" t="s">
        <v>20</v>
      </c>
      <c r="G235" s="2" t="s">
        <v>20</v>
      </c>
      <c r="H235" s="2" t="s">
        <v>20</v>
      </c>
      <c r="I235" s="6"/>
      <c r="J235" s="6"/>
      <c r="K235" s="6"/>
    </row>
    <row r="236" spans="1:11" x14ac:dyDescent="0.2">
      <c r="A236" s="7">
        <f>DATE(Configurações!$B$3,12,11)</f>
        <v>46367</v>
      </c>
      <c r="B236" s="2" t="str">
        <f t="shared" si="3"/>
        <v>sex</v>
      </c>
      <c r="C236" s="2" t="str">
        <f>Configurações!$A$7</f>
        <v>CAM 01</v>
      </c>
      <c r="D236" s="2" t="str">
        <f>Configurações!$B$7</f>
        <v>BARU ANDES</v>
      </c>
      <c r="E236" s="2">
        <f>Configurações!$C$7</f>
        <v>0</v>
      </c>
      <c r="F236" s="2" t="s">
        <v>20</v>
      </c>
      <c r="G236" s="2" t="s">
        <v>20</v>
      </c>
      <c r="H236" s="2" t="s">
        <v>20</v>
      </c>
      <c r="I236" s="6"/>
      <c r="J236" s="6"/>
      <c r="K236" s="6"/>
    </row>
    <row r="237" spans="1:11" x14ac:dyDescent="0.2">
      <c r="A237" s="7">
        <f>DATE(Configurações!$B$3,12,11)</f>
        <v>46367</v>
      </c>
      <c r="B237" s="2" t="str">
        <f t="shared" si="3"/>
        <v>sex</v>
      </c>
      <c r="C237" s="2" t="str">
        <f>Configurações!$A$8</f>
        <v>CAM 02</v>
      </c>
      <c r="D237" s="2" t="str">
        <f>Configurações!$B$8</f>
        <v>Câmera 02</v>
      </c>
      <c r="E237" s="2">
        <f>Configurações!$C$8</f>
        <v>0</v>
      </c>
      <c r="F237" s="2" t="s">
        <v>20</v>
      </c>
      <c r="G237" s="2" t="s">
        <v>20</v>
      </c>
      <c r="H237" s="2" t="s">
        <v>20</v>
      </c>
      <c r="I237" s="6"/>
      <c r="J237" s="6"/>
      <c r="K237" s="6"/>
    </row>
    <row r="238" spans="1:11" x14ac:dyDescent="0.2">
      <c r="A238" s="7">
        <f>DATE(Configurações!$B$3,12,11)</f>
        <v>46367</v>
      </c>
      <c r="B238" s="2" t="str">
        <f t="shared" si="3"/>
        <v>sex</v>
      </c>
      <c r="C238" s="2" t="str">
        <f>Configurações!$A$9</f>
        <v>CAM 03</v>
      </c>
      <c r="D238" s="2" t="str">
        <f>Configurações!$B$9</f>
        <v>Câmera 03</v>
      </c>
      <c r="E238" s="2">
        <f>Configurações!$C$9</f>
        <v>0</v>
      </c>
      <c r="F238" s="2" t="s">
        <v>20</v>
      </c>
      <c r="G238" s="2" t="s">
        <v>20</v>
      </c>
      <c r="H238" s="2" t="s">
        <v>20</v>
      </c>
      <c r="I238" s="6"/>
      <c r="J238" s="6"/>
      <c r="K238" s="6"/>
    </row>
    <row r="239" spans="1:11" x14ac:dyDescent="0.2">
      <c r="A239" s="7">
        <f>DATE(Configurações!$B$3,12,11)</f>
        <v>46367</v>
      </c>
      <c r="B239" s="2" t="str">
        <f t="shared" si="3"/>
        <v>sex</v>
      </c>
      <c r="C239" s="2" t="str">
        <f>Configurações!$A$10</f>
        <v>CAM 04</v>
      </c>
      <c r="D239" s="2" t="str">
        <f>Configurações!$B$10</f>
        <v>Câmera 04</v>
      </c>
      <c r="E239" s="2">
        <f>Configurações!$C$10</f>
        <v>0</v>
      </c>
      <c r="F239" s="2" t="s">
        <v>20</v>
      </c>
      <c r="G239" s="2" t="s">
        <v>20</v>
      </c>
      <c r="H239" s="2" t="s">
        <v>20</v>
      </c>
      <c r="I239" s="6"/>
      <c r="J239" s="6"/>
      <c r="K239" s="6"/>
    </row>
    <row r="240" spans="1:11" x14ac:dyDescent="0.2">
      <c r="A240" s="7">
        <f>DATE(Configurações!$B$3,12,11)</f>
        <v>46367</v>
      </c>
      <c r="B240" s="2" t="str">
        <f t="shared" si="3"/>
        <v>sex</v>
      </c>
      <c r="C240" s="2" t="str">
        <f>Configurações!$A$11</f>
        <v>CAM 05</v>
      </c>
      <c r="D240" s="2" t="str">
        <f>Configurações!$B$11</f>
        <v>Câmera 05</v>
      </c>
      <c r="E240" s="2">
        <f>Configurações!$C$11</f>
        <v>0</v>
      </c>
      <c r="F240" s="2" t="s">
        <v>20</v>
      </c>
      <c r="G240" s="2" t="s">
        <v>20</v>
      </c>
      <c r="H240" s="2" t="s">
        <v>20</v>
      </c>
      <c r="I240" s="6"/>
      <c r="J240" s="6"/>
      <c r="K240" s="6"/>
    </row>
    <row r="241" spans="1:11" x14ac:dyDescent="0.2">
      <c r="A241" s="7">
        <f>DATE(Configurações!$B$3,12,11)</f>
        <v>46367</v>
      </c>
      <c r="B241" s="2" t="str">
        <f t="shared" si="3"/>
        <v>sex</v>
      </c>
      <c r="C241" s="2" t="str">
        <f>Configurações!$A$12</f>
        <v>CAM 06</v>
      </c>
      <c r="D241" s="2" t="str">
        <f>Configurações!$B$12</f>
        <v>Câmera 06</v>
      </c>
      <c r="E241" s="2">
        <f>Configurações!$C$12</f>
        <v>0</v>
      </c>
      <c r="F241" s="2" t="s">
        <v>20</v>
      </c>
      <c r="G241" s="2" t="s">
        <v>20</v>
      </c>
      <c r="H241" s="2" t="s">
        <v>20</v>
      </c>
      <c r="I241" s="6"/>
      <c r="J241" s="6"/>
      <c r="K241" s="6"/>
    </row>
    <row r="242" spans="1:11" x14ac:dyDescent="0.2">
      <c r="A242" s="7">
        <f>DATE(Configurações!$B$3,12,11)</f>
        <v>46367</v>
      </c>
      <c r="B242" s="2" t="str">
        <f t="shared" si="3"/>
        <v>sex</v>
      </c>
      <c r="C242" s="2" t="str">
        <f>Configurações!$A$13</f>
        <v>CAM 07</v>
      </c>
      <c r="D242" s="2" t="str">
        <f>Configurações!$B$13</f>
        <v>Câmera 07</v>
      </c>
      <c r="E242" s="2">
        <f>Configurações!$C$13</f>
        <v>0</v>
      </c>
      <c r="F242" s="2" t="s">
        <v>20</v>
      </c>
      <c r="G242" s="2" t="s">
        <v>20</v>
      </c>
      <c r="H242" s="2" t="s">
        <v>20</v>
      </c>
      <c r="I242" s="6"/>
      <c r="J242" s="6"/>
      <c r="K242" s="6"/>
    </row>
    <row r="243" spans="1:11" x14ac:dyDescent="0.2">
      <c r="A243" s="7">
        <f>DATE(Configurações!$B$3,12,11)</f>
        <v>46367</v>
      </c>
      <c r="B243" s="2" t="str">
        <f t="shared" si="3"/>
        <v>sex</v>
      </c>
      <c r="C243" s="2" t="str">
        <f>Configurações!$A$14</f>
        <v>CAM 08</v>
      </c>
      <c r="D243" s="2" t="str">
        <f>Configurações!$B$14</f>
        <v>Câmera 08</v>
      </c>
      <c r="E243" s="2">
        <f>Configurações!$C$14</f>
        <v>0</v>
      </c>
      <c r="F243" s="2" t="s">
        <v>20</v>
      </c>
      <c r="G243" s="2" t="s">
        <v>20</v>
      </c>
      <c r="H243" s="2" t="s">
        <v>20</v>
      </c>
      <c r="I243" s="6"/>
      <c r="J243" s="6"/>
      <c r="K243" s="6"/>
    </row>
    <row r="244" spans="1:11" x14ac:dyDescent="0.2">
      <c r="A244" s="7">
        <f>DATE(Configurações!$B$3,12,11)</f>
        <v>46367</v>
      </c>
      <c r="B244" s="2" t="str">
        <f t="shared" si="3"/>
        <v>sex</v>
      </c>
      <c r="C244" s="2" t="str">
        <f>Configurações!$A$15</f>
        <v>CAM 09</v>
      </c>
      <c r="D244" s="2" t="str">
        <f>Configurações!$B$15</f>
        <v>Câmera 09</v>
      </c>
      <c r="E244" s="2">
        <f>Configurações!$C$15</f>
        <v>0</v>
      </c>
      <c r="F244" s="2" t="s">
        <v>20</v>
      </c>
      <c r="G244" s="2" t="s">
        <v>20</v>
      </c>
      <c r="H244" s="2" t="s">
        <v>20</v>
      </c>
      <c r="I244" s="6"/>
      <c r="J244" s="6"/>
      <c r="K244" s="6"/>
    </row>
    <row r="245" spans="1:11" x14ac:dyDescent="0.2">
      <c r="A245" s="7">
        <f>DATE(Configurações!$B$3,12,11)</f>
        <v>46367</v>
      </c>
      <c r="B245" s="2" t="str">
        <f t="shared" si="3"/>
        <v>sex</v>
      </c>
      <c r="C245" s="2" t="str">
        <f>Configurações!$A$16</f>
        <v>CAM 10</v>
      </c>
      <c r="D245" s="2" t="str">
        <f>Configurações!$B$16</f>
        <v>Câmera 10</v>
      </c>
      <c r="E245" s="2">
        <f>Configurações!$C$16</f>
        <v>0</v>
      </c>
      <c r="F245" s="2" t="s">
        <v>20</v>
      </c>
      <c r="G245" s="2" t="s">
        <v>20</v>
      </c>
      <c r="H245" s="2" t="s">
        <v>20</v>
      </c>
      <c r="I245" s="6"/>
      <c r="J245" s="6"/>
      <c r="K245" s="6"/>
    </row>
    <row r="246" spans="1:11" x14ac:dyDescent="0.2">
      <c r="A246" s="7">
        <f>DATE(Configurações!$B$3,12,11)</f>
        <v>46367</v>
      </c>
      <c r="B246" s="2" t="str">
        <f t="shared" si="3"/>
        <v>sex</v>
      </c>
      <c r="C246" s="2" t="str">
        <f>Configurações!$A$17</f>
        <v>CAM 11</v>
      </c>
      <c r="D246" s="2" t="str">
        <f>Configurações!$B$17</f>
        <v>Câmera 11</v>
      </c>
      <c r="E246" s="2">
        <f>Configurações!$C$17</f>
        <v>0</v>
      </c>
      <c r="F246" s="2" t="s">
        <v>20</v>
      </c>
      <c r="G246" s="2" t="s">
        <v>20</v>
      </c>
      <c r="H246" s="2" t="s">
        <v>20</v>
      </c>
      <c r="I246" s="6"/>
      <c r="J246" s="6"/>
      <c r="K246" s="6"/>
    </row>
    <row r="247" spans="1:11" x14ac:dyDescent="0.2">
      <c r="A247" s="7">
        <f>DATE(Configurações!$B$3,12,11)</f>
        <v>46367</v>
      </c>
      <c r="B247" s="2" t="str">
        <f t="shared" si="3"/>
        <v>sex</v>
      </c>
      <c r="C247" s="2" t="str">
        <f>Configurações!$A$18</f>
        <v>CAM 12</v>
      </c>
      <c r="D247" s="2" t="str">
        <f>Configurações!$B$18</f>
        <v>Câmera 12</v>
      </c>
      <c r="E247" s="2">
        <f>Configurações!$C$18</f>
        <v>0</v>
      </c>
      <c r="F247" s="2" t="s">
        <v>20</v>
      </c>
      <c r="G247" s="2" t="s">
        <v>20</v>
      </c>
      <c r="H247" s="2" t="s">
        <v>20</v>
      </c>
      <c r="I247" s="6"/>
      <c r="J247" s="6"/>
      <c r="K247" s="6"/>
    </row>
    <row r="248" spans="1:11" x14ac:dyDescent="0.2">
      <c r="A248" s="7">
        <f>DATE(Configurações!$B$3,12,11)</f>
        <v>46367</v>
      </c>
      <c r="B248" s="2" t="str">
        <f t="shared" si="3"/>
        <v>sex</v>
      </c>
      <c r="C248" s="2" t="str">
        <f>Configurações!$A$19</f>
        <v>CAM 13</v>
      </c>
      <c r="D248" s="2" t="str">
        <f>Configurações!$B$19</f>
        <v>Câmera 13</v>
      </c>
      <c r="E248" s="2">
        <f>Configurações!$C$19</f>
        <v>0</v>
      </c>
      <c r="F248" s="2" t="s">
        <v>20</v>
      </c>
      <c r="G248" s="2" t="s">
        <v>20</v>
      </c>
      <c r="H248" s="2" t="s">
        <v>20</v>
      </c>
      <c r="I248" s="6"/>
      <c r="J248" s="6"/>
      <c r="K248" s="6"/>
    </row>
    <row r="249" spans="1:11" x14ac:dyDescent="0.2">
      <c r="A249" s="7">
        <f>DATE(Configurações!$B$3,12,11)</f>
        <v>46367</v>
      </c>
      <c r="B249" s="2" t="str">
        <f t="shared" si="3"/>
        <v>sex</v>
      </c>
      <c r="C249" s="2" t="str">
        <f>Configurações!$A$20</f>
        <v>CAM 14</v>
      </c>
      <c r="D249" s="2" t="str">
        <f>Configurações!$B$20</f>
        <v>Reserva/Futura 01</v>
      </c>
      <c r="E249" s="2">
        <f>Configurações!$C$20</f>
        <v>0</v>
      </c>
      <c r="F249" s="2" t="s">
        <v>20</v>
      </c>
      <c r="G249" s="2" t="s">
        <v>20</v>
      </c>
      <c r="H249" s="2" t="s">
        <v>20</v>
      </c>
      <c r="I249" s="6"/>
      <c r="J249" s="6"/>
      <c r="K249" s="6"/>
    </row>
    <row r="250" spans="1:11" x14ac:dyDescent="0.2">
      <c r="A250" s="7">
        <f>DATE(Configurações!$B$3,12,11)</f>
        <v>46367</v>
      </c>
      <c r="B250" s="2" t="str">
        <f t="shared" si="3"/>
        <v>sex</v>
      </c>
      <c r="C250" s="2" t="str">
        <f>Configurações!$A$21</f>
        <v>CAM 15</v>
      </c>
      <c r="D250" s="2" t="str">
        <f>Configurações!$B$21</f>
        <v>Reserva/Futura 02</v>
      </c>
      <c r="E250" s="2">
        <f>Configurações!$C$21</f>
        <v>0</v>
      </c>
      <c r="F250" s="2" t="s">
        <v>20</v>
      </c>
      <c r="G250" s="2" t="s">
        <v>20</v>
      </c>
      <c r="H250" s="2" t="s">
        <v>20</v>
      </c>
      <c r="I250" s="6"/>
      <c r="J250" s="6"/>
      <c r="K250" s="6"/>
    </row>
    <row r="251" spans="1:11" x14ac:dyDescent="0.2">
      <c r="A251" s="7">
        <f>DATE(Configurações!$B$3,12,11)</f>
        <v>46367</v>
      </c>
      <c r="B251" s="2" t="str">
        <f t="shared" si="3"/>
        <v>sex</v>
      </c>
      <c r="C251" s="2" t="str">
        <f>Configurações!$A$22</f>
        <v>CAM 16</v>
      </c>
      <c r="D251" s="2" t="str">
        <f>Configurações!$B$22</f>
        <v>Reserva/Futura 03</v>
      </c>
      <c r="E251" s="2">
        <f>Configurações!$C$22</f>
        <v>0</v>
      </c>
      <c r="F251" s="2" t="s">
        <v>20</v>
      </c>
      <c r="G251" s="2" t="s">
        <v>20</v>
      </c>
      <c r="H251" s="2" t="s">
        <v>20</v>
      </c>
      <c r="I251" s="6"/>
      <c r="J251" s="6"/>
      <c r="K251" s="6"/>
    </row>
    <row r="252" spans="1:11" x14ac:dyDescent="0.2">
      <c r="A252" s="7">
        <f>DATE(Configurações!$B$3,12,11)</f>
        <v>46367</v>
      </c>
      <c r="B252" s="2" t="str">
        <f t="shared" si="3"/>
        <v>sex</v>
      </c>
      <c r="C252" s="2" t="str">
        <f>Configurações!$A$23</f>
        <v>CAM 17</v>
      </c>
      <c r="D252" s="2" t="str">
        <f>Configurações!$B$23</f>
        <v>Reserva/Futura 04</v>
      </c>
      <c r="E252" s="2">
        <f>Configurações!$C$23</f>
        <v>0</v>
      </c>
      <c r="F252" s="2" t="s">
        <v>20</v>
      </c>
      <c r="G252" s="2" t="s">
        <v>20</v>
      </c>
      <c r="H252" s="2" t="s">
        <v>20</v>
      </c>
      <c r="I252" s="6"/>
      <c r="J252" s="6"/>
      <c r="K252" s="6"/>
    </row>
    <row r="253" spans="1:11" x14ac:dyDescent="0.2">
      <c r="A253" s="7">
        <f>DATE(Configurações!$B$3,12,11)</f>
        <v>46367</v>
      </c>
      <c r="B253" s="2" t="str">
        <f t="shared" si="3"/>
        <v>sex</v>
      </c>
      <c r="C253" s="2" t="str">
        <f>Configurações!$A$24</f>
        <v>CAM 18</v>
      </c>
      <c r="D253" s="2" t="str">
        <f>Configurações!$B$24</f>
        <v>Reserva/Futura 05</v>
      </c>
      <c r="E253" s="2">
        <f>Configurações!$C$24</f>
        <v>0</v>
      </c>
      <c r="F253" s="2" t="s">
        <v>20</v>
      </c>
      <c r="G253" s="2" t="s">
        <v>20</v>
      </c>
      <c r="H253" s="2" t="s">
        <v>20</v>
      </c>
      <c r="I253" s="6"/>
      <c r="J253" s="6"/>
      <c r="K253" s="6"/>
    </row>
    <row r="254" spans="1:11" x14ac:dyDescent="0.2">
      <c r="A254" s="7">
        <f>DATE(Configurações!$B$3,12,11)</f>
        <v>46367</v>
      </c>
      <c r="B254" s="2" t="str">
        <f t="shared" si="3"/>
        <v>sex</v>
      </c>
      <c r="C254" s="2" t="str">
        <f>Configurações!$A$25</f>
        <v>CAM 19</v>
      </c>
      <c r="D254" s="2" t="str">
        <f>Configurações!$B$25</f>
        <v>Reserva/Futura 06</v>
      </c>
      <c r="E254" s="2">
        <f>Configurações!$C$25</f>
        <v>0</v>
      </c>
      <c r="F254" s="2" t="s">
        <v>20</v>
      </c>
      <c r="G254" s="2" t="s">
        <v>20</v>
      </c>
      <c r="H254" s="2" t="s">
        <v>20</v>
      </c>
      <c r="I254" s="6"/>
      <c r="J254" s="6"/>
      <c r="K254" s="6"/>
    </row>
    <row r="255" spans="1:11" x14ac:dyDescent="0.2">
      <c r="A255" s="7">
        <f>DATE(Configurações!$B$3,12,11)</f>
        <v>46367</v>
      </c>
      <c r="B255" s="2" t="str">
        <f t="shared" si="3"/>
        <v>sex</v>
      </c>
      <c r="C255" s="2" t="str">
        <f>Configurações!$A$26</f>
        <v>CAM 20</v>
      </c>
      <c r="D255" s="2" t="str">
        <f>Configurações!$B$26</f>
        <v>Reserva/Futura 07</v>
      </c>
      <c r="E255" s="2">
        <f>Configurações!$C$26</f>
        <v>0</v>
      </c>
      <c r="F255" s="2" t="s">
        <v>20</v>
      </c>
      <c r="G255" s="2" t="s">
        <v>20</v>
      </c>
      <c r="H255" s="2" t="s">
        <v>20</v>
      </c>
      <c r="I255" s="6"/>
      <c r="J255" s="6"/>
      <c r="K255" s="6"/>
    </row>
    <row r="256" spans="1:11" x14ac:dyDescent="0.2">
      <c r="A256" s="7">
        <f>DATE(Configurações!$B$3,12,11)</f>
        <v>46367</v>
      </c>
      <c r="B256" s="2" t="str">
        <f t="shared" si="3"/>
        <v>sex</v>
      </c>
      <c r="C256" s="2" t="str">
        <f>Configurações!$A$27</f>
        <v>CAM 21</v>
      </c>
      <c r="D256" s="2" t="str">
        <f>Configurações!$B$27</f>
        <v>Reserva/Futura 08</v>
      </c>
      <c r="E256" s="2">
        <f>Configurações!$C$27</f>
        <v>0</v>
      </c>
      <c r="F256" s="2" t="s">
        <v>20</v>
      </c>
      <c r="G256" s="2" t="s">
        <v>20</v>
      </c>
      <c r="H256" s="2" t="s">
        <v>20</v>
      </c>
      <c r="I256" s="6"/>
      <c r="J256" s="6"/>
      <c r="K256" s="6"/>
    </row>
    <row r="257" spans="1:11" x14ac:dyDescent="0.2">
      <c r="A257" s="7">
        <f>DATE(Configurações!$B$3,12,11)</f>
        <v>46367</v>
      </c>
      <c r="B257" s="2" t="str">
        <f t="shared" si="3"/>
        <v>sex</v>
      </c>
      <c r="C257" s="2" t="str">
        <f>Configurações!$A$28</f>
        <v>CAM 22</v>
      </c>
      <c r="D257" s="2" t="str">
        <f>Configurações!$B$28</f>
        <v>Reserva/Futura 09</v>
      </c>
      <c r="E257" s="2">
        <f>Configurações!$C$28</f>
        <v>0</v>
      </c>
      <c r="F257" s="2" t="s">
        <v>20</v>
      </c>
      <c r="G257" s="2" t="s">
        <v>20</v>
      </c>
      <c r="H257" s="2" t="s">
        <v>20</v>
      </c>
      <c r="I257" s="6"/>
      <c r="J257" s="6"/>
      <c r="K257" s="6"/>
    </row>
    <row r="258" spans="1:11" x14ac:dyDescent="0.2">
      <c r="A258" s="7">
        <f>DATE(Configurações!$B$3,12,11)</f>
        <v>46367</v>
      </c>
      <c r="B258" s="2" t="str">
        <f t="shared" si="3"/>
        <v>sex</v>
      </c>
      <c r="C258" s="2" t="str">
        <f>Configurações!$A$29</f>
        <v>CAM 23</v>
      </c>
      <c r="D258" s="2" t="str">
        <f>Configurações!$B$29</f>
        <v>Reserva/Futura 10</v>
      </c>
      <c r="E258" s="2">
        <f>Configurações!$C$29</f>
        <v>0</v>
      </c>
      <c r="F258" s="2" t="s">
        <v>20</v>
      </c>
      <c r="G258" s="2" t="s">
        <v>20</v>
      </c>
      <c r="H258" s="2" t="s">
        <v>20</v>
      </c>
      <c r="I258" s="6"/>
      <c r="J258" s="6"/>
      <c r="K258" s="6"/>
    </row>
    <row r="259" spans="1:11" x14ac:dyDescent="0.2">
      <c r="A259" s="7">
        <f>DATE(Configurações!$B$3,12,12)</f>
        <v>46368</v>
      </c>
      <c r="B259" s="2" t="str">
        <f t="shared" si="3"/>
        <v>sáb</v>
      </c>
      <c r="C259" s="2" t="str">
        <f>Configurações!$A$7</f>
        <v>CAM 01</v>
      </c>
      <c r="D259" s="2" t="str">
        <f>Configurações!$B$7</f>
        <v>BARU ANDES</v>
      </c>
      <c r="E259" s="2">
        <f>Configurações!$C$7</f>
        <v>0</v>
      </c>
      <c r="F259" s="2" t="s">
        <v>20</v>
      </c>
      <c r="G259" s="2" t="s">
        <v>20</v>
      </c>
      <c r="H259" s="2" t="s">
        <v>20</v>
      </c>
      <c r="I259" s="6"/>
      <c r="J259" s="6"/>
      <c r="K259" s="6"/>
    </row>
    <row r="260" spans="1:11" x14ac:dyDescent="0.2">
      <c r="A260" s="7">
        <f>DATE(Configurações!$B$3,12,12)</f>
        <v>46368</v>
      </c>
      <c r="B260" s="2" t="str">
        <f t="shared" si="3"/>
        <v>sáb</v>
      </c>
      <c r="C260" s="2" t="str">
        <f>Configurações!$A$8</f>
        <v>CAM 02</v>
      </c>
      <c r="D260" s="2" t="str">
        <f>Configurações!$B$8</f>
        <v>Câmera 02</v>
      </c>
      <c r="E260" s="2">
        <f>Configurações!$C$8</f>
        <v>0</v>
      </c>
      <c r="F260" s="2" t="s">
        <v>20</v>
      </c>
      <c r="G260" s="2" t="s">
        <v>20</v>
      </c>
      <c r="H260" s="2" t="s">
        <v>20</v>
      </c>
      <c r="I260" s="6"/>
      <c r="J260" s="6"/>
      <c r="K260" s="6"/>
    </row>
    <row r="261" spans="1:11" x14ac:dyDescent="0.2">
      <c r="A261" s="7">
        <f>DATE(Configurações!$B$3,12,12)</f>
        <v>46368</v>
      </c>
      <c r="B261" s="2" t="str">
        <f t="shared" si="3"/>
        <v>sáb</v>
      </c>
      <c r="C261" s="2" t="str">
        <f>Configurações!$A$9</f>
        <v>CAM 03</v>
      </c>
      <c r="D261" s="2" t="str">
        <f>Configurações!$B$9</f>
        <v>Câmera 03</v>
      </c>
      <c r="E261" s="2">
        <f>Configurações!$C$9</f>
        <v>0</v>
      </c>
      <c r="F261" s="2" t="s">
        <v>20</v>
      </c>
      <c r="G261" s="2" t="s">
        <v>20</v>
      </c>
      <c r="H261" s="2" t="s">
        <v>20</v>
      </c>
      <c r="I261" s="6"/>
      <c r="J261" s="6"/>
      <c r="K261" s="6"/>
    </row>
    <row r="262" spans="1:11" x14ac:dyDescent="0.2">
      <c r="A262" s="7">
        <f>DATE(Configurações!$B$3,12,12)</f>
        <v>46368</v>
      </c>
      <c r="B262" s="2" t="str">
        <f t="shared" ref="B262:B325" si="4">TEXT(A262,"ddd")</f>
        <v>sáb</v>
      </c>
      <c r="C262" s="2" t="str">
        <f>Configurações!$A$10</f>
        <v>CAM 04</v>
      </c>
      <c r="D262" s="2" t="str">
        <f>Configurações!$B$10</f>
        <v>Câmera 04</v>
      </c>
      <c r="E262" s="2">
        <f>Configurações!$C$10</f>
        <v>0</v>
      </c>
      <c r="F262" s="2" t="s">
        <v>20</v>
      </c>
      <c r="G262" s="2" t="s">
        <v>20</v>
      </c>
      <c r="H262" s="2" t="s">
        <v>20</v>
      </c>
      <c r="I262" s="6"/>
      <c r="J262" s="6"/>
      <c r="K262" s="6"/>
    </row>
    <row r="263" spans="1:11" x14ac:dyDescent="0.2">
      <c r="A263" s="7">
        <f>DATE(Configurações!$B$3,12,12)</f>
        <v>46368</v>
      </c>
      <c r="B263" s="2" t="str">
        <f t="shared" si="4"/>
        <v>sáb</v>
      </c>
      <c r="C263" s="2" t="str">
        <f>Configurações!$A$11</f>
        <v>CAM 05</v>
      </c>
      <c r="D263" s="2" t="str">
        <f>Configurações!$B$11</f>
        <v>Câmera 05</v>
      </c>
      <c r="E263" s="2">
        <f>Configurações!$C$11</f>
        <v>0</v>
      </c>
      <c r="F263" s="2" t="s">
        <v>20</v>
      </c>
      <c r="G263" s="2" t="s">
        <v>20</v>
      </c>
      <c r="H263" s="2" t="s">
        <v>20</v>
      </c>
      <c r="I263" s="6"/>
      <c r="J263" s="6"/>
      <c r="K263" s="6"/>
    </row>
    <row r="264" spans="1:11" x14ac:dyDescent="0.2">
      <c r="A264" s="7">
        <f>DATE(Configurações!$B$3,12,12)</f>
        <v>46368</v>
      </c>
      <c r="B264" s="2" t="str">
        <f t="shared" si="4"/>
        <v>sáb</v>
      </c>
      <c r="C264" s="2" t="str">
        <f>Configurações!$A$12</f>
        <v>CAM 06</v>
      </c>
      <c r="D264" s="2" t="str">
        <f>Configurações!$B$12</f>
        <v>Câmera 06</v>
      </c>
      <c r="E264" s="2">
        <f>Configurações!$C$12</f>
        <v>0</v>
      </c>
      <c r="F264" s="2" t="s">
        <v>20</v>
      </c>
      <c r="G264" s="2" t="s">
        <v>20</v>
      </c>
      <c r="H264" s="2" t="s">
        <v>20</v>
      </c>
      <c r="I264" s="6"/>
      <c r="J264" s="6"/>
      <c r="K264" s="6"/>
    </row>
    <row r="265" spans="1:11" x14ac:dyDescent="0.2">
      <c r="A265" s="7">
        <f>DATE(Configurações!$B$3,12,12)</f>
        <v>46368</v>
      </c>
      <c r="B265" s="2" t="str">
        <f t="shared" si="4"/>
        <v>sáb</v>
      </c>
      <c r="C265" s="2" t="str">
        <f>Configurações!$A$13</f>
        <v>CAM 07</v>
      </c>
      <c r="D265" s="2" t="str">
        <f>Configurações!$B$13</f>
        <v>Câmera 07</v>
      </c>
      <c r="E265" s="2">
        <f>Configurações!$C$13</f>
        <v>0</v>
      </c>
      <c r="F265" s="2" t="s">
        <v>20</v>
      </c>
      <c r="G265" s="2" t="s">
        <v>20</v>
      </c>
      <c r="H265" s="2" t="s">
        <v>20</v>
      </c>
      <c r="I265" s="6"/>
      <c r="J265" s="6"/>
      <c r="K265" s="6"/>
    </row>
    <row r="266" spans="1:11" x14ac:dyDescent="0.2">
      <c r="A266" s="7">
        <f>DATE(Configurações!$B$3,12,12)</f>
        <v>46368</v>
      </c>
      <c r="B266" s="2" t="str">
        <f t="shared" si="4"/>
        <v>sáb</v>
      </c>
      <c r="C266" s="2" t="str">
        <f>Configurações!$A$14</f>
        <v>CAM 08</v>
      </c>
      <c r="D266" s="2" t="str">
        <f>Configurações!$B$14</f>
        <v>Câmera 08</v>
      </c>
      <c r="E266" s="2">
        <f>Configurações!$C$14</f>
        <v>0</v>
      </c>
      <c r="F266" s="2" t="s">
        <v>20</v>
      </c>
      <c r="G266" s="2" t="s">
        <v>20</v>
      </c>
      <c r="H266" s="2" t="s">
        <v>20</v>
      </c>
      <c r="I266" s="6"/>
      <c r="J266" s="6"/>
      <c r="K266" s="6"/>
    </row>
    <row r="267" spans="1:11" x14ac:dyDescent="0.2">
      <c r="A267" s="7">
        <f>DATE(Configurações!$B$3,12,12)</f>
        <v>46368</v>
      </c>
      <c r="B267" s="2" t="str">
        <f t="shared" si="4"/>
        <v>sáb</v>
      </c>
      <c r="C267" s="2" t="str">
        <f>Configurações!$A$15</f>
        <v>CAM 09</v>
      </c>
      <c r="D267" s="2" t="str">
        <f>Configurações!$B$15</f>
        <v>Câmera 09</v>
      </c>
      <c r="E267" s="2">
        <f>Configurações!$C$15</f>
        <v>0</v>
      </c>
      <c r="F267" s="2" t="s">
        <v>20</v>
      </c>
      <c r="G267" s="2" t="s">
        <v>20</v>
      </c>
      <c r="H267" s="2" t="s">
        <v>20</v>
      </c>
      <c r="I267" s="6"/>
      <c r="J267" s="6"/>
      <c r="K267" s="6"/>
    </row>
    <row r="268" spans="1:11" x14ac:dyDescent="0.2">
      <c r="A268" s="7">
        <f>DATE(Configurações!$B$3,12,12)</f>
        <v>46368</v>
      </c>
      <c r="B268" s="2" t="str">
        <f t="shared" si="4"/>
        <v>sáb</v>
      </c>
      <c r="C268" s="2" t="str">
        <f>Configurações!$A$16</f>
        <v>CAM 10</v>
      </c>
      <c r="D268" s="2" t="str">
        <f>Configurações!$B$16</f>
        <v>Câmera 10</v>
      </c>
      <c r="E268" s="2">
        <f>Configurações!$C$16</f>
        <v>0</v>
      </c>
      <c r="F268" s="2" t="s">
        <v>20</v>
      </c>
      <c r="G268" s="2" t="s">
        <v>20</v>
      </c>
      <c r="H268" s="2" t="s">
        <v>20</v>
      </c>
      <c r="I268" s="6"/>
      <c r="J268" s="6"/>
      <c r="K268" s="6"/>
    </row>
    <row r="269" spans="1:11" x14ac:dyDescent="0.2">
      <c r="A269" s="7">
        <f>DATE(Configurações!$B$3,12,12)</f>
        <v>46368</v>
      </c>
      <c r="B269" s="2" t="str">
        <f t="shared" si="4"/>
        <v>sáb</v>
      </c>
      <c r="C269" s="2" t="str">
        <f>Configurações!$A$17</f>
        <v>CAM 11</v>
      </c>
      <c r="D269" s="2" t="str">
        <f>Configurações!$B$17</f>
        <v>Câmera 11</v>
      </c>
      <c r="E269" s="2">
        <f>Configurações!$C$17</f>
        <v>0</v>
      </c>
      <c r="F269" s="2" t="s">
        <v>20</v>
      </c>
      <c r="G269" s="2" t="s">
        <v>20</v>
      </c>
      <c r="H269" s="2" t="s">
        <v>20</v>
      </c>
      <c r="I269" s="6"/>
      <c r="J269" s="6"/>
      <c r="K269" s="6"/>
    </row>
    <row r="270" spans="1:11" x14ac:dyDescent="0.2">
      <c r="A270" s="7">
        <f>DATE(Configurações!$B$3,12,12)</f>
        <v>46368</v>
      </c>
      <c r="B270" s="2" t="str">
        <f t="shared" si="4"/>
        <v>sáb</v>
      </c>
      <c r="C270" s="2" t="str">
        <f>Configurações!$A$18</f>
        <v>CAM 12</v>
      </c>
      <c r="D270" s="2" t="str">
        <f>Configurações!$B$18</f>
        <v>Câmera 12</v>
      </c>
      <c r="E270" s="2">
        <f>Configurações!$C$18</f>
        <v>0</v>
      </c>
      <c r="F270" s="2" t="s">
        <v>20</v>
      </c>
      <c r="G270" s="2" t="s">
        <v>20</v>
      </c>
      <c r="H270" s="2" t="s">
        <v>20</v>
      </c>
      <c r="I270" s="6"/>
      <c r="J270" s="6"/>
      <c r="K270" s="6"/>
    </row>
    <row r="271" spans="1:11" x14ac:dyDescent="0.2">
      <c r="A271" s="7">
        <f>DATE(Configurações!$B$3,12,12)</f>
        <v>46368</v>
      </c>
      <c r="B271" s="2" t="str">
        <f t="shared" si="4"/>
        <v>sáb</v>
      </c>
      <c r="C271" s="2" t="str">
        <f>Configurações!$A$19</f>
        <v>CAM 13</v>
      </c>
      <c r="D271" s="2" t="str">
        <f>Configurações!$B$19</f>
        <v>Câmera 13</v>
      </c>
      <c r="E271" s="2">
        <f>Configurações!$C$19</f>
        <v>0</v>
      </c>
      <c r="F271" s="2" t="s">
        <v>20</v>
      </c>
      <c r="G271" s="2" t="s">
        <v>20</v>
      </c>
      <c r="H271" s="2" t="s">
        <v>20</v>
      </c>
      <c r="I271" s="6"/>
      <c r="J271" s="6"/>
      <c r="K271" s="6"/>
    </row>
    <row r="272" spans="1:11" x14ac:dyDescent="0.2">
      <c r="A272" s="7">
        <f>DATE(Configurações!$B$3,12,12)</f>
        <v>46368</v>
      </c>
      <c r="B272" s="2" t="str">
        <f t="shared" si="4"/>
        <v>sáb</v>
      </c>
      <c r="C272" s="2" t="str">
        <f>Configurações!$A$20</f>
        <v>CAM 14</v>
      </c>
      <c r="D272" s="2" t="str">
        <f>Configurações!$B$20</f>
        <v>Reserva/Futura 01</v>
      </c>
      <c r="E272" s="2">
        <f>Configurações!$C$20</f>
        <v>0</v>
      </c>
      <c r="F272" s="2" t="s">
        <v>20</v>
      </c>
      <c r="G272" s="2" t="s">
        <v>20</v>
      </c>
      <c r="H272" s="2" t="s">
        <v>20</v>
      </c>
      <c r="I272" s="6"/>
      <c r="J272" s="6"/>
      <c r="K272" s="6"/>
    </row>
    <row r="273" spans="1:11" x14ac:dyDescent="0.2">
      <c r="A273" s="7">
        <f>DATE(Configurações!$B$3,12,12)</f>
        <v>46368</v>
      </c>
      <c r="B273" s="2" t="str">
        <f t="shared" si="4"/>
        <v>sáb</v>
      </c>
      <c r="C273" s="2" t="str">
        <f>Configurações!$A$21</f>
        <v>CAM 15</v>
      </c>
      <c r="D273" s="2" t="str">
        <f>Configurações!$B$21</f>
        <v>Reserva/Futura 02</v>
      </c>
      <c r="E273" s="2">
        <f>Configurações!$C$21</f>
        <v>0</v>
      </c>
      <c r="F273" s="2" t="s">
        <v>20</v>
      </c>
      <c r="G273" s="2" t="s">
        <v>20</v>
      </c>
      <c r="H273" s="2" t="s">
        <v>20</v>
      </c>
      <c r="I273" s="6"/>
      <c r="J273" s="6"/>
      <c r="K273" s="6"/>
    </row>
    <row r="274" spans="1:11" x14ac:dyDescent="0.2">
      <c r="A274" s="7">
        <f>DATE(Configurações!$B$3,12,12)</f>
        <v>46368</v>
      </c>
      <c r="B274" s="2" t="str">
        <f t="shared" si="4"/>
        <v>sáb</v>
      </c>
      <c r="C274" s="2" t="str">
        <f>Configurações!$A$22</f>
        <v>CAM 16</v>
      </c>
      <c r="D274" s="2" t="str">
        <f>Configurações!$B$22</f>
        <v>Reserva/Futura 03</v>
      </c>
      <c r="E274" s="2">
        <f>Configurações!$C$22</f>
        <v>0</v>
      </c>
      <c r="F274" s="2" t="s">
        <v>20</v>
      </c>
      <c r="G274" s="2" t="s">
        <v>20</v>
      </c>
      <c r="H274" s="2" t="s">
        <v>20</v>
      </c>
      <c r="I274" s="6"/>
      <c r="J274" s="6"/>
      <c r="K274" s="6"/>
    </row>
    <row r="275" spans="1:11" x14ac:dyDescent="0.2">
      <c r="A275" s="7">
        <f>DATE(Configurações!$B$3,12,12)</f>
        <v>46368</v>
      </c>
      <c r="B275" s="2" t="str">
        <f t="shared" si="4"/>
        <v>sáb</v>
      </c>
      <c r="C275" s="2" t="str">
        <f>Configurações!$A$23</f>
        <v>CAM 17</v>
      </c>
      <c r="D275" s="2" t="str">
        <f>Configurações!$B$23</f>
        <v>Reserva/Futura 04</v>
      </c>
      <c r="E275" s="2">
        <f>Configurações!$C$23</f>
        <v>0</v>
      </c>
      <c r="F275" s="2" t="s">
        <v>20</v>
      </c>
      <c r="G275" s="2" t="s">
        <v>20</v>
      </c>
      <c r="H275" s="2" t="s">
        <v>20</v>
      </c>
      <c r="I275" s="6"/>
      <c r="J275" s="6"/>
      <c r="K275" s="6"/>
    </row>
    <row r="276" spans="1:11" x14ac:dyDescent="0.2">
      <c r="A276" s="7">
        <f>DATE(Configurações!$B$3,12,12)</f>
        <v>46368</v>
      </c>
      <c r="B276" s="2" t="str">
        <f t="shared" si="4"/>
        <v>sáb</v>
      </c>
      <c r="C276" s="2" t="str">
        <f>Configurações!$A$24</f>
        <v>CAM 18</v>
      </c>
      <c r="D276" s="2" t="str">
        <f>Configurações!$B$24</f>
        <v>Reserva/Futura 05</v>
      </c>
      <c r="E276" s="2">
        <f>Configurações!$C$24</f>
        <v>0</v>
      </c>
      <c r="F276" s="2" t="s">
        <v>20</v>
      </c>
      <c r="G276" s="2" t="s">
        <v>20</v>
      </c>
      <c r="H276" s="2" t="s">
        <v>20</v>
      </c>
      <c r="I276" s="6"/>
      <c r="J276" s="6"/>
      <c r="K276" s="6"/>
    </row>
    <row r="277" spans="1:11" x14ac:dyDescent="0.2">
      <c r="A277" s="7">
        <f>DATE(Configurações!$B$3,12,12)</f>
        <v>46368</v>
      </c>
      <c r="B277" s="2" t="str">
        <f t="shared" si="4"/>
        <v>sáb</v>
      </c>
      <c r="C277" s="2" t="str">
        <f>Configurações!$A$25</f>
        <v>CAM 19</v>
      </c>
      <c r="D277" s="2" t="str">
        <f>Configurações!$B$25</f>
        <v>Reserva/Futura 06</v>
      </c>
      <c r="E277" s="2">
        <f>Configurações!$C$25</f>
        <v>0</v>
      </c>
      <c r="F277" s="2" t="s">
        <v>20</v>
      </c>
      <c r="G277" s="2" t="s">
        <v>20</v>
      </c>
      <c r="H277" s="2" t="s">
        <v>20</v>
      </c>
      <c r="I277" s="6"/>
      <c r="J277" s="6"/>
      <c r="K277" s="6"/>
    </row>
    <row r="278" spans="1:11" x14ac:dyDescent="0.2">
      <c r="A278" s="7">
        <f>DATE(Configurações!$B$3,12,12)</f>
        <v>46368</v>
      </c>
      <c r="B278" s="2" t="str">
        <f t="shared" si="4"/>
        <v>sáb</v>
      </c>
      <c r="C278" s="2" t="str">
        <f>Configurações!$A$26</f>
        <v>CAM 20</v>
      </c>
      <c r="D278" s="2" t="str">
        <f>Configurações!$B$26</f>
        <v>Reserva/Futura 07</v>
      </c>
      <c r="E278" s="2">
        <f>Configurações!$C$26</f>
        <v>0</v>
      </c>
      <c r="F278" s="2" t="s">
        <v>20</v>
      </c>
      <c r="G278" s="2" t="s">
        <v>20</v>
      </c>
      <c r="H278" s="2" t="s">
        <v>20</v>
      </c>
      <c r="I278" s="6"/>
      <c r="J278" s="6"/>
      <c r="K278" s="6"/>
    </row>
    <row r="279" spans="1:11" x14ac:dyDescent="0.2">
      <c r="A279" s="7">
        <f>DATE(Configurações!$B$3,12,12)</f>
        <v>46368</v>
      </c>
      <c r="B279" s="2" t="str">
        <f t="shared" si="4"/>
        <v>sáb</v>
      </c>
      <c r="C279" s="2" t="str">
        <f>Configurações!$A$27</f>
        <v>CAM 21</v>
      </c>
      <c r="D279" s="2" t="str">
        <f>Configurações!$B$27</f>
        <v>Reserva/Futura 08</v>
      </c>
      <c r="E279" s="2">
        <f>Configurações!$C$27</f>
        <v>0</v>
      </c>
      <c r="F279" s="2" t="s">
        <v>20</v>
      </c>
      <c r="G279" s="2" t="s">
        <v>20</v>
      </c>
      <c r="H279" s="2" t="s">
        <v>20</v>
      </c>
      <c r="I279" s="6"/>
      <c r="J279" s="6"/>
      <c r="K279" s="6"/>
    </row>
    <row r="280" spans="1:11" x14ac:dyDescent="0.2">
      <c r="A280" s="7">
        <f>DATE(Configurações!$B$3,12,12)</f>
        <v>46368</v>
      </c>
      <c r="B280" s="2" t="str">
        <f t="shared" si="4"/>
        <v>sáb</v>
      </c>
      <c r="C280" s="2" t="str">
        <f>Configurações!$A$28</f>
        <v>CAM 22</v>
      </c>
      <c r="D280" s="2" t="str">
        <f>Configurações!$B$28</f>
        <v>Reserva/Futura 09</v>
      </c>
      <c r="E280" s="2">
        <f>Configurações!$C$28</f>
        <v>0</v>
      </c>
      <c r="F280" s="2" t="s">
        <v>20</v>
      </c>
      <c r="G280" s="2" t="s">
        <v>20</v>
      </c>
      <c r="H280" s="2" t="s">
        <v>20</v>
      </c>
      <c r="I280" s="6"/>
      <c r="J280" s="6"/>
      <c r="K280" s="6"/>
    </row>
    <row r="281" spans="1:11" x14ac:dyDescent="0.2">
      <c r="A281" s="7">
        <f>DATE(Configurações!$B$3,12,12)</f>
        <v>46368</v>
      </c>
      <c r="B281" s="2" t="str">
        <f t="shared" si="4"/>
        <v>sáb</v>
      </c>
      <c r="C281" s="2" t="str">
        <f>Configurações!$A$29</f>
        <v>CAM 23</v>
      </c>
      <c r="D281" s="2" t="str">
        <f>Configurações!$B$29</f>
        <v>Reserva/Futura 10</v>
      </c>
      <c r="E281" s="2">
        <f>Configurações!$C$29</f>
        <v>0</v>
      </c>
      <c r="F281" s="2" t="s">
        <v>20</v>
      </c>
      <c r="G281" s="2" t="s">
        <v>20</v>
      </c>
      <c r="H281" s="2" t="s">
        <v>20</v>
      </c>
      <c r="I281" s="6"/>
      <c r="J281" s="6"/>
      <c r="K281" s="6"/>
    </row>
    <row r="282" spans="1:11" x14ac:dyDescent="0.2">
      <c r="A282" s="7">
        <f>DATE(Configurações!$B$3,12,13)</f>
        <v>46369</v>
      </c>
      <c r="B282" s="2" t="str">
        <f t="shared" si="4"/>
        <v>dom</v>
      </c>
      <c r="C282" s="2" t="str">
        <f>Configurações!$A$7</f>
        <v>CAM 01</v>
      </c>
      <c r="D282" s="2" t="str">
        <f>Configurações!$B$7</f>
        <v>BARU ANDES</v>
      </c>
      <c r="E282" s="2">
        <f>Configurações!$C$7</f>
        <v>0</v>
      </c>
      <c r="F282" s="2" t="s">
        <v>20</v>
      </c>
      <c r="G282" s="2" t="s">
        <v>20</v>
      </c>
      <c r="H282" s="2" t="s">
        <v>20</v>
      </c>
      <c r="I282" s="6"/>
      <c r="J282" s="6"/>
      <c r="K282" s="6"/>
    </row>
    <row r="283" spans="1:11" x14ac:dyDescent="0.2">
      <c r="A283" s="7">
        <f>DATE(Configurações!$B$3,12,13)</f>
        <v>46369</v>
      </c>
      <c r="B283" s="2" t="str">
        <f t="shared" si="4"/>
        <v>dom</v>
      </c>
      <c r="C283" s="2" t="str">
        <f>Configurações!$A$8</f>
        <v>CAM 02</v>
      </c>
      <c r="D283" s="2" t="str">
        <f>Configurações!$B$8</f>
        <v>Câmera 02</v>
      </c>
      <c r="E283" s="2">
        <f>Configurações!$C$8</f>
        <v>0</v>
      </c>
      <c r="F283" s="2" t="s">
        <v>20</v>
      </c>
      <c r="G283" s="2" t="s">
        <v>20</v>
      </c>
      <c r="H283" s="2" t="s">
        <v>20</v>
      </c>
      <c r="I283" s="6"/>
      <c r="J283" s="6"/>
      <c r="K283" s="6"/>
    </row>
    <row r="284" spans="1:11" x14ac:dyDescent="0.2">
      <c r="A284" s="7">
        <f>DATE(Configurações!$B$3,12,13)</f>
        <v>46369</v>
      </c>
      <c r="B284" s="2" t="str">
        <f t="shared" si="4"/>
        <v>dom</v>
      </c>
      <c r="C284" s="2" t="str">
        <f>Configurações!$A$9</f>
        <v>CAM 03</v>
      </c>
      <c r="D284" s="2" t="str">
        <f>Configurações!$B$9</f>
        <v>Câmera 03</v>
      </c>
      <c r="E284" s="2">
        <f>Configurações!$C$9</f>
        <v>0</v>
      </c>
      <c r="F284" s="2" t="s">
        <v>20</v>
      </c>
      <c r="G284" s="2" t="s">
        <v>20</v>
      </c>
      <c r="H284" s="2" t="s">
        <v>20</v>
      </c>
      <c r="I284" s="6"/>
      <c r="J284" s="6"/>
      <c r="K284" s="6"/>
    </row>
    <row r="285" spans="1:11" x14ac:dyDescent="0.2">
      <c r="A285" s="7">
        <f>DATE(Configurações!$B$3,12,13)</f>
        <v>46369</v>
      </c>
      <c r="B285" s="2" t="str">
        <f t="shared" si="4"/>
        <v>dom</v>
      </c>
      <c r="C285" s="2" t="str">
        <f>Configurações!$A$10</f>
        <v>CAM 04</v>
      </c>
      <c r="D285" s="2" t="str">
        <f>Configurações!$B$10</f>
        <v>Câmera 04</v>
      </c>
      <c r="E285" s="2">
        <f>Configurações!$C$10</f>
        <v>0</v>
      </c>
      <c r="F285" s="2" t="s">
        <v>20</v>
      </c>
      <c r="G285" s="2" t="s">
        <v>20</v>
      </c>
      <c r="H285" s="2" t="s">
        <v>20</v>
      </c>
      <c r="I285" s="6"/>
      <c r="J285" s="6"/>
      <c r="K285" s="6"/>
    </row>
    <row r="286" spans="1:11" x14ac:dyDescent="0.2">
      <c r="A286" s="7">
        <f>DATE(Configurações!$B$3,12,13)</f>
        <v>46369</v>
      </c>
      <c r="B286" s="2" t="str">
        <f t="shared" si="4"/>
        <v>dom</v>
      </c>
      <c r="C286" s="2" t="str">
        <f>Configurações!$A$11</f>
        <v>CAM 05</v>
      </c>
      <c r="D286" s="2" t="str">
        <f>Configurações!$B$11</f>
        <v>Câmera 05</v>
      </c>
      <c r="E286" s="2">
        <f>Configurações!$C$11</f>
        <v>0</v>
      </c>
      <c r="F286" s="2" t="s">
        <v>20</v>
      </c>
      <c r="G286" s="2" t="s">
        <v>20</v>
      </c>
      <c r="H286" s="2" t="s">
        <v>20</v>
      </c>
      <c r="I286" s="6"/>
      <c r="J286" s="6"/>
      <c r="K286" s="6"/>
    </row>
    <row r="287" spans="1:11" x14ac:dyDescent="0.2">
      <c r="A287" s="7">
        <f>DATE(Configurações!$B$3,12,13)</f>
        <v>46369</v>
      </c>
      <c r="B287" s="2" t="str">
        <f t="shared" si="4"/>
        <v>dom</v>
      </c>
      <c r="C287" s="2" t="str">
        <f>Configurações!$A$12</f>
        <v>CAM 06</v>
      </c>
      <c r="D287" s="2" t="str">
        <f>Configurações!$B$12</f>
        <v>Câmera 06</v>
      </c>
      <c r="E287" s="2">
        <f>Configurações!$C$12</f>
        <v>0</v>
      </c>
      <c r="F287" s="2" t="s">
        <v>20</v>
      </c>
      <c r="G287" s="2" t="s">
        <v>20</v>
      </c>
      <c r="H287" s="2" t="s">
        <v>20</v>
      </c>
      <c r="I287" s="6"/>
      <c r="J287" s="6"/>
      <c r="K287" s="6"/>
    </row>
    <row r="288" spans="1:11" x14ac:dyDescent="0.2">
      <c r="A288" s="7">
        <f>DATE(Configurações!$B$3,12,13)</f>
        <v>46369</v>
      </c>
      <c r="B288" s="2" t="str">
        <f t="shared" si="4"/>
        <v>dom</v>
      </c>
      <c r="C288" s="2" t="str">
        <f>Configurações!$A$13</f>
        <v>CAM 07</v>
      </c>
      <c r="D288" s="2" t="str">
        <f>Configurações!$B$13</f>
        <v>Câmera 07</v>
      </c>
      <c r="E288" s="2">
        <f>Configurações!$C$13</f>
        <v>0</v>
      </c>
      <c r="F288" s="2" t="s">
        <v>20</v>
      </c>
      <c r="G288" s="2" t="s">
        <v>20</v>
      </c>
      <c r="H288" s="2" t="s">
        <v>20</v>
      </c>
      <c r="I288" s="6"/>
      <c r="J288" s="6"/>
      <c r="K288" s="6"/>
    </row>
    <row r="289" spans="1:11" x14ac:dyDescent="0.2">
      <c r="A289" s="7">
        <f>DATE(Configurações!$B$3,12,13)</f>
        <v>46369</v>
      </c>
      <c r="B289" s="2" t="str">
        <f t="shared" si="4"/>
        <v>dom</v>
      </c>
      <c r="C289" s="2" t="str">
        <f>Configurações!$A$14</f>
        <v>CAM 08</v>
      </c>
      <c r="D289" s="2" t="str">
        <f>Configurações!$B$14</f>
        <v>Câmera 08</v>
      </c>
      <c r="E289" s="2">
        <f>Configurações!$C$14</f>
        <v>0</v>
      </c>
      <c r="F289" s="2" t="s">
        <v>20</v>
      </c>
      <c r="G289" s="2" t="s">
        <v>20</v>
      </c>
      <c r="H289" s="2" t="s">
        <v>20</v>
      </c>
      <c r="I289" s="6"/>
      <c r="J289" s="6"/>
      <c r="K289" s="6"/>
    </row>
    <row r="290" spans="1:11" x14ac:dyDescent="0.2">
      <c r="A290" s="7">
        <f>DATE(Configurações!$B$3,12,13)</f>
        <v>46369</v>
      </c>
      <c r="B290" s="2" t="str">
        <f t="shared" si="4"/>
        <v>dom</v>
      </c>
      <c r="C290" s="2" t="str">
        <f>Configurações!$A$15</f>
        <v>CAM 09</v>
      </c>
      <c r="D290" s="2" t="str">
        <f>Configurações!$B$15</f>
        <v>Câmera 09</v>
      </c>
      <c r="E290" s="2">
        <f>Configurações!$C$15</f>
        <v>0</v>
      </c>
      <c r="F290" s="2" t="s">
        <v>20</v>
      </c>
      <c r="G290" s="2" t="s">
        <v>20</v>
      </c>
      <c r="H290" s="2" t="s">
        <v>20</v>
      </c>
      <c r="I290" s="6"/>
      <c r="J290" s="6"/>
      <c r="K290" s="6"/>
    </row>
    <row r="291" spans="1:11" x14ac:dyDescent="0.2">
      <c r="A291" s="7">
        <f>DATE(Configurações!$B$3,12,13)</f>
        <v>46369</v>
      </c>
      <c r="B291" s="2" t="str">
        <f t="shared" si="4"/>
        <v>dom</v>
      </c>
      <c r="C291" s="2" t="str">
        <f>Configurações!$A$16</f>
        <v>CAM 10</v>
      </c>
      <c r="D291" s="2" t="str">
        <f>Configurações!$B$16</f>
        <v>Câmera 10</v>
      </c>
      <c r="E291" s="2">
        <f>Configurações!$C$16</f>
        <v>0</v>
      </c>
      <c r="F291" s="2" t="s">
        <v>20</v>
      </c>
      <c r="G291" s="2" t="s">
        <v>20</v>
      </c>
      <c r="H291" s="2" t="s">
        <v>20</v>
      </c>
      <c r="I291" s="6"/>
      <c r="J291" s="6"/>
      <c r="K291" s="6"/>
    </row>
    <row r="292" spans="1:11" x14ac:dyDescent="0.2">
      <c r="A292" s="7">
        <f>DATE(Configurações!$B$3,12,13)</f>
        <v>46369</v>
      </c>
      <c r="B292" s="2" t="str">
        <f t="shared" si="4"/>
        <v>dom</v>
      </c>
      <c r="C292" s="2" t="str">
        <f>Configurações!$A$17</f>
        <v>CAM 11</v>
      </c>
      <c r="D292" s="2" t="str">
        <f>Configurações!$B$17</f>
        <v>Câmera 11</v>
      </c>
      <c r="E292" s="2">
        <f>Configurações!$C$17</f>
        <v>0</v>
      </c>
      <c r="F292" s="2" t="s">
        <v>20</v>
      </c>
      <c r="G292" s="2" t="s">
        <v>20</v>
      </c>
      <c r="H292" s="2" t="s">
        <v>20</v>
      </c>
      <c r="I292" s="6"/>
      <c r="J292" s="6"/>
      <c r="K292" s="6"/>
    </row>
    <row r="293" spans="1:11" x14ac:dyDescent="0.2">
      <c r="A293" s="7">
        <f>DATE(Configurações!$B$3,12,13)</f>
        <v>46369</v>
      </c>
      <c r="B293" s="2" t="str">
        <f t="shared" si="4"/>
        <v>dom</v>
      </c>
      <c r="C293" s="2" t="str">
        <f>Configurações!$A$18</f>
        <v>CAM 12</v>
      </c>
      <c r="D293" s="2" t="str">
        <f>Configurações!$B$18</f>
        <v>Câmera 12</v>
      </c>
      <c r="E293" s="2">
        <f>Configurações!$C$18</f>
        <v>0</v>
      </c>
      <c r="F293" s="2" t="s">
        <v>20</v>
      </c>
      <c r="G293" s="2" t="s">
        <v>20</v>
      </c>
      <c r="H293" s="2" t="s">
        <v>20</v>
      </c>
      <c r="I293" s="6"/>
      <c r="J293" s="6"/>
      <c r="K293" s="6"/>
    </row>
    <row r="294" spans="1:11" x14ac:dyDescent="0.2">
      <c r="A294" s="7">
        <f>DATE(Configurações!$B$3,12,13)</f>
        <v>46369</v>
      </c>
      <c r="B294" s="2" t="str">
        <f t="shared" si="4"/>
        <v>dom</v>
      </c>
      <c r="C294" s="2" t="str">
        <f>Configurações!$A$19</f>
        <v>CAM 13</v>
      </c>
      <c r="D294" s="2" t="str">
        <f>Configurações!$B$19</f>
        <v>Câmera 13</v>
      </c>
      <c r="E294" s="2">
        <f>Configurações!$C$19</f>
        <v>0</v>
      </c>
      <c r="F294" s="2" t="s">
        <v>20</v>
      </c>
      <c r="G294" s="2" t="s">
        <v>20</v>
      </c>
      <c r="H294" s="2" t="s">
        <v>20</v>
      </c>
      <c r="I294" s="6"/>
      <c r="J294" s="6"/>
      <c r="K294" s="6"/>
    </row>
    <row r="295" spans="1:11" x14ac:dyDescent="0.2">
      <c r="A295" s="7">
        <f>DATE(Configurações!$B$3,12,13)</f>
        <v>46369</v>
      </c>
      <c r="B295" s="2" t="str">
        <f t="shared" si="4"/>
        <v>dom</v>
      </c>
      <c r="C295" s="2" t="str">
        <f>Configurações!$A$20</f>
        <v>CAM 14</v>
      </c>
      <c r="D295" s="2" t="str">
        <f>Configurações!$B$20</f>
        <v>Reserva/Futura 01</v>
      </c>
      <c r="E295" s="2">
        <f>Configurações!$C$20</f>
        <v>0</v>
      </c>
      <c r="F295" s="2" t="s">
        <v>20</v>
      </c>
      <c r="G295" s="2" t="s">
        <v>20</v>
      </c>
      <c r="H295" s="2" t="s">
        <v>20</v>
      </c>
      <c r="I295" s="6"/>
      <c r="J295" s="6"/>
      <c r="K295" s="6"/>
    </row>
    <row r="296" spans="1:11" x14ac:dyDescent="0.2">
      <c r="A296" s="7">
        <f>DATE(Configurações!$B$3,12,13)</f>
        <v>46369</v>
      </c>
      <c r="B296" s="2" t="str">
        <f t="shared" si="4"/>
        <v>dom</v>
      </c>
      <c r="C296" s="2" t="str">
        <f>Configurações!$A$21</f>
        <v>CAM 15</v>
      </c>
      <c r="D296" s="2" t="str">
        <f>Configurações!$B$21</f>
        <v>Reserva/Futura 02</v>
      </c>
      <c r="E296" s="2">
        <f>Configurações!$C$21</f>
        <v>0</v>
      </c>
      <c r="F296" s="2" t="s">
        <v>20</v>
      </c>
      <c r="G296" s="2" t="s">
        <v>20</v>
      </c>
      <c r="H296" s="2" t="s">
        <v>20</v>
      </c>
      <c r="I296" s="6"/>
      <c r="J296" s="6"/>
      <c r="K296" s="6"/>
    </row>
    <row r="297" spans="1:11" x14ac:dyDescent="0.2">
      <c r="A297" s="7">
        <f>DATE(Configurações!$B$3,12,13)</f>
        <v>46369</v>
      </c>
      <c r="B297" s="2" t="str">
        <f t="shared" si="4"/>
        <v>dom</v>
      </c>
      <c r="C297" s="2" t="str">
        <f>Configurações!$A$22</f>
        <v>CAM 16</v>
      </c>
      <c r="D297" s="2" t="str">
        <f>Configurações!$B$22</f>
        <v>Reserva/Futura 03</v>
      </c>
      <c r="E297" s="2">
        <f>Configurações!$C$22</f>
        <v>0</v>
      </c>
      <c r="F297" s="2" t="s">
        <v>20</v>
      </c>
      <c r="G297" s="2" t="s">
        <v>20</v>
      </c>
      <c r="H297" s="2" t="s">
        <v>20</v>
      </c>
      <c r="I297" s="6"/>
      <c r="J297" s="6"/>
      <c r="K297" s="6"/>
    </row>
    <row r="298" spans="1:11" x14ac:dyDescent="0.2">
      <c r="A298" s="7">
        <f>DATE(Configurações!$B$3,12,13)</f>
        <v>46369</v>
      </c>
      <c r="B298" s="2" t="str">
        <f t="shared" si="4"/>
        <v>dom</v>
      </c>
      <c r="C298" s="2" t="str">
        <f>Configurações!$A$23</f>
        <v>CAM 17</v>
      </c>
      <c r="D298" s="2" t="str">
        <f>Configurações!$B$23</f>
        <v>Reserva/Futura 04</v>
      </c>
      <c r="E298" s="2">
        <f>Configurações!$C$23</f>
        <v>0</v>
      </c>
      <c r="F298" s="2" t="s">
        <v>20</v>
      </c>
      <c r="G298" s="2" t="s">
        <v>20</v>
      </c>
      <c r="H298" s="2" t="s">
        <v>20</v>
      </c>
      <c r="I298" s="6"/>
      <c r="J298" s="6"/>
      <c r="K298" s="6"/>
    </row>
    <row r="299" spans="1:11" x14ac:dyDescent="0.2">
      <c r="A299" s="7">
        <f>DATE(Configurações!$B$3,12,13)</f>
        <v>46369</v>
      </c>
      <c r="B299" s="2" t="str">
        <f t="shared" si="4"/>
        <v>dom</v>
      </c>
      <c r="C299" s="2" t="str">
        <f>Configurações!$A$24</f>
        <v>CAM 18</v>
      </c>
      <c r="D299" s="2" t="str">
        <f>Configurações!$B$24</f>
        <v>Reserva/Futura 05</v>
      </c>
      <c r="E299" s="2">
        <f>Configurações!$C$24</f>
        <v>0</v>
      </c>
      <c r="F299" s="2" t="s">
        <v>20</v>
      </c>
      <c r="G299" s="2" t="s">
        <v>20</v>
      </c>
      <c r="H299" s="2" t="s">
        <v>20</v>
      </c>
      <c r="I299" s="6"/>
      <c r="J299" s="6"/>
      <c r="K299" s="6"/>
    </row>
    <row r="300" spans="1:11" x14ac:dyDescent="0.2">
      <c r="A300" s="7">
        <f>DATE(Configurações!$B$3,12,13)</f>
        <v>46369</v>
      </c>
      <c r="B300" s="2" t="str">
        <f t="shared" si="4"/>
        <v>dom</v>
      </c>
      <c r="C300" s="2" t="str">
        <f>Configurações!$A$25</f>
        <v>CAM 19</v>
      </c>
      <c r="D300" s="2" t="str">
        <f>Configurações!$B$25</f>
        <v>Reserva/Futura 06</v>
      </c>
      <c r="E300" s="2">
        <f>Configurações!$C$25</f>
        <v>0</v>
      </c>
      <c r="F300" s="2" t="s">
        <v>20</v>
      </c>
      <c r="G300" s="2" t="s">
        <v>20</v>
      </c>
      <c r="H300" s="2" t="s">
        <v>20</v>
      </c>
      <c r="I300" s="6"/>
      <c r="J300" s="6"/>
      <c r="K300" s="6"/>
    </row>
    <row r="301" spans="1:11" x14ac:dyDescent="0.2">
      <c r="A301" s="7">
        <f>DATE(Configurações!$B$3,12,13)</f>
        <v>46369</v>
      </c>
      <c r="B301" s="2" t="str">
        <f t="shared" si="4"/>
        <v>dom</v>
      </c>
      <c r="C301" s="2" t="str">
        <f>Configurações!$A$26</f>
        <v>CAM 20</v>
      </c>
      <c r="D301" s="2" t="str">
        <f>Configurações!$B$26</f>
        <v>Reserva/Futura 07</v>
      </c>
      <c r="E301" s="2">
        <f>Configurações!$C$26</f>
        <v>0</v>
      </c>
      <c r="F301" s="2" t="s">
        <v>20</v>
      </c>
      <c r="G301" s="2" t="s">
        <v>20</v>
      </c>
      <c r="H301" s="2" t="s">
        <v>20</v>
      </c>
      <c r="I301" s="6"/>
      <c r="J301" s="6"/>
      <c r="K301" s="6"/>
    </row>
    <row r="302" spans="1:11" x14ac:dyDescent="0.2">
      <c r="A302" s="7">
        <f>DATE(Configurações!$B$3,12,13)</f>
        <v>46369</v>
      </c>
      <c r="B302" s="2" t="str">
        <f t="shared" si="4"/>
        <v>dom</v>
      </c>
      <c r="C302" s="2" t="str">
        <f>Configurações!$A$27</f>
        <v>CAM 21</v>
      </c>
      <c r="D302" s="2" t="str">
        <f>Configurações!$B$27</f>
        <v>Reserva/Futura 08</v>
      </c>
      <c r="E302" s="2">
        <f>Configurações!$C$27</f>
        <v>0</v>
      </c>
      <c r="F302" s="2" t="s">
        <v>20</v>
      </c>
      <c r="G302" s="2" t="s">
        <v>20</v>
      </c>
      <c r="H302" s="2" t="s">
        <v>20</v>
      </c>
      <c r="I302" s="6"/>
      <c r="J302" s="6"/>
      <c r="K302" s="6"/>
    </row>
    <row r="303" spans="1:11" x14ac:dyDescent="0.2">
      <c r="A303" s="7">
        <f>DATE(Configurações!$B$3,12,13)</f>
        <v>46369</v>
      </c>
      <c r="B303" s="2" t="str">
        <f t="shared" si="4"/>
        <v>dom</v>
      </c>
      <c r="C303" s="2" t="str">
        <f>Configurações!$A$28</f>
        <v>CAM 22</v>
      </c>
      <c r="D303" s="2" t="str">
        <f>Configurações!$B$28</f>
        <v>Reserva/Futura 09</v>
      </c>
      <c r="E303" s="2">
        <f>Configurações!$C$28</f>
        <v>0</v>
      </c>
      <c r="F303" s="2" t="s">
        <v>20</v>
      </c>
      <c r="G303" s="2" t="s">
        <v>20</v>
      </c>
      <c r="H303" s="2" t="s">
        <v>20</v>
      </c>
      <c r="I303" s="6"/>
      <c r="J303" s="6"/>
      <c r="K303" s="6"/>
    </row>
    <row r="304" spans="1:11" x14ac:dyDescent="0.2">
      <c r="A304" s="7">
        <f>DATE(Configurações!$B$3,12,13)</f>
        <v>46369</v>
      </c>
      <c r="B304" s="2" t="str">
        <f t="shared" si="4"/>
        <v>dom</v>
      </c>
      <c r="C304" s="2" t="str">
        <f>Configurações!$A$29</f>
        <v>CAM 23</v>
      </c>
      <c r="D304" s="2" t="str">
        <f>Configurações!$B$29</f>
        <v>Reserva/Futura 10</v>
      </c>
      <c r="E304" s="2">
        <f>Configurações!$C$29</f>
        <v>0</v>
      </c>
      <c r="F304" s="2" t="s">
        <v>20</v>
      </c>
      <c r="G304" s="2" t="s">
        <v>20</v>
      </c>
      <c r="H304" s="2" t="s">
        <v>20</v>
      </c>
      <c r="I304" s="6"/>
      <c r="J304" s="6"/>
      <c r="K304" s="6"/>
    </row>
    <row r="305" spans="1:11" x14ac:dyDescent="0.2">
      <c r="A305" s="7">
        <f>DATE(Configurações!$B$3,12,14)</f>
        <v>46370</v>
      </c>
      <c r="B305" s="2" t="str">
        <f t="shared" si="4"/>
        <v>seg</v>
      </c>
      <c r="C305" s="2" t="str">
        <f>Configurações!$A$7</f>
        <v>CAM 01</v>
      </c>
      <c r="D305" s="2" t="str">
        <f>Configurações!$B$7</f>
        <v>BARU ANDES</v>
      </c>
      <c r="E305" s="2">
        <f>Configurações!$C$7</f>
        <v>0</v>
      </c>
      <c r="F305" s="2" t="s">
        <v>20</v>
      </c>
      <c r="G305" s="2" t="s">
        <v>20</v>
      </c>
      <c r="H305" s="2" t="s">
        <v>20</v>
      </c>
      <c r="I305" s="6"/>
      <c r="J305" s="6"/>
      <c r="K305" s="6"/>
    </row>
    <row r="306" spans="1:11" x14ac:dyDescent="0.2">
      <c r="A306" s="7">
        <f>DATE(Configurações!$B$3,12,14)</f>
        <v>46370</v>
      </c>
      <c r="B306" s="2" t="str">
        <f t="shared" si="4"/>
        <v>seg</v>
      </c>
      <c r="C306" s="2" t="str">
        <f>Configurações!$A$8</f>
        <v>CAM 02</v>
      </c>
      <c r="D306" s="2" t="str">
        <f>Configurações!$B$8</f>
        <v>Câmera 02</v>
      </c>
      <c r="E306" s="2">
        <f>Configurações!$C$8</f>
        <v>0</v>
      </c>
      <c r="F306" s="2" t="s">
        <v>20</v>
      </c>
      <c r="G306" s="2" t="s">
        <v>20</v>
      </c>
      <c r="H306" s="2" t="s">
        <v>20</v>
      </c>
      <c r="I306" s="6"/>
      <c r="J306" s="6"/>
      <c r="K306" s="6"/>
    </row>
    <row r="307" spans="1:11" x14ac:dyDescent="0.2">
      <c r="A307" s="7">
        <f>DATE(Configurações!$B$3,12,14)</f>
        <v>46370</v>
      </c>
      <c r="B307" s="2" t="str">
        <f t="shared" si="4"/>
        <v>seg</v>
      </c>
      <c r="C307" s="2" t="str">
        <f>Configurações!$A$9</f>
        <v>CAM 03</v>
      </c>
      <c r="D307" s="2" t="str">
        <f>Configurações!$B$9</f>
        <v>Câmera 03</v>
      </c>
      <c r="E307" s="2">
        <f>Configurações!$C$9</f>
        <v>0</v>
      </c>
      <c r="F307" s="2" t="s">
        <v>20</v>
      </c>
      <c r="G307" s="2" t="s">
        <v>20</v>
      </c>
      <c r="H307" s="2" t="s">
        <v>20</v>
      </c>
      <c r="I307" s="6"/>
      <c r="J307" s="6"/>
      <c r="K307" s="6"/>
    </row>
    <row r="308" spans="1:11" x14ac:dyDescent="0.2">
      <c r="A308" s="7">
        <f>DATE(Configurações!$B$3,12,14)</f>
        <v>46370</v>
      </c>
      <c r="B308" s="2" t="str">
        <f t="shared" si="4"/>
        <v>seg</v>
      </c>
      <c r="C308" s="2" t="str">
        <f>Configurações!$A$10</f>
        <v>CAM 04</v>
      </c>
      <c r="D308" s="2" t="str">
        <f>Configurações!$B$10</f>
        <v>Câmera 04</v>
      </c>
      <c r="E308" s="2">
        <f>Configurações!$C$10</f>
        <v>0</v>
      </c>
      <c r="F308" s="2" t="s">
        <v>20</v>
      </c>
      <c r="G308" s="2" t="s">
        <v>20</v>
      </c>
      <c r="H308" s="2" t="s">
        <v>20</v>
      </c>
      <c r="I308" s="6"/>
      <c r="J308" s="6"/>
      <c r="K308" s="6"/>
    </row>
    <row r="309" spans="1:11" x14ac:dyDescent="0.2">
      <c r="A309" s="7">
        <f>DATE(Configurações!$B$3,12,14)</f>
        <v>46370</v>
      </c>
      <c r="B309" s="2" t="str">
        <f t="shared" si="4"/>
        <v>seg</v>
      </c>
      <c r="C309" s="2" t="str">
        <f>Configurações!$A$11</f>
        <v>CAM 05</v>
      </c>
      <c r="D309" s="2" t="str">
        <f>Configurações!$B$11</f>
        <v>Câmera 05</v>
      </c>
      <c r="E309" s="2">
        <f>Configurações!$C$11</f>
        <v>0</v>
      </c>
      <c r="F309" s="2" t="s">
        <v>20</v>
      </c>
      <c r="G309" s="2" t="s">
        <v>20</v>
      </c>
      <c r="H309" s="2" t="s">
        <v>20</v>
      </c>
      <c r="I309" s="6"/>
      <c r="J309" s="6"/>
      <c r="K309" s="6"/>
    </row>
    <row r="310" spans="1:11" x14ac:dyDescent="0.2">
      <c r="A310" s="7">
        <f>DATE(Configurações!$B$3,12,14)</f>
        <v>46370</v>
      </c>
      <c r="B310" s="2" t="str">
        <f t="shared" si="4"/>
        <v>seg</v>
      </c>
      <c r="C310" s="2" t="str">
        <f>Configurações!$A$12</f>
        <v>CAM 06</v>
      </c>
      <c r="D310" s="2" t="str">
        <f>Configurações!$B$12</f>
        <v>Câmera 06</v>
      </c>
      <c r="E310" s="2">
        <f>Configurações!$C$12</f>
        <v>0</v>
      </c>
      <c r="F310" s="2" t="s">
        <v>20</v>
      </c>
      <c r="G310" s="2" t="s">
        <v>20</v>
      </c>
      <c r="H310" s="2" t="s">
        <v>20</v>
      </c>
      <c r="I310" s="6"/>
      <c r="J310" s="6"/>
      <c r="K310" s="6"/>
    </row>
    <row r="311" spans="1:11" x14ac:dyDescent="0.2">
      <c r="A311" s="7">
        <f>DATE(Configurações!$B$3,12,14)</f>
        <v>46370</v>
      </c>
      <c r="B311" s="2" t="str">
        <f t="shared" si="4"/>
        <v>seg</v>
      </c>
      <c r="C311" s="2" t="str">
        <f>Configurações!$A$13</f>
        <v>CAM 07</v>
      </c>
      <c r="D311" s="2" t="str">
        <f>Configurações!$B$13</f>
        <v>Câmera 07</v>
      </c>
      <c r="E311" s="2">
        <f>Configurações!$C$13</f>
        <v>0</v>
      </c>
      <c r="F311" s="2" t="s">
        <v>20</v>
      </c>
      <c r="G311" s="2" t="s">
        <v>20</v>
      </c>
      <c r="H311" s="2" t="s">
        <v>20</v>
      </c>
      <c r="I311" s="6"/>
      <c r="J311" s="6"/>
      <c r="K311" s="6"/>
    </row>
    <row r="312" spans="1:11" x14ac:dyDescent="0.2">
      <c r="A312" s="7">
        <f>DATE(Configurações!$B$3,12,14)</f>
        <v>46370</v>
      </c>
      <c r="B312" s="2" t="str">
        <f t="shared" si="4"/>
        <v>seg</v>
      </c>
      <c r="C312" s="2" t="str">
        <f>Configurações!$A$14</f>
        <v>CAM 08</v>
      </c>
      <c r="D312" s="2" t="str">
        <f>Configurações!$B$14</f>
        <v>Câmera 08</v>
      </c>
      <c r="E312" s="2">
        <f>Configurações!$C$14</f>
        <v>0</v>
      </c>
      <c r="F312" s="2" t="s">
        <v>20</v>
      </c>
      <c r="G312" s="2" t="s">
        <v>20</v>
      </c>
      <c r="H312" s="2" t="s">
        <v>20</v>
      </c>
      <c r="I312" s="6"/>
      <c r="J312" s="6"/>
      <c r="K312" s="6"/>
    </row>
    <row r="313" spans="1:11" x14ac:dyDescent="0.2">
      <c r="A313" s="7">
        <f>DATE(Configurações!$B$3,12,14)</f>
        <v>46370</v>
      </c>
      <c r="B313" s="2" t="str">
        <f t="shared" si="4"/>
        <v>seg</v>
      </c>
      <c r="C313" s="2" t="str">
        <f>Configurações!$A$15</f>
        <v>CAM 09</v>
      </c>
      <c r="D313" s="2" t="str">
        <f>Configurações!$B$15</f>
        <v>Câmera 09</v>
      </c>
      <c r="E313" s="2">
        <f>Configurações!$C$15</f>
        <v>0</v>
      </c>
      <c r="F313" s="2" t="s">
        <v>20</v>
      </c>
      <c r="G313" s="2" t="s">
        <v>20</v>
      </c>
      <c r="H313" s="2" t="s">
        <v>20</v>
      </c>
      <c r="I313" s="6"/>
      <c r="J313" s="6"/>
      <c r="K313" s="6"/>
    </row>
    <row r="314" spans="1:11" x14ac:dyDescent="0.2">
      <c r="A314" s="7">
        <f>DATE(Configurações!$B$3,12,14)</f>
        <v>46370</v>
      </c>
      <c r="B314" s="2" t="str">
        <f t="shared" si="4"/>
        <v>seg</v>
      </c>
      <c r="C314" s="2" t="str">
        <f>Configurações!$A$16</f>
        <v>CAM 10</v>
      </c>
      <c r="D314" s="2" t="str">
        <f>Configurações!$B$16</f>
        <v>Câmera 10</v>
      </c>
      <c r="E314" s="2">
        <f>Configurações!$C$16</f>
        <v>0</v>
      </c>
      <c r="F314" s="2" t="s">
        <v>20</v>
      </c>
      <c r="G314" s="2" t="s">
        <v>20</v>
      </c>
      <c r="H314" s="2" t="s">
        <v>20</v>
      </c>
      <c r="I314" s="6"/>
      <c r="J314" s="6"/>
      <c r="K314" s="6"/>
    </row>
    <row r="315" spans="1:11" x14ac:dyDescent="0.2">
      <c r="A315" s="7">
        <f>DATE(Configurações!$B$3,12,14)</f>
        <v>46370</v>
      </c>
      <c r="B315" s="2" t="str">
        <f t="shared" si="4"/>
        <v>seg</v>
      </c>
      <c r="C315" s="2" t="str">
        <f>Configurações!$A$17</f>
        <v>CAM 11</v>
      </c>
      <c r="D315" s="2" t="str">
        <f>Configurações!$B$17</f>
        <v>Câmera 11</v>
      </c>
      <c r="E315" s="2">
        <f>Configurações!$C$17</f>
        <v>0</v>
      </c>
      <c r="F315" s="2" t="s">
        <v>20</v>
      </c>
      <c r="G315" s="2" t="s">
        <v>20</v>
      </c>
      <c r="H315" s="2" t="s">
        <v>20</v>
      </c>
      <c r="I315" s="6"/>
      <c r="J315" s="6"/>
      <c r="K315" s="6"/>
    </row>
    <row r="316" spans="1:11" x14ac:dyDescent="0.2">
      <c r="A316" s="7">
        <f>DATE(Configurações!$B$3,12,14)</f>
        <v>46370</v>
      </c>
      <c r="B316" s="2" t="str">
        <f t="shared" si="4"/>
        <v>seg</v>
      </c>
      <c r="C316" s="2" t="str">
        <f>Configurações!$A$18</f>
        <v>CAM 12</v>
      </c>
      <c r="D316" s="2" t="str">
        <f>Configurações!$B$18</f>
        <v>Câmera 12</v>
      </c>
      <c r="E316" s="2">
        <f>Configurações!$C$18</f>
        <v>0</v>
      </c>
      <c r="F316" s="2" t="s">
        <v>20</v>
      </c>
      <c r="G316" s="2" t="s">
        <v>20</v>
      </c>
      <c r="H316" s="2" t="s">
        <v>20</v>
      </c>
      <c r="I316" s="6"/>
      <c r="J316" s="6"/>
      <c r="K316" s="6"/>
    </row>
    <row r="317" spans="1:11" x14ac:dyDescent="0.2">
      <c r="A317" s="7">
        <f>DATE(Configurações!$B$3,12,14)</f>
        <v>46370</v>
      </c>
      <c r="B317" s="2" t="str">
        <f t="shared" si="4"/>
        <v>seg</v>
      </c>
      <c r="C317" s="2" t="str">
        <f>Configurações!$A$19</f>
        <v>CAM 13</v>
      </c>
      <c r="D317" s="2" t="str">
        <f>Configurações!$B$19</f>
        <v>Câmera 13</v>
      </c>
      <c r="E317" s="2">
        <f>Configurações!$C$19</f>
        <v>0</v>
      </c>
      <c r="F317" s="2" t="s">
        <v>20</v>
      </c>
      <c r="G317" s="2" t="s">
        <v>20</v>
      </c>
      <c r="H317" s="2" t="s">
        <v>20</v>
      </c>
      <c r="I317" s="6"/>
      <c r="J317" s="6"/>
      <c r="K317" s="6"/>
    </row>
    <row r="318" spans="1:11" x14ac:dyDescent="0.2">
      <c r="A318" s="7">
        <f>DATE(Configurações!$B$3,12,14)</f>
        <v>46370</v>
      </c>
      <c r="B318" s="2" t="str">
        <f t="shared" si="4"/>
        <v>seg</v>
      </c>
      <c r="C318" s="2" t="str">
        <f>Configurações!$A$20</f>
        <v>CAM 14</v>
      </c>
      <c r="D318" s="2" t="str">
        <f>Configurações!$B$20</f>
        <v>Reserva/Futura 01</v>
      </c>
      <c r="E318" s="2">
        <f>Configurações!$C$20</f>
        <v>0</v>
      </c>
      <c r="F318" s="2" t="s">
        <v>20</v>
      </c>
      <c r="G318" s="2" t="s">
        <v>20</v>
      </c>
      <c r="H318" s="2" t="s">
        <v>20</v>
      </c>
      <c r="I318" s="6"/>
      <c r="J318" s="6"/>
      <c r="K318" s="6"/>
    </row>
    <row r="319" spans="1:11" x14ac:dyDescent="0.2">
      <c r="A319" s="7">
        <f>DATE(Configurações!$B$3,12,14)</f>
        <v>46370</v>
      </c>
      <c r="B319" s="2" t="str">
        <f t="shared" si="4"/>
        <v>seg</v>
      </c>
      <c r="C319" s="2" t="str">
        <f>Configurações!$A$21</f>
        <v>CAM 15</v>
      </c>
      <c r="D319" s="2" t="str">
        <f>Configurações!$B$21</f>
        <v>Reserva/Futura 02</v>
      </c>
      <c r="E319" s="2">
        <f>Configurações!$C$21</f>
        <v>0</v>
      </c>
      <c r="F319" s="2" t="s">
        <v>20</v>
      </c>
      <c r="G319" s="2" t="s">
        <v>20</v>
      </c>
      <c r="H319" s="2" t="s">
        <v>20</v>
      </c>
      <c r="I319" s="6"/>
      <c r="J319" s="6"/>
      <c r="K319" s="6"/>
    </row>
    <row r="320" spans="1:11" x14ac:dyDescent="0.2">
      <c r="A320" s="7">
        <f>DATE(Configurações!$B$3,12,14)</f>
        <v>46370</v>
      </c>
      <c r="B320" s="2" t="str">
        <f t="shared" si="4"/>
        <v>seg</v>
      </c>
      <c r="C320" s="2" t="str">
        <f>Configurações!$A$22</f>
        <v>CAM 16</v>
      </c>
      <c r="D320" s="2" t="str">
        <f>Configurações!$B$22</f>
        <v>Reserva/Futura 03</v>
      </c>
      <c r="E320" s="2">
        <f>Configurações!$C$22</f>
        <v>0</v>
      </c>
      <c r="F320" s="2" t="s">
        <v>20</v>
      </c>
      <c r="G320" s="2" t="s">
        <v>20</v>
      </c>
      <c r="H320" s="2" t="s">
        <v>20</v>
      </c>
      <c r="I320" s="6"/>
      <c r="J320" s="6"/>
      <c r="K320" s="6"/>
    </row>
    <row r="321" spans="1:11" x14ac:dyDescent="0.2">
      <c r="A321" s="7">
        <f>DATE(Configurações!$B$3,12,14)</f>
        <v>46370</v>
      </c>
      <c r="B321" s="2" t="str">
        <f t="shared" si="4"/>
        <v>seg</v>
      </c>
      <c r="C321" s="2" t="str">
        <f>Configurações!$A$23</f>
        <v>CAM 17</v>
      </c>
      <c r="D321" s="2" t="str">
        <f>Configurações!$B$23</f>
        <v>Reserva/Futura 04</v>
      </c>
      <c r="E321" s="2">
        <f>Configurações!$C$23</f>
        <v>0</v>
      </c>
      <c r="F321" s="2" t="s">
        <v>20</v>
      </c>
      <c r="G321" s="2" t="s">
        <v>20</v>
      </c>
      <c r="H321" s="2" t="s">
        <v>20</v>
      </c>
      <c r="I321" s="6"/>
      <c r="J321" s="6"/>
      <c r="K321" s="6"/>
    </row>
    <row r="322" spans="1:11" x14ac:dyDescent="0.2">
      <c r="A322" s="7">
        <f>DATE(Configurações!$B$3,12,14)</f>
        <v>46370</v>
      </c>
      <c r="B322" s="2" t="str">
        <f t="shared" si="4"/>
        <v>seg</v>
      </c>
      <c r="C322" s="2" t="str">
        <f>Configurações!$A$24</f>
        <v>CAM 18</v>
      </c>
      <c r="D322" s="2" t="str">
        <f>Configurações!$B$24</f>
        <v>Reserva/Futura 05</v>
      </c>
      <c r="E322" s="2">
        <f>Configurações!$C$24</f>
        <v>0</v>
      </c>
      <c r="F322" s="2" t="s">
        <v>20</v>
      </c>
      <c r="G322" s="2" t="s">
        <v>20</v>
      </c>
      <c r="H322" s="2" t="s">
        <v>20</v>
      </c>
      <c r="I322" s="6"/>
      <c r="J322" s="6"/>
      <c r="K322" s="6"/>
    </row>
    <row r="323" spans="1:11" x14ac:dyDescent="0.2">
      <c r="A323" s="7">
        <f>DATE(Configurações!$B$3,12,14)</f>
        <v>46370</v>
      </c>
      <c r="B323" s="2" t="str">
        <f t="shared" si="4"/>
        <v>seg</v>
      </c>
      <c r="C323" s="2" t="str">
        <f>Configurações!$A$25</f>
        <v>CAM 19</v>
      </c>
      <c r="D323" s="2" t="str">
        <f>Configurações!$B$25</f>
        <v>Reserva/Futura 06</v>
      </c>
      <c r="E323" s="2">
        <f>Configurações!$C$25</f>
        <v>0</v>
      </c>
      <c r="F323" s="2" t="s">
        <v>20</v>
      </c>
      <c r="G323" s="2" t="s">
        <v>20</v>
      </c>
      <c r="H323" s="2" t="s">
        <v>20</v>
      </c>
      <c r="I323" s="6"/>
      <c r="J323" s="6"/>
      <c r="K323" s="6"/>
    </row>
    <row r="324" spans="1:11" x14ac:dyDescent="0.2">
      <c r="A324" s="7">
        <f>DATE(Configurações!$B$3,12,14)</f>
        <v>46370</v>
      </c>
      <c r="B324" s="2" t="str">
        <f t="shared" si="4"/>
        <v>seg</v>
      </c>
      <c r="C324" s="2" t="str">
        <f>Configurações!$A$26</f>
        <v>CAM 20</v>
      </c>
      <c r="D324" s="2" t="str">
        <f>Configurações!$B$26</f>
        <v>Reserva/Futura 07</v>
      </c>
      <c r="E324" s="2">
        <f>Configurações!$C$26</f>
        <v>0</v>
      </c>
      <c r="F324" s="2" t="s">
        <v>20</v>
      </c>
      <c r="G324" s="2" t="s">
        <v>20</v>
      </c>
      <c r="H324" s="2" t="s">
        <v>20</v>
      </c>
      <c r="I324" s="6"/>
      <c r="J324" s="6"/>
      <c r="K324" s="6"/>
    </row>
    <row r="325" spans="1:11" x14ac:dyDescent="0.2">
      <c r="A325" s="7">
        <f>DATE(Configurações!$B$3,12,14)</f>
        <v>46370</v>
      </c>
      <c r="B325" s="2" t="str">
        <f t="shared" si="4"/>
        <v>seg</v>
      </c>
      <c r="C325" s="2" t="str">
        <f>Configurações!$A$27</f>
        <v>CAM 21</v>
      </c>
      <c r="D325" s="2" t="str">
        <f>Configurações!$B$27</f>
        <v>Reserva/Futura 08</v>
      </c>
      <c r="E325" s="2">
        <f>Configurações!$C$27</f>
        <v>0</v>
      </c>
      <c r="F325" s="2" t="s">
        <v>20</v>
      </c>
      <c r="G325" s="2" t="s">
        <v>20</v>
      </c>
      <c r="H325" s="2" t="s">
        <v>20</v>
      </c>
      <c r="I325" s="6"/>
      <c r="J325" s="6"/>
      <c r="K325" s="6"/>
    </row>
    <row r="326" spans="1:11" x14ac:dyDescent="0.2">
      <c r="A326" s="7">
        <f>DATE(Configurações!$B$3,12,14)</f>
        <v>46370</v>
      </c>
      <c r="B326" s="2" t="str">
        <f t="shared" ref="B326:B389" si="5">TEXT(A326,"ddd")</f>
        <v>seg</v>
      </c>
      <c r="C326" s="2" t="str">
        <f>Configurações!$A$28</f>
        <v>CAM 22</v>
      </c>
      <c r="D326" s="2" t="str">
        <f>Configurações!$B$28</f>
        <v>Reserva/Futura 09</v>
      </c>
      <c r="E326" s="2">
        <f>Configurações!$C$28</f>
        <v>0</v>
      </c>
      <c r="F326" s="2" t="s">
        <v>20</v>
      </c>
      <c r="G326" s="2" t="s">
        <v>20</v>
      </c>
      <c r="H326" s="2" t="s">
        <v>20</v>
      </c>
      <c r="I326" s="6"/>
      <c r="J326" s="6"/>
      <c r="K326" s="6"/>
    </row>
    <row r="327" spans="1:11" x14ac:dyDescent="0.2">
      <c r="A327" s="7">
        <f>DATE(Configurações!$B$3,12,14)</f>
        <v>46370</v>
      </c>
      <c r="B327" s="2" t="str">
        <f t="shared" si="5"/>
        <v>seg</v>
      </c>
      <c r="C327" s="2" t="str">
        <f>Configurações!$A$29</f>
        <v>CAM 23</v>
      </c>
      <c r="D327" s="2" t="str">
        <f>Configurações!$B$29</f>
        <v>Reserva/Futura 10</v>
      </c>
      <c r="E327" s="2">
        <f>Configurações!$C$29</f>
        <v>0</v>
      </c>
      <c r="F327" s="2" t="s">
        <v>20</v>
      </c>
      <c r="G327" s="2" t="s">
        <v>20</v>
      </c>
      <c r="H327" s="2" t="s">
        <v>20</v>
      </c>
      <c r="I327" s="6"/>
      <c r="J327" s="6"/>
      <c r="K327" s="6"/>
    </row>
    <row r="328" spans="1:11" x14ac:dyDescent="0.2">
      <c r="A328" s="7">
        <f>DATE(Configurações!$B$3,12,15)</f>
        <v>46371</v>
      </c>
      <c r="B328" s="2" t="str">
        <f t="shared" si="5"/>
        <v>ter</v>
      </c>
      <c r="C328" s="2" t="str">
        <f>Configurações!$A$7</f>
        <v>CAM 01</v>
      </c>
      <c r="D328" s="2" t="str">
        <f>Configurações!$B$7</f>
        <v>BARU ANDES</v>
      </c>
      <c r="E328" s="2">
        <f>Configurações!$C$7</f>
        <v>0</v>
      </c>
      <c r="F328" s="2" t="s">
        <v>20</v>
      </c>
      <c r="G328" s="2" t="s">
        <v>20</v>
      </c>
      <c r="H328" s="2" t="s">
        <v>20</v>
      </c>
      <c r="I328" s="6"/>
      <c r="J328" s="6"/>
      <c r="K328" s="6"/>
    </row>
    <row r="329" spans="1:11" x14ac:dyDescent="0.2">
      <c r="A329" s="7">
        <f>DATE(Configurações!$B$3,12,15)</f>
        <v>46371</v>
      </c>
      <c r="B329" s="2" t="str">
        <f t="shared" si="5"/>
        <v>ter</v>
      </c>
      <c r="C329" s="2" t="str">
        <f>Configurações!$A$8</f>
        <v>CAM 02</v>
      </c>
      <c r="D329" s="2" t="str">
        <f>Configurações!$B$8</f>
        <v>Câmera 02</v>
      </c>
      <c r="E329" s="2">
        <f>Configurações!$C$8</f>
        <v>0</v>
      </c>
      <c r="F329" s="2" t="s">
        <v>20</v>
      </c>
      <c r="G329" s="2" t="s">
        <v>20</v>
      </c>
      <c r="H329" s="2" t="s">
        <v>20</v>
      </c>
      <c r="I329" s="6"/>
      <c r="J329" s="6"/>
      <c r="K329" s="6"/>
    </row>
    <row r="330" spans="1:11" x14ac:dyDescent="0.2">
      <c r="A330" s="7">
        <f>DATE(Configurações!$B$3,12,15)</f>
        <v>46371</v>
      </c>
      <c r="B330" s="2" t="str">
        <f t="shared" si="5"/>
        <v>ter</v>
      </c>
      <c r="C330" s="2" t="str">
        <f>Configurações!$A$9</f>
        <v>CAM 03</v>
      </c>
      <c r="D330" s="2" t="str">
        <f>Configurações!$B$9</f>
        <v>Câmera 03</v>
      </c>
      <c r="E330" s="2">
        <f>Configurações!$C$9</f>
        <v>0</v>
      </c>
      <c r="F330" s="2" t="s">
        <v>20</v>
      </c>
      <c r="G330" s="2" t="s">
        <v>20</v>
      </c>
      <c r="H330" s="2" t="s">
        <v>20</v>
      </c>
      <c r="I330" s="6"/>
      <c r="J330" s="6"/>
      <c r="K330" s="6"/>
    </row>
    <row r="331" spans="1:11" x14ac:dyDescent="0.2">
      <c r="A331" s="7">
        <f>DATE(Configurações!$B$3,12,15)</f>
        <v>46371</v>
      </c>
      <c r="B331" s="2" t="str">
        <f t="shared" si="5"/>
        <v>ter</v>
      </c>
      <c r="C331" s="2" t="str">
        <f>Configurações!$A$10</f>
        <v>CAM 04</v>
      </c>
      <c r="D331" s="2" t="str">
        <f>Configurações!$B$10</f>
        <v>Câmera 04</v>
      </c>
      <c r="E331" s="2">
        <f>Configurações!$C$10</f>
        <v>0</v>
      </c>
      <c r="F331" s="2" t="s">
        <v>20</v>
      </c>
      <c r="G331" s="2" t="s">
        <v>20</v>
      </c>
      <c r="H331" s="2" t="s">
        <v>20</v>
      </c>
      <c r="I331" s="6"/>
      <c r="J331" s="6"/>
      <c r="K331" s="6"/>
    </row>
    <row r="332" spans="1:11" x14ac:dyDescent="0.2">
      <c r="A332" s="7">
        <f>DATE(Configurações!$B$3,12,15)</f>
        <v>46371</v>
      </c>
      <c r="B332" s="2" t="str">
        <f t="shared" si="5"/>
        <v>ter</v>
      </c>
      <c r="C332" s="2" t="str">
        <f>Configurações!$A$11</f>
        <v>CAM 05</v>
      </c>
      <c r="D332" s="2" t="str">
        <f>Configurações!$B$11</f>
        <v>Câmera 05</v>
      </c>
      <c r="E332" s="2">
        <f>Configurações!$C$11</f>
        <v>0</v>
      </c>
      <c r="F332" s="2" t="s">
        <v>20</v>
      </c>
      <c r="G332" s="2" t="s">
        <v>20</v>
      </c>
      <c r="H332" s="2" t="s">
        <v>20</v>
      </c>
      <c r="I332" s="6"/>
      <c r="J332" s="6"/>
      <c r="K332" s="6"/>
    </row>
    <row r="333" spans="1:11" x14ac:dyDescent="0.2">
      <c r="A333" s="7">
        <f>DATE(Configurações!$B$3,12,15)</f>
        <v>46371</v>
      </c>
      <c r="B333" s="2" t="str">
        <f t="shared" si="5"/>
        <v>ter</v>
      </c>
      <c r="C333" s="2" t="str">
        <f>Configurações!$A$12</f>
        <v>CAM 06</v>
      </c>
      <c r="D333" s="2" t="str">
        <f>Configurações!$B$12</f>
        <v>Câmera 06</v>
      </c>
      <c r="E333" s="2">
        <f>Configurações!$C$12</f>
        <v>0</v>
      </c>
      <c r="F333" s="2" t="s">
        <v>20</v>
      </c>
      <c r="G333" s="2" t="s">
        <v>20</v>
      </c>
      <c r="H333" s="2" t="s">
        <v>20</v>
      </c>
      <c r="I333" s="6"/>
      <c r="J333" s="6"/>
      <c r="K333" s="6"/>
    </row>
    <row r="334" spans="1:11" x14ac:dyDescent="0.2">
      <c r="A334" s="7">
        <f>DATE(Configurações!$B$3,12,15)</f>
        <v>46371</v>
      </c>
      <c r="B334" s="2" t="str">
        <f t="shared" si="5"/>
        <v>ter</v>
      </c>
      <c r="C334" s="2" t="str">
        <f>Configurações!$A$13</f>
        <v>CAM 07</v>
      </c>
      <c r="D334" s="2" t="str">
        <f>Configurações!$B$13</f>
        <v>Câmera 07</v>
      </c>
      <c r="E334" s="2">
        <f>Configurações!$C$13</f>
        <v>0</v>
      </c>
      <c r="F334" s="2" t="s">
        <v>20</v>
      </c>
      <c r="G334" s="2" t="s">
        <v>20</v>
      </c>
      <c r="H334" s="2" t="s">
        <v>20</v>
      </c>
      <c r="I334" s="6"/>
      <c r="J334" s="6"/>
      <c r="K334" s="6"/>
    </row>
    <row r="335" spans="1:11" x14ac:dyDescent="0.2">
      <c r="A335" s="7">
        <f>DATE(Configurações!$B$3,12,15)</f>
        <v>46371</v>
      </c>
      <c r="B335" s="2" t="str">
        <f t="shared" si="5"/>
        <v>ter</v>
      </c>
      <c r="C335" s="2" t="str">
        <f>Configurações!$A$14</f>
        <v>CAM 08</v>
      </c>
      <c r="D335" s="2" t="str">
        <f>Configurações!$B$14</f>
        <v>Câmera 08</v>
      </c>
      <c r="E335" s="2">
        <f>Configurações!$C$14</f>
        <v>0</v>
      </c>
      <c r="F335" s="2" t="s">
        <v>20</v>
      </c>
      <c r="G335" s="2" t="s">
        <v>20</v>
      </c>
      <c r="H335" s="2" t="s">
        <v>20</v>
      </c>
      <c r="I335" s="6"/>
      <c r="J335" s="6"/>
      <c r="K335" s="6"/>
    </row>
    <row r="336" spans="1:11" x14ac:dyDescent="0.2">
      <c r="A336" s="7">
        <f>DATE(Configurações!$B$3,12,15)</f>
        <v>46371</v>
      </c>
      <c r="B336" s="2" t="str">
        <f t="shared" si="5"/>
        <v>ter</v>
      </c>
      <c r="C336" s="2" t="str">
        <f>Configurações!$A$15</f>
        <v>CAM 09</v>
      </c>
      <c r="D336" s="2" t="str">
        <f>Configurações!$B$15</f>
        <v>Câmera 09</v>
      </c>
      <c r="E336" s="2">
        <f>Configurações!$C$15</f>
        <v>0</v>
      </c>
      <c r="F336" s="2" t="s">
        <v>20</v>
      </c>
      <c r="G336" s="2" t="s">
        <v>20</v>
      </c>
      <c r="H336" s="2" t="s">
        <v>20</v>
      </c>
      <c r="I336" s="6"/>
      <c r="J336" s="6"/>
      <c r="K336" s="6"/>
    </row>
    <row r="337" spans="1:11" x14ac:dyDescent="0.2">
      <c r="A337" s="7">
        <f>DATE(Configurações!$B$3,12,15)</f>
        <v>46371</v>
      </c>
      <c r="B337" s="2" t="str">
        <f t="shared" si="5"/>
        <v>ter</v>
      </c>
      <c r="C337" s="2" t="str">
        <f>Configurações!$A$16</f>
        <v>CAM 10</v>
      </c>
      <c r="D337" s="2" t="str">
        <f>Configurações!$B$16</f>
        <v>Câmera 10</v>
      </c>
      <c r="E337" s="2">
        <f>Configurações!$C$16</f>
        <v>0</v>
      </c>
      <c r="F337" s="2" t="s">
        <v>20</v>
      </c>
      <c r="G337" s="2" t="s">
        <v>20</v>
      </c>
      <c r="H337" s="2" t="s">
        <v>20</v>
      </c>
      <c r="I337" s="6"/>
      <c r="J337" s="6"/>
      <c r="K337" s="6"/>
    </row>
    <row r="338" spans="1:11" x14ac:dyDescent="0.2">
      <c r="A338" s="7">
        <f>DATE(Configurações!$B$3,12,15)</f>
        <v>46371</v>
      </c>
      <c r="B338" s="2" t="str">
        <f t="shared" si="5"/>
        <v>ter</v>
      </c>
      <c r="C338" s="2" t="str">
        <f>Configurações!$A$17</f>
        <v>CAM 11</v>
      </c>
      <c r="D338" s="2" t="str">
        <f>Configurações!$B$17</f>
        <v>Câmera 11</v>
      </c>
      <c r="E338" s="2">
        <f>Configurações!$C$17</f>
        <v>0</v>
      </c>
      <c r="F338" s="2" t="s">
        <v>20</v>
      </c>
      <c r="G338" s="2" t="s">
        <v>20</v>
      </c>
      <c r="H338" s="2" t="s">
        <v>20</v>
      </c>
      <c r="I338" s="6"/>
      <c r="J338" s="6"/>
      <c r="K338" s="6"/>
    </row>
    <row r="339" spans="1:11" x14ac:dyDescent="0.2">
      <c r="A339" s="7">
        <f>DATE(Configurações!$B$3,12,15)</f>
        <v>46371</v>
      </c>
      <c r="B339" s="2" t="str">
        <f t="shared" si="5"/>
        <v>ter</v>
      </c>
      <c r="C339" s="2" t="str">
        <f>Configurações!$A$18</f>
        <v>CAM 12</v>
      </c>
      <c r="D339" s="2" t="str">
        <f>Configurações!$B$18</f>
        <v>Câmera 12</v>
      </c>
      <c r="E339" s="2">
        <f>Configurações!$C$18</f>
        <v>0</v>
      </c>
      <c r="F339" s="2" t="s">
        <v>20</v>
      </c>
      <c r="G339" s="2" t="s">
        <v>20</v>
      </c>
      <c r="H339" s="2" t="s">
        <v>20</v>
      </c>
      <c r="I339" s="6"/>
      <c r="J339" s="6"/>
      <c r="K339" s="6"/>
    </row>
    <row r="340" spans="1:11" x14ac:dyDescent="0.2">
      <c r="A340" s="7">
        <f>DATE(Configurações!$B$3,12,15)</f>
        <v>46371</v>
      </c>
      <c r="B340" s="2" t="str">
        <f t="shared" si="5"/>
        <v>ter</v>
      </c>
      <c r="C340" s="2" t="str">
        <f>Configurações!$A$19</f>
        <v>CAM 13</v>
      </c>
      <c r="D340" s="2" t="str">
        <f>Configurações!$B$19</f>
        <v>Câmera 13</v>
      </c>
      <c r="E340" s="2">
        <f>Configurações!$C$19</f>
        <v>0</v>
      </c>
      <c r="F340" s="2" t="s">
        <v>20</v>
      </c>
      <c r="G340" s="2" t="s">
        <v>20</v>
      </c>
      <c r="H340" s="2" t="s">
        <v>20</v>
      </c>
      <c r="I340" s="6"/>
      <c r="J340" s="6"/>
      <c r="K340" s="6"/>
    </row>
    <row r="341" spans="1:11" x14ac:dyDescent="0.2">
      <c r="A341" s="7">
        <f>DATE(Configurações!$B$3,12,15)</f>
        <v>46371</v>
      </c>
      <c r="B341" s="2" t="str">
        <f t="shared" si="5"/>
        <v>ter</v>
      </c>
      <c r="C341" s="2" t="str">
        <f>Configurações!$A$20</f>
        <v>CAM 14</v>
      </c>
      <c r="D341" s="2" t="str">
        <f>Configurações!$B$20</f>
        <v>Reserva/Futura 01</v>
      </c>
      <c r="E341" s="2">
        <f>Configurações!$C$20</f>
        <v>0</v>
      </c>
      <c r="F341" s="2" t="s">
        <v>20</v>
      </c>
      <c r="G341" s="2" t="s">
        <v>20</v>
      </c>
      <c r="H341" s="2" t="s">
        <v>20</v>
      </c>
      <c r="I341" s="6"/>
      <c r="J341" s="6"/>
      <c r="K341" s="6"/>
    </row>
    <row r="342" spans="1:11" x14ac:dyDescent="0.2">
      <c r="A342" s="7">
        <f>DATE(Configurações!$B$3,12,15)</f>
        <v>46371</v>
      </c>
      <c r="B342" s="2" t="str">
        <f t="shared" si="5"/>
        <v>ter</v>
      </c>
      <c r="C342" s="2" t="str">
        <f>Configurações!$A$21</f>
        <v>CAM 15</v>
      </c>
      <c r="D342" s="2" t="str">
        <f>Configurações!$B$21</f>
        <v>Reserva/Futura 02</v>
      </c>
      <c r="E342" s="2">
        <f>Configurações!$C$21</f>
        <v>0</v>
      </c>
      <c r="F342" s="2" t="s">
        <v>20</v>
      </c>
      <c r="G342" s="2" t="s">
        <v>20</v>
      </c>
      <c r="H342" s="2" t="s">
        <v>20</v>
      </c>
      <c r="I342" s="6"/>
      <c r="J342" s="6"/>
      <c r="K342" s="6"/>
    </row>
    <row r="343" spans="1:11" x14ac:dyDescent="0.2">
      <c r="A343" s="7">
        <f>DATE(Configurações!$B$3,12,15)</f>
        <v>46371</v>
      </c>
      <c r="B343" s="2" t="str">
        <f t="shared" si="5"/>
        <v>ter</v>
      </c>
      <c r="C343" s="2" t="str">
        <f>Configurações!$A$22</f>
        <v>CAM 16</v>
      </c>
      <c r="D343" s="2" t="str">
        <f>Configurações!$B$22</f>
        <v>Reserva/Futura 03</v>
      </c>
      <c r="E343" s="2">
        <f>Configurações!$C$22</f>
        <v>0</v>
      </c>
      <c r="F343" s="2" t="s">
        <v>20</v>
      </c>
      <c r="G343" s="2" t="s">
        <v>20</v>
      </c>
      <c r="H343" s="2" t="s">
        <v>20</v>
      </c>
      <c r="I343" s="6"/>
      <c r="J343" s="6"/>
      <c r="K343" s="6"/>
    </row>
    <row r="344" spans="1:11" x14ac:dyDescent="0.2">
      <c r="A344" s="7">
        <f>DATE(Configurações!$B$3,12,15)</f>
        <v>46371</v>
      </c>
      <c r="B344" s="2" t="str">
        <f t="shared" si="5"/>
        <v>ter</v>
      </c>
      <c r="C344" s="2" t="str">
        <f>Configurações!$A$23</f>
        <v>CAM 17</v>
      </c>
      <c r="D344" s="2" t="str">
        <f>Configurações!$B$23</f>
        <v>Reserva/Futura 04</v>
      </c>
      <c r="E344" s="2">
        <f>Configurações!$C$23</f>
        <v>0</v>
      </c>
      <c r="F344" s="2" t="s">
        <v>20</v>
      </c>
      <c r="G344" s="2" t="s">
        <v>20</v>
      </c>
      <c r="H344" s="2" t="s">
        <v>20</v>
      </c>
      <c r="I344" s="6"/>
      <c r="J344" s="6"/>
      <c r="K344" s="6"/>
    </row>
    <row r="345" spans="1:11" x14ac:dyDescent="0.2">
      <c r="A345" s="7">
        <f>DATE(Configurações!$B$3,12,15)</f>
        <v>46371</v>
      </c>
      <c r="B345" s="2" t="str">
        <f t="shared" si="5"/>
        <v>ter</v>
      </c>
      <c r="C345" s="2" t="str">
        <f>Configurações!$A$24</f>
        <v>CAM 18</v>
      </c>
      <c r="D345" s="2" t="str">
        <f>Configurações!$B$24</f>
        <v>Reserva/Futura 05</v>
      </c>
      <c r="E345" s="2">
        <f>Configurações!$C$24</f>
        <v>0</v>
      </c>
      <c r="F345" s="2" t="s">
        <v>20</v>
      </c>
      <c r="G345" s="2" t="s">
        <v>20</v>
      </c>
      <c r="H345" s="2" t="s">
        <v>20</v>
      </c>
      <c r="I345" s="6"/>
      <c r="J345" s="6"/>
      <c r="K345" s="6"/>
    </row>
    <row r="346" spans="1:11" x14ac:dyDescent="0.2">
      <c r="A346" s="7">
        <f>DATE(Configurações!$B$3,12,15)</f>
        <v>46371</v>
      </c>
      <c r="B346" s="2" t="str">
        <f t="shared" si="5"/>
        <v>ter</v>
      </c>
      <c r="C346" s="2" t="str">
        <f>Configurações!$A$25</f>
        <v>CAM 19</v>
      </c>
      <c r="D346" s="2" t="str">
        <f>Configurações!$B$25</f>
        <v>Reserva/Futura 06</v>
      </c>
      <c r="E346" s="2">
        <f>Configurações!$C$25</f>
        <v>0</v>
      </c>
      <c r="F346" s="2" t="s">
        <v>20</v>
      </c>
      <c r="G346" s="2" t="s">
        <v>20</v>
      </c>
      <c r="H346" s="2" t="s">
        <v>20</v>
      </c>
      <c r="I346" s="6"/>
      <c r="J346" s="6"/>
      <c r="K346" s="6"/>
    </row>
    <row r="347" spans="1:11" x14ac:dyDescent="0.2">
      <c r="A347" s="7">
        <f>DATE(Configurações!$B$3,12,15)</f>
        <v>46371</v>
      </c>
      <c r="B347" s="2" t="str">
        <f t="shared" si="5"/>
        <v>ter</v>
      </c>
      <c r="C347" s="2" t="str">
        <f>Configurações!$A$26</f>
        <v>CAM 20</v>
      </c>
      <c r="D347" s="2" t="str">
        <f>Configurações!$B$26</f>
        <v>Reserva/Futura 07</v>
      </c>
      <c r="E347" s="2">
        <f>Configurações!$C$26</f>
        <v>0</v>
      </c>
      <c r="F347" s="2" t="s">
        <v>20</v>
      </c>
      <c r="G347" s="2" t="s">
        <v>20</v>
      </c>
      <c r="H347" s="2" t="s">
        <v>20</v>
      </c>
      <c r="I347" s="6"/>
      <c r="J347" s="6"/>
      <c r="K347" s="6"/>
    </row>
    <row r="348" spans="1:11" x14ac:dyDescent="0.2">
      <c r="A348" s="7">
        <f>DATE(Configurações!$B$3,12,15)</f>
        <v>46371</v>
      </c>
      <c r="B348" s="2" t="str">
        <f t="shared" si="5"/>
        <v>ter</v>
      </c>
      <c r="C348" s="2" t="str">
        <f>Configurações!$A$27</f>
        <v>CAM 21</v>
      </c>
      <c r="D348" s="2" t="str">
        <f>Configurações!$B$27</f>
        <v>Reserva/Futura 08</v>
      </c>
      <c r="E348" s="2">
        <f>Configurações!$C$27</f>
        <v>0</v>
      </c>
      <c r="F348" s="2" t="s">
        <v>20</v>
      </c>
      <c r="G348" s="2" t="s">
        <v>20</v>
      </c>
      <c r="H348" s="2" t="s">
        <v>20</v>
      </c>
      <c r="I348" s="6"/>
      <c r="J348" s="6"/>
      <c r="K348" s="6"/>
    </row>
    <row r="349" spans="1:11" x14ac:dyDescent="0.2">
      <c r="A349" s="7">
        <f>DATE(Configurações!$B$3,12,15)</f>
        <v>46371</v>
      </c>
      <c r="B349" s="2" t="str">
        <f t="shared" si="5"/>
        <v>ter</v>
      </c>
      <c r="C349" s="2" t="str">
        <f>Configurações!$A$28</f>
        <v>CAM 22</v>
      </c>
      <c r="D349" s="2" t="str">
        <f>Configurações!$B$28</f>
        <v>Reserva/Futura 09</v>
      </c>
      <c r="E349" s="2">
        <f>Configurações!$C$28</f>
        <v>0</v>
      </c>
      <c r="F349" s="2" t="s">
        <v>20</v>
      </c>
      <c r="G349" s="2" t="s">
        <v>20</v>
      </c>
      <c r="H349" s="2" t="s">
        <v>20</v>
      </c>
      <c r="I349" s="6"/>
      <c r="J349" s="6"/>
      <c r="K349" s="6"/>
    </row>
    <row r="350" spans="1:11" x14ac:dyDescent="0.2">
      <c r="A350" s="7">
        <f>DATE(Configurações!$B$3,12,15)</f>
        <v>46371</v>
      </c>
      <c r="B350" s="2" t="str">
        <f t="shared" si="5"/>
        <v>ter</v>
      </c>
      <c r="C350" s="2" t="str">
        <f>Configurações!$A$29</f>
        <v>CAM 23</v>
      </c>
      <c r="D350" s="2" t="str">
        <f>Configurações!$B$29</f>
        <v>Reserva/Futura 10</v>
      </c>
      <c r="E350" s="2">
        <f>Configurações!$C$29</f>
        <v>0</v>
      </c>
      <c r="F350" s="2" t="s">
        <v>20</v>
      </c>
      <c r="G350" s="2" t="s">
        <v>20</v>
      </c>
      <c r="H350" s="2" t="s">
        <v>20</v>
      </c>
      <c r="I350" s="6"/>
      <c r="J350" s="6"/>
      <c r="K350" s="6"/>
    </row>
    <row r="351" spans="1:11" x14ac:dyDescent="0.2">
      <c r="A351" s="7">
        <f>DATE(Configurações!$B$3,12,16)</f>
        <v>46372</v>
      </c>
      <c r="B351" s="2" t="str">
        <f t="shared" si="5"/>
        <v>qua</v>
      </c>
      <c r="C351" s="2" t="str">
        <f>Configurações!$A$7</f>
        <v>CAM 01</v>
      </c>
      <c r="D351" s="2" t="str">
        <f>Configurações!$B$7</f>
        <v>BARU ANDES</v>
      </c>
      <c r="E351" s="2">
        <f>Configurações!$C$7</f>
        <v>0</v>
      </c>
      <c r="F351" s="2" t="s">
        <v>20</v>
      </c>
      <c r="G351" s="2" t="s">
        <v>20</v>
      </c>
      <c r="H351" s="2" t="s">
        <v>20</v>
      </c>
      <c r="I351" s="6"/>
      <c r="J351" s="6"/>
      <c r="K351" s="6"/>
    </row>
    <row r="352" spans="1:11" x14ac:dyDescent="0.2">
      <c r="A352" s="7">
        <f>DATE(Configurações!$B$3,12,16)</f>
        <v>46372</v>
      </c>
      <c r="B352" s="2" t="str">
        <f t="shared" si="5"/>
        <v>qua</v>
      </c>
      <c r="C352" s="2" t="str">
        <f>Configurações!$A$8</f>
        <v>CAM 02</v>
      </c>
      <c r="D352" s="2" t="str">
        <f>Configurações!$B$8</f>
        <v>Câmera 02</v>
      </c>
      <c r="E352" s="2">
        <f>Configurações!$C$8</f>
        <v>0</v>
      </c>
      <c r="F352" s="2" t="s">
        <v>20</v>
      </c>
      <c r="G352" s="2" t="s">
        <v>20</v>
      </c>
      <c r="H352" s="2" t="s">
        <v>20</v>
      </c>
      <c r="I352" s="6"/>
      <c r="J352" s="6"/>
      <c r="K352" s="6"/>
    </row>
    <row r="353" spans="1:11" x14ac:dyDescent="0.2">
      <c r="A353" s="7">
        <f>DATE(Configurações!$B$3,12,16)</f>
        <v>46372</v>
      </c>
      <c r="B353" s="2" t="str">
        <f t="shared" si="5"/>
        <v>qua</v>
      </c>
      <c r="C353" s="2" t="str">
        <f>Configurações!$A$9</f>
        <v>CAM 03</v>
      </c>
      <c r="D353" s="2" t="str">
        <f>Configurações!$B$9</f>
        <v>Câmera 03</v>
      </c>
      <c r="E353" s="2">
        <f>Configurações!$C$9</f>
        <v>0</v>
      </c>
      <c r="F353" s="2" t="s">
        <v>20</v>
      </c>
      <c r="G353" s="2" t="s">
        <v>20</v>
      </c>
      <c r="H353" s="2" t="s">
        <v>20</v>
      </c>
      <c r="I353" s="6"/>
      <c r="J353" s="6"/>
      <c r="K353" s="6"/>
    </row>
    <row r="354" spans="1:11" x14ac:dyDescent="0.2">
      <c r="A354" s="7">
        <f>DATE(Configurações!$B$3,12,16)</f>
        <v>46372</v>
      </c>
      <c r="B354" s="2" t="str">
        <f t="shared" si="5"/>
        <v>qua</v>
      </c>
      <c r="C354" s="2" t="str">
        <f>Configurações!$A$10</f>
        <v>CAM 04</v>
      </c>
      <c r="D354" s="2" t="str">
        <f>Configurações!$B$10</f>
        <v>Câmera 04</v>
      </c>
      <c r="E354" s="2">
        <f>Configurações!$C$10</f>
        <v>0</v>
      </c>
      <c r="F354" s="2" t="s">
        <v>20</v>
      </c>
      <c r="G354" s="2" t="s">
        <v>20</v>
      </c>
      <c r="H354" s="2" t="s">
        <v>20</v>
      </c>
      <c r="I354" s="6"/>
      <c r="J354" s="6"/>
      <c r="K354" s="6"/>
    </row>
    <row r="355" spans="1:11" x14ac:dyDescent="0.2">
      <c r="A355" s="7">
        <f>DATE(Configurações!$B$3,12,16)</f>
        <v>46372</v>
      </c>
      <c r="B355" s="2" t="str">
        <f t="shared" si="5"/>
        <v>qua</v>
      </c>
      <c r="C355" s="2" t="str">
        <f>Configurações!$A$11</f>
        <v>CAM 05</v>
      </c>
      <c r="D355" s="2" t="str">
        <f>Configurações!$B$11</f>
        <v>Câmera 05</v>
      </c>
      <c r="E355" s="2">
        <f>Configurações!$C$11</f>
        <v>0</v>
      </c>
      <c r="F355" s="2" t="s">
        <v>20</v>
      </c>
      <c r="G355" s="2" t="s">
        <v>20</v>
      </c>
      <c r="H355" s="2" t="s">
        <v>20</v>
      </c>
      <c r="I355" s="6"/>
      <c r="J355" s="6"/>
      <c r="K355" s="6"/>
    </row>
    <row r="356" spans="1:11" x14ac:dyDescent="0.2">
      <c r="A356" s="7">
        <f>DATE(Configurações!$B$3,12,16)</f>
        <v>46372</v>
      </c>
      <c r="B356" s="2" t="str">
        <f t="shared" si="5"/>
        <v>qua</v>
      </c>
      <c r="C356" s="2" t="str">
        <f>Configurações!$A$12</f>
        <v>CAM 06</v>
      </c>
      <c r="D356" s="2" t="str">
        <f>Configurações!$B$12</f>
        <v>Câmera 06</v>
      </c>
      <c r="E356" s="2">
        <f>Configurações!$C$12</f>
        <v>0</v>
      </c>
      <c r="F356" s="2" t="s">
        <v>20</v>
      </c>
      <c r="G356" s="2" t="s">
        <v>20</v>
      </c>
      <c r="H356" s="2" t="s">
        <v>20</v>
      </c>
      <c r="I356" s="6"/>
      <c r="J356" s="6"/>
      <c r="K356" s="6"/>
    </row>
    <row r="357" spans="1:11" x14ac:dyDescent="0.2">
      <c r="A357" s="7">
        <f>DATE(Configurações!$B$3,12,16)</f>
        <v>46372</v>
      </c>
      <c r="B357" s="2" t="str">
        <f t="shared" si="5"/>
        <v>qua</v>
      </c>
      <c r="C357" s="2" t="str">
        <f>Configurações!$A$13</f>
        <v>CAM 07</v>
      </c>
      <c r="D357" s="2" t="str">
        <f>Configurações!$B$13</f>
        <v>Câmera 07</v>
      </c>
      <c r="E357" s="2">
        <f>Configurações!$C$13</f>
        <v>0</v>
      </c>
      <c r="F357" s="2" t="s">
        <v>20</v>
      </c>
      <c r="G357" s="2" t="s">
        <v>20</v>
      </c>
      <c r="H357" s="2" t="s">
        <v>20</v>
      </c>
      <c r="I357" s="6"/>
      <c r="J357" s="6"/>
      <c r="K357" s="6"/>
    </row>
    <row r="358" spans="1:11" x14ac:dyDescent="0.2">
      <c r="A358" s="7">
        <f>DATE(Configurações!$B$3,12,16)</f>
        <v>46372</v>
      </c>
      <c r="B358" s="2" t="str">
        <f t="shared" si="5"/>
        <v>qua</v>
      </c>
      <c r="C358" s="2" t="str">
        <f>Configurações!$A$14</f>
        <v>CAM 08</v>
      </c>
      <c r="D358" s="2" t="str">
        <f>Configurações!$B$14</f>
        <v>Câmera 08</v>
      </c>
      <c r="E358" s="2">
        <f>Configurações!$C$14</f>
        <v>0</v>
      </c>
      <c r="F358" s="2" t="s">
        <v>20</v>
      </c>
      <c r="G358" s="2" t="s">
        <v>20</v>
      </c>
      <c r="H358" s="2" t="s">
        <v>20</v>
      </c>
      <c r="I358" s="6"/>
      <c r="J358" s="6"/>
      <c r="K358" s="6"/>
    </row>
    <row r="359" spans="1:11" x14ac:dyDescent="0.2">
      <c r="A359" s="7">
        <f>DATE(Configurações!$B$3,12,16)</f>
        <v>46372</v>
      </c>
      <c r="B359" s="2" t="str">
        <f t="shared" si="5"/>
        <v>qua</v>
      </c>
      <c r="C359" s="2" t="str">
        <f>Configurações!$A$15</f>
        <v>CAM 09</v>
      </c>
      <c r="D359" s="2" t="str">
        <f>Configurações!$B$15</f>
        <v>Câmera 09</v>
      </c>
      <c r="E359" s="2">
        <f>Configurações!$C$15</f>
        <v>0</v>
      </c>
      <c r="F359" s="2" t="s">
        <v>20</v>
      </c>
      <c r="G359" s="2" t="s">
        <v>20</v>
      </c>
      <c r="H359" s="2" t="s">
        <v>20</v>
      </c>
      <c r="I359" s="6"/>
      <c r="J359" s="6"/>
      <c r="K359" s="6"/>
    </row>
    <row r="360" spans="1:11" x14ac:dyDescent="0.2">
      <c r="A360" s="7">
        <f>DATE(Configurações!$B$3,12,16)</f>
        <v>46372</v>
      </c>
      <c r="B360" s="2" t="str">
        <f t="shared" si="5"/>
        <v>qua</v>
      </c>
      <c r="C360" s="2" t="str">
        <f>Configurações!$A$16</f>
        <v>CAM 10</v>
      </c>
      <c r="D360" s="2" t="str">
        <f>Configurações!$B$16</f>
        <v>Câmera 10</v>
      </c>
      <c r="E360" s="2">
        <f>Configurações!$C$16</f>
        <v>0</v>
      </c>
      <c r="F360" s="2" t="s">
        <v>20</v>
      </c>
      <c r="G360" s="2" t="s">
        <v>20</v>
      </c>
      <c r="H360" s="2" t="s">
        <v>20</v>
      </c>
      <c r="I360" s="6"/>
      <c r="J360" s="6"/>
      <c r="K360" s="6"/>
    </row>
    <row r="361" spans="1:11" x14ac:dyDescent="0.2">
      <c r="A361" s="7">
        <f>DATE(Configurações!$B$3,12,16)</f>
        <v>46372</v>
      </c>
      <c r="B361" s="2" t="str">
        <f t="shared" si="5"/>
        <v>qua</v>
      </c>
      <c r="C361" s="2" t="str">
        <f>Configurações!$A$17</f>
        <v>CAM 11</v>
      </c>
      <c r="D361" s="2" t="str">
        <f>Configurações!$B$17</f>
        <v>Câmera 11</v>
      </c>
      <c r="E361" s="2">
        <f>Configurações!$C$17</f>
        <v>0</v>
      </c>
      <c r="F361" s="2" t="s">
        <v>20</v>
      </c>
      <c r="G361" s="2" t="s">
        <v>20</v>
      </c>
      <c r="H361" s="2" t="s">
        <v>20</v>
      </c>
      <c r="I361" s="6"/>
      <c r="J361" s="6"/>
      <c r="K361" s="6"/>
    </row>
    <row r="362" spans="1:11" x14ac:dyDescent="0.2">
      <c r="A362" s="7">
        <f>DATE(Configurações!$B$3,12,16)</f>
        <v>46372</v>
      </c>
      <c r="B362" s="2" t="str">
        <f t="shared" si="5"/>
        <v>qua</v>
      </c>
      <c r="C362" s="2" t="str">
        <f>Configurações!$A$18</f>
        <v>CAM 12</v>
      </c>
      <c r="D362" s="2" t="str">
        <f>Configurações!$B$18</f>
        <v>Câmera 12</v>
      </c>
      <c r="E362" s="2">
        <f>Configurações!$C$18</f>
        <v>0</v>
      </c>
      <c r="F362" s="2" t="s">
        <v>20</v>
      </c>
      <c r="G362" s="2" t="s">
        <v>20</v>
      </c>
      <c r="H362" s="2" t="s">
        <v>20</v>
      </c>
      <c r="I362" s="6"/>
      <c r="J362" s="6"/>
      <c r="K362" s="6"/>
    </row>
    <row r="363" spans="1:11" x14ac:dyDescent="0.2">
      <c r="A363" s="7">
        <f>DATE(Configurações!$B$3,12,16)</f>
        <v>46372</v>
      </c>
      <c r="B363" s="2" t="str">
        <f t="shared" si="5"/>
        <v>qua</v>
      </c>
      <c r="C363" s="2" t="str">
        <f>Configurações!$A$19</f>
        <v>CAM 13</v>
      </c>
      <c r="D363" s="2" t="str">
        <f>Configurações!$B$19</f>
        <v>Câmera 13</v>
      </c>
      <c r="E363" s="2">
        <f>Configurações!$C$19</f>
        <v>0</v>
      </c>
      <c r="F363" s="2" t="s">
        <v>20</v>
      </c>
      <c r="G363" s="2" t="s">
        <v>20</v>
      </c>
      <c r="H363" s="2" t="s">
        <v>20</v>
      </c>
      <c r="I363" s="6"/>
      <c r="J363" s="6"/>
      <c r="K363" s="6"/>
    </row>
    <row r="364" spans="1:11" x14ac:dyDescent="0.2">
      <c r="A364" s="7">
        <f>DATE(Configurações!$B$3,12,16)</f>
        <v>46372</v>
      </c>
      <c r="B364" s="2" t="str">
        <f t="shared" si="5"/>
        <v>qua</v>
      </c>
      <c r="C364" s="2" t="str">
        <f>Configurações!$A$20</f>
        <v>CAM 14</v>
      </c>
      <c r="D364" s="2" t="str">
        <f>Configurações!$B$20</f>
        <v>Reserva/Futura 01</v>
      </c>
      <c r="E364" s="2">
        <f>Configurações!$C$20</f>
        <v>0</v>
      </c>
      <c r="F364" s="2" t="s">
        <v>20</v>
      </c>
      <c r="G364" s="2" t="s">
        <v>20</v>
      </c>
      <c r="H364" s="2" t="s">
        <v>20</v>
      </c>
      <c r="I364" s="6"/>
      <c r="J364" s="6"/>
      <c r="K364" s="6"/>
    </row>
    <row r="365" spans="1:11" x14ac:dyDescent="0.2">
      <c r="A365" s="7">
        <f>DATE(Configurações!$B$3,12,16)</f>
        <v>46372</v>
      </c>
      <c r="B365" s="2" t="str">
        <f t="shared" si="5"/>
        <v>qua</v>
      </c>
      <c r="C365" s="2" t="str">
        <f>Configurações!$A$21</f>
        <v>CAM 15</v>
      </c>
      <c r="D365" s="2" t="str">
        <f>Configurações!$B$21</f>
        <v>Reserva/Futura 02</v>
      </c>
      <c r="E365" s="2">
        <f>Configurações!$C$21</f>
        <v>0</v>
      </c>
      <c r="F365" s="2" t="s">
        <v>20</v>
      </c>
      <c r="G365" s="2" t="s">
        <v>20</v>
      </c>
      <c r="H365" s="2" t="s">
        <v>20</v>
      </c>
      <c r="I365" s="6"/>
      <c r="J365" s="6"/>
      <c r="K365" s="6"/>
    </row>
    <row r="366" spans="1:11" x14ac:dyDescent="0.2">
      <c r="A366" s="7">
        <f>DATE(Configurações!$B$3,12,16)</f>
        <v>46372</v>
      </c>
      <c r="B366" s="2" t="str">
        <f t="shared" si="5"/>
        <v>qua</v>
      </c>
      <c r="C366" s="2" t="str">
        <f>Configurações!$A$22</f>
        <v>CAM 16</v>
      </c>
      <c r="D366" s="2" t="str">
        <f>Configurações!$B$22</f>
        <v>Reserva/Futura 03</v>
      </c>
      <c r="E366" s="2">
        <f>Configurações!$C$22</f>
        <v>0</v>
      </c>
      <c r="F366" s="2" t="s">
        <v>20</v>
      </c>
      <c r="G366" s="2" t="s">
        <v>20</v>
      </c>
      <c r="H366" s="2" t="s">
        <v>20</v>
      </c>
      <c r="I366" s="6"/>
      <c r="J366" s="6"/>
      <c r="K366" s="6"/>
    </row>
    <row r="367" spans="1:11" x14ac:dyDescent="0.2">
      <c r="A367" s="7">
        <f>DATE(Configurações!$B$3,12,16)</f>
        <v>46372</v>
      </c>
      <c r="B367" s="2" t="str">
        <f t="shared" si="5"/>
        <v>qua</v>
      </c>
      <c r="C367" s="2" t="str">
        <f>Configurações!$A$23</f>
        <v>CAM 17</v>
      </c>
      <c r="D367" s="2" t="str">
        <f>Configurações!$B$23</f>
        <v>Reserva/Futura 04</v>
      </c>
      <c r="E367" s="2">
        <f>Configurações!$C$23</f>
        <v>0</v>
      </c>
      <c r="F367" s="2" t="s">
        <v>20</v>
      </c>
      <c r="G367" s="2" t="s">
        <v>20</v>
      </c>
      <c r="H367" s="2" t="s">
        <v>20</v>
      </c>
      <c r="I367" s="6"/>
      <c r="J367" s="6"/>
      <c r="K367" s="6"/>
    </row>
    <row r="368" spans="1:11" x14ac:dyDescent="0.2">
      <c r="A368" s="7">
        <f>DATE(Configurações!$B$3,12,16)</f>
        <v>46372</v>
      </c>
      <c r="B368" s="2" t="str">
        <f t="shared" si="5"/>
        <v>qua</v>
      </c>
      <c r="C368" s="2" t="str">
        <f>Configurações!$A$24</f>
        <v>CAM 18</v>
      </c>
      <c r="D368" s="2" t="str">
        <f>Configurações!$B$24</f>
        <v>Reserva/Futura 05</v>
      </c>
      <c r="E368" s="2">
        <f>Configurações!$C$24</f>
        <v>0</v>
      </c>
      <c r="F368" s="2" t="s">
        <v>20</v>
      </c>
      <c r="G368" s="2" t="s">
        <v>20</v>
      </c>
      <c r="H368" s="2" t="s">
        <v>20</v>
      </c>
      <c r="I368" s="6"/>
      <c r="J368" s="6"/>
      <c r="K368" s="6"/>
    </row>
    <row r="369" spans="1:11" x14ac:dyDescent="0.2">
      <c r="A369" s="7">
        <f>DATE(Configurações!$B$3,12,16)</f>
        <v>46372</v>
      </c>
      <c r="B369" s="2" t="str">
        <f t="shared" si="5"/>
        <v>qua</v>
      </c>
      <c r="C369" s="2" t="str">
        <f>Configurações!$A$25</f>
        <v>CAM 19</v>
      </c>
      <c r="D369" s="2" t="str">
        <f>Configurações!$B$25</f>
        <v>Reserva/Futura 06</v>
      </c>
      <c r="E369" s="2">
        <f>Configurações!$C$25</f>
        <v>0</v>
      </c>
      <c r="F369" s="2" t="s">
        <v>20</v>
      </c>
      <c r="G369" s="2" t="s">
        <v>20</v>
      </c>
      <c r="H369" s="2" t="s">
        <v>20</v>
      </c>
      <c r="I369" s="6"/>
      <c r="J369" s="6"/>
      <c r="K369" s="6"/>
    </row>
    <row r="370" spans="1:11" x14ac:dyDescent="0.2">
      <c r="A370" s="7">
        <f>DATE(Configurações!$B$3,12,16)</f>
        <v>46372</v>
      </c>
      <c r="B370" s="2" t="str">
        <f t="shared" si="5"/>
        <v>qua</v>
      </c>
      <c r="C370" s="2" t="str">
        <f>Configurações!$A$26</f>
        <v>CAM 20</v>
      </c>
      <c r="D370" s="2" t="str">
        <f>Configurações!$B$26</f>
        <v>Reserva/Futura 07</v>
      </c>
      <c r="E370" s="2">
        <f>Configurações!$C$26</f>
        <v>0</v>
      </c>
      <c r="F370" s="2" t="s">
        <v>20</v>
      </c>
      <c r="G370" s="2" t="s">
        <v>20</v>
      </c>
      <c r="H370" s="2" t="s">
        <v>20</v>
      </c>
      <c r="I370" s="6"/>
      <c r="J370" s="6"/>
      <c r="K370" s="6"/>
    </row>
    <row r="371" spans="1:11" x14ac:dyDescent="0.2">
      <c r="A371" s="7">
        <f>DATE(Configurações!$B$3,12,16)</f>
        <v>46372</v>
      </c>
      <c r="B371" s="2" t="str">
        <f t="shared" si="5"/>
        <v>qua</v>
      </c>
      <c r="C371" s="2" t="str">
        <f>Configurações!$A$27</f>
        <v>CAM 21</v>
      </c>
      <c r="D371" s="2" t="str">
        <f>Configurações!$B$27</f>
        <v>Reserva/Futura 08</v>
      </c>
      <c r="E371" s="2">
        <f>Configurações!$C$27</f>
        <v>0</v>
      </c>
      <c r="F371" s="2" t="s">
        <v>20</v>
      </c>
      <c r="G371" s="2" t="s">
        <v>20</v>
      </c>
      <c r="H371" s="2" t="s">
        <v>20</v>
      </c>
      <c r="I371" s="6"/>
      <c r="J371" s="6"/>
      <c r="K371" s="6"/>
    </row>
    <row r="372" spans="1:11" x14ac:dyDescent="0.2">
      <c r="A372" s="7">
        <f>DATE(Configurações!$B$3,12,16)</f>
        <v>46372</v>
      </c>
      <c r="B372" s="2" t="str">
        <f t="shared" si="5"/>
        <v>qua</v>
      </c>
      <c r="C372" s="2" t="str">
        <f>Configurações!$A$28</f>
        <v>CAM 22</v>
      </c>
      <c r="D372" s="2" t="str">
        <f>Configurações!$B$28</f>
        <v>Reserva/Futura 09</v>
      </c>
      <c r="E372" s="2">
        <f>Configurações!$C$28</f>
        <v>0</v>
      </c>
      <c r="F372" s="2" t="s">
        <v>20</v>
      </c>
      <c r="G372" s="2" t="s">
        <v>20</v>
      </c>
      <c r="H372" s="2" t="s">
        <v>20</v>
      </c>
      <c r="I372" s="6"/>
      <c r="J372" s="6"/>
      <c r="K372" s="6"/>
    </row>
    <row r="373" spans="1:11" x14ac:dyDescent="0.2">
      <c r="A373" s="7">
        <f>DATE(Configurações!$B$3,12,16)</f>
        <v>46372</v>
      </c>
      <c r="B373" s="2" t="str">
        <f t="shared" si="5"/>
        <v>qua</v>
      </c>
      <c r="C373" s="2" t="str">
        <f>Configurações!$A$29</f>
        <v>CAM 23</v>
      </c>
      <c r="D373" s="2" t="str">
        <f>Configurações!$B$29</f>
        <v>Reserva/Futura 10</v>
      </c>
      <c r="E373" s="2">
        <f>Configurações!$C$29</f>
        <v>0</v>
      </c>
      <c r="F373" s="2" t="s">
        <v>20</v>
      </c>
      <c r="G373" s="2" t="s">
        <v>20</v>
      </c>
      <c r="H373" s="2" t="s">
        <v>20</v>
      </c>
      <c r="I373" s="6"/>
      <c r="J373" s="6"/>
      <c r="K373" s="6"/>
    </row>
    <row r="374" spans="1:11" x14ac:dyDescent="0.2">
      <c r="A374" s="7">
        <f>DATE(Configurações!$B$3,12,17)</f>
        <v>46373</v>
      </c>
      <c r="B374" s="2" t="str">
        <f t="shared" si="5"/>
        <v>qui</v>
      </c>
      <c r="C374" s="2" t="str">
        <f>Configurações!$A$7</f>
        <v>CAM 01</v>
      </c>
      <c r="D374" s="2" t="str">
        <f>Configurações!$B$7</f>
        <v>BARU ANDES</v>
      </c>
      <c r="E374" s="2">
        <f>Configurações!$C$7</f>
        <v>0</v>
      </c>
      <c r="F374" s="2" t="s">
        <v>20</v>
      </c>
      <c r="G374" s="2" t="s">
        <v>20</v>
      </c>
      <c r="H374" s="2" t="s">
        <v>20</v>
      </c>
      <c r="I374" s="6"/>
      <c r="J374" s="6"/>
      <c r="K374" s="6"/>
    </row>
    <row r="375" spans="1:11" x14ac:dyDescent="0.2">
      <c r="A375" s="7">
        <f>DATE(Configurações!$B$3,12,17)</f>
        <v>46373</v>
      </c>
      <c r="B375" s="2" t="str">
        <f t="shared" si="5"/>
        <v>qui</v>
      </c>
      <c r="C375" s="2" t="str">
        <f>Configurações!$A$8</f>
        <v>CAM 02</v>
      </c>
      <c r="D375" s="2" t="str">
        <f>Configurações!$B$8</f>
        <v>Câmera 02</v>
      </c>
      <c r="E375" s="2">
        <f>Configurações!$C$8</f>
        <v>0</v>
      </c>
      <c r="F375" s="2" t="s">
        <v>20</v>
      </c>
      <c r="G375" s="2" t="s">
        <v>20</v>
      </c>
      <c r="H375" s="2" t="s">
        <v>20</v>
      </c>
      <c r="I375" s="6"/>
      <c r="J375" s="6"/>
      <c r="K375" s="6"/>
    </row>
    <row r="376" spans="1:11" x14ac:dyDescent="0.2">
      <c r="A376" s="7">
        <f>DATE(Configurações!$B$3,12,17)</f>
        <v>46373</v>
      </c>
      <c r="B376" s="2" t="str">
        <f t="shared" si="5"/>
        <v>qui</v>
      </c>
      <c r="C376" s="2" t="str">
        <f>Configurações!$A$9</f>
        <v>CAM 03</v>
      </c>
      <c r="D376" s="2" t="str">
        <f>Configurações!$B$9</f>
        <v>Câmera 03</v>
      </c>
      <c r="E376" s="2">
        <f>Configurações!$C$9</f>
        <v>0</v>
      </c>
      <c r="F376" s="2" t="s">
        <v>20</v>
      </c>
      <c r="G376" s="2" t="s">
        <v>20</v>
      </c>
      <c r="H376" s="2" t="s">
        <v>20</v>
      </c>
      <c r="I376" s="6"/>
      <c r="J376" s="6"/>
      <c r="K376" s="6"/>
    </row>
    <row r="377" spans="1:11" x14ac:dyDescent="0.2">
      <c r="A377" s="7">
        <f>DATE(Configurações!$B$3,12,17)</f>
        <v>46373</v>
      </c>
      <c r="B377" s="2" t="str">
        <f t="shared" si="5"/>
        <v>qui</v>
      </c>
      <c r="C377" s="2" t="str">
        <f>Configurações!$A$10</f>
        <v>CAM 04</v>
      </c>
      <c r="D377" s="2" t="str">
        <f>Configurações!$B$10</f>
        <v>Câmera 04</v>
      </c>
      <c r="E377" s="2">
        <f>Configurações!$C$10</f>
        <v>0</v>
      </c>
      <c r="F377" s="2" t="s">
        <v>20</v>
      </c>
      <c r="G377" s="2" t="s">
        <v>20</v>
      </c>
      <c r="H377" s="2" t="s">
        <v>20</v>
      </c>
      <c r="I377" s="6"/>
      <c r="J377" s="6"/>
      <c r="K377" s="6"/>
    </row>
    <row r="378" spans="1:11" x14ac:dyDescent="0.2">
      <c r="A378" s="7">
        <f>DATE(Configurações!$B$3,12,17)</f>
        <v>46373</v>
      </c>
      <c r="B378" s="2" t="str">
        <f t="shared" si="5"/>
        <v>qui</v>
      </c>
      <c r="C378" s="2" t="str">
        <f>Configurações!$A$11</f>
        <v>CAM 05</v>
      </c>
      <c r="D378" s="2" t="str">
        <f>Configurações!$B$11</f>
        <v>Câmera 05</v>
      </c>
      <c r="E378" s="2">
        <f>Configurações!$C$11</f>
        <v>0</v>
      </c>
      <c r="F378" s="2" t="s">
        <v>20</v>
      </c>
      <c r="G378" s="2" t="s">
        <v>20</v>
      </c>
      <c r="H378" s="2" t="s">
        <v>20</v>
      </c>
      <c r="I378" s="6"/>
      <c r="J378" s="6"/>
      <c r="K378" s="6"/>
    </row>
    <row r="379" spans="1:11" x14ac:dyDescent="0.2">
      <c r="A379" s="7">
        <f>DATE(Configurações!$B$3,12,17)</f>
        <v>46373</v>
      </c>
      <c r="B379" s="2" t="str">
        <f t="shared" si="5"/>
        <v>qui</v>
      </c>
      <c r="C379" s="2" t="str">
        <f>Configurações!$A$12</f>
        <v>CAM 06</v>
      </c>
      <c r="D379" s="2" t="str">
        <f>Configurações!$B$12</f>
        <v>Câmera 06</v>
      </c>
      <c r="E379" s="2">
        <f>Configurações!$C$12</f>
        <v>0</v>
      </c>
      <c r="F379" s="2" t="s">
        <v>20</v>
      </c>
      <c r="G379" s="2" t="s">
        <v>20</v>
      </c>
      <c r="H379" s="2" t="s">
        <v>20</v>
      </c>
      <c r="I379" s="6"/>
      <c r="J379" s="6"/>
      <c r="K379" s="6"/>
    </row>
    <row r="380" spans="1:11" x14ac:dyDescent="0.2">
      <c r="A380" s="7">
        <f>DATE(Configurações!$B$3,12,17)</f>
        <v>46373</v>
      </c>
      <c r="B380" s="2" t="str">
        <f t="shared" si="5"/>
        <v>qui</v>
      </c>
      <c r="C380" s="2" t="str">
        <f>Configurações!$A$13</f>
        <v>CAM 07</v>
      </c>
      <c r="D380" s="2" t="str">
        <f>Configurações!$B$13</f>
        <v>Câmera 07</v>
      </c>
      <c r="E380" s="2">
        <f>Configurações!$C$13</f>
        <v>0</v>
      </c>
      <c r="F380" s="2" t="s">
        <v>20</v>
      </c>
      <c r="G380" s="2" t="s">
        <v>20</v>
      </c>
      <c r="H380" s="2" t="s">
        <v>20</v>
      </c>
      <c r="I380" s="6"/>
      <c r="J380" s="6"/>
      <c r="K380" s="6"/>
    </row>
    <row r="381" spans="1:11" x14ac:dyDescent="0.2">
      <c r="A381" s="7">
        <f>DATE(Configurações!$B$3,12,17)</f>
        <v>46373</v>
      </c>
      <c r="B381" s="2" t="str">
        <f t="shared" si="5"/>
        <v>qui</v>
      </c>
      <c r="C381" s="2" t="str">
        <f>Configurações!$A$14</f>
        <v>CAM 08</v>
      </c>
      <c r="D381" s="2" t="str">
        <f>Configurações!$B$14</f>
        <v>Câmera 08</v>
      </c>
      <c r="E381" s="2">
        <f>Configurações!$C$14</f>
        <v>0</v>
      </c>
      <c r="F381" s="2" t="s">
        <v>20</v>
      </c>
      <c r="G381" s="2" t="s">
        <v>20</v>
      </c>
      <c r="H381" s="2" t="s">
        <v>20</v>
      </c>
      <c r="I381" s="6"/>
      <c r="J381" s="6"/>
      <c r="K381" s="6"/>
    </row>
    <row r="382" spans="1:11" x14ac:dyDescent="0.2">
      <c r="A382" s="7">
        <f>DATE(Configurações!$B$3,12,17)</f>
        <v>46373</v>
      </c>
      <c r="B382" s="2" t="str">
        <f t="shared" si="5"/>
        <v>qui</v>
      </c>
      <c r="C382" s="2" t="str">
        <f>Configurações!$A$15</f>
        <v>CAM 09</v>
      </c>
      <c r="D382" s="2" t="str">
        <f>Configurações!$B$15</f>
        <v>Câmera 09</v>
      </c>
      <c r="E382" s="2">
        <f>Configurações!$C$15</f>
        <v>0</v>
      </c>
      <c r="F382" s="2" t="s">
        <v>20</v>
      </c>
      <c r="G382" s="2" t="s">
        <v>20</v>
      </c>
      <c r="H382" s="2" t="s">
        <v>20</v>
      </c>
      <c r="I382" s="6"/>
      <c r="J382" s="6"/>
      <c r="K382" s="6"/>
    </row>
    <row r="383" spans="1:11" x14ac:dyDescent="0.2">
      <c r="A383" s="7">
        <f>DATE(Configurações!$B$3,12,17)</f>
        <v>46373</v>
      </c>
      <c r="B383" s="2" t="str">
        <f t="shared" si="5"/>
        <v>qui</v>
      </c>
      <c r="C383" s="2" t="str">
        <f>Configurações!$A$16</f>
        <v>CAM 10</v>
      </c>
      <c r="D383" s="2" t="str">
        <f>Configurações!$B$16</f>
        <v>Câmera 10</v>
      </c>
      <c r="E383" s="2">
        <f>Configurações!$C$16</f>
        <v>0</v>
      </c>
      <c r="F383" s="2" t="s">
        <v>20</v>
      </c>
      <c r="G383" s="2" t="s">
        <v>20</v>
      </c>
      <c r="H383" s="2" t="s">
        <v>20</v>
      </c>
      <c r="I383" s="6"/>
      <c r="J383" s="6"/>
      <c r="K383" s="6"/>
    </row>
    <row r="384" spans="1:11" x14ac:dyDescent="0.2">
      <c r="A384" s="7">
        <f>DATE(Configurações!$B$3,12,17)</f>
        <v>46373</v>
      </c>
      <c r="B384" s="2" t="str">
        <f t="shared" si="5"/>
        <v>qui</v>
      </c>
      <c r="C384" s="2" t="str">
        <f>Configurações!$A$17</f>
        <v>CAM 11</v>
      </c>
      <c r="D384" s="2" t="str">
        <f>Configurações!$B$17</f>
        <v>Câmera 11</v>
      </c>
      <c r="E384" s="2">
        <f>Configurações!$C$17</f>
        <v>0</v>
      </c>
      <c r="F384" s="2" t="s">
        <v>20</v>
      </c>
      <c r="G384" s="2" t="s">
        <v>20</v>
      </c>
      <c r="H384" s="2" t="s">
        <v>20</v>
      </c>
      <c r="I384" s="6"/>
      <c r="J384" s="6"/>
      <c r="K384" s="6"/>
    </row>
    <row r="385" spans="1:11" x14ac:dyDescent="0.2">
      <c r="A385" s="7">
        <f>DATE(Configurações!$B$3,12,17)</f>
        <v>46373</v>
      </c>
      <c r="B385" s="2" t="str">
        <f t="shared" si="5"/>
        <v>qui</v>
      </c>
      <c r="C385" s="2" t="str">
        <f>Configurações!$A$18</f>
        <v>CAM 12</v>
      </c>
      <c r="D385" s="2" t="str">
        <f>Configurações!$B$18</f>
        <v>Câmera 12</v>
      </c>
      <c r="E385" s="2">
        <f>Configurações!$C$18</f>
        <v>0</v>
      </c>
      <c r="F385" s="2" t="s">
        <v>20</v>
      </c>
      <c r="G385" s="2" t="s">
        <v>20</v>
      </c>
      <c r="H385" s="2" t="s">
        <v>20</v>
      </c>
      <c r="I385" s="6"/>
      <c r="J385" s="6"/>
      <c r="K385" s="6"/>
    </row>
    <row r="386" spans="1:11" x14ac:dyDescent="0.2">
      <c r="A386" s="7">
        <f>DATE(Configurações!$B$3,12,17)</f>
        <v>46373</v>
      </c>
      <c r="B386" s="2" t="str">
        <f t="shared" si="5"/>
        <v>qui</v>
      </c>
      <c r="C386" s="2" t="str">
        <f>Configurações!$A$19</f>
        <v>CAM 13</v>
      </c>
      <c r="D386" s="2" t="str">
        <f>Configurações!$B$19</f>
        <v>Câmera 13</v>
      </c>
      <c r="E386" s="2">
        <f>Configurações!$C$19</f>
        <v>0</v>
      </c>
      <c r="F386" s="2" t="s">
        <v>20</v>
      </c>
      <c r="G386" s="2" t="s">
        <v>20</v>
      </c>
      <c r="H386" s="2" t="s">
        <v>20</v>
      </c>
      <c r="I386" s="6"/>
      <c r="J386" s="6"/>
      <c r="K386" s="6"/>
    </row>
    <row r="387" spans="1:11" x14ac:dyDescent="0.2">
      <c r="A387" s="7">
        <f>DATE(Configurações!$B$3,12,17)</f>
        <v>46373</v>
      </c>
      <c r="B387" s="2" t="str">
        <f t="shared" si="5"/>
        <v>qui</v>
      </c>
      <c r="C387" s="2" t="str">
        <f>Configurações!$A$20</f>
        <v>CAM 14</v>
      </c>
      <c r="D387" s="2" t="str">
        <f>Configurações!$B$20</f>
        <v>Reserva/Futura 01</v>
      </c>
      <c r="E387" s="2">
        <f>Configurações!$C$20</f>
        <v>0</v>
      </c>
      <c r="F387" s="2" t="s">
        <v>20</v>
      </c>
      <c r="G387" s="2" t="s">
        <v>20</v>
      </c>
      <c r="H387" s="2" t="s">
        <v>20</v>
      </c>
      <c r="I387" s="6"/>
      <c r="J387" s="6"/>
      <c r="K387" s="6"/>
    </row>
    <row r="388" spans="1:11" x14ac:dyDescent="0.2">
      <c r="A388" s="7">
        <f>DATE(Configurações!$B$3,12,17)</f>
        <v>46373</v>
      </c>
      <c r="B388" s="2" t="str">
        <f t="shared" si="5"/>
        <v>qui</v>
      </c>
      <c r="C388" s="2" t="str">
        <f>Configurações!$A$21</f>
        <v>CAM 15</v>
      </c>
      <c r="D388" s="2" t="str">
        <f>Configurações!$B$21</f>
        <v>Reserva/Futura 02</v>
      </c>
      <c r="E388" s="2">
        <f>Configurações!$C$21</f>
        <v>0</v>
      </c>
      <c r="F388" s="2" t="s">
        <v>20</v>
      </c>
      <c r="G388" s="2" t="s">
        <v>20</v>
      </c>
      <c r="H388" s="2" t="s">
        <v>20</v>
      </c>
      <c r="I388" s="6"/>
      <c r="J388" s="6"/>
      <c r="K388" s="6"/>
    </row>
    <row r="389" spans="1:11" x14ac:dyDescent="0.2">
      <c r="A389" s="7">
        <f>DATE(Configurações!$B$3,12,17)</f>
        <v>46373</v>
      </c>
      <c r="B389" s="2" t="str">
        <f t="shared" si="5"/>
        <v>qui</v>
      </c>
      <c r="C389" s="2" t="str">
        <f>Configurações!$A$22</f>
        <v>CAM 16</v>
      </c>
      <c r="D389" s="2" t="str">
        <f>Configurações!$B$22</f>
        <v>Reserva/Futura 03</v>
      </c>
      <c r="E389" s="2">
        <f>Configurações!$C$22</f>
        <v>0</v>
      </c>
      <c r="F389" s="2" t="s">
        <v>20</v>
      </c>
      <c r="G389" s="2" t="s">
        <v>20</v>
      </c>
      <c r="H389" s="2" t="s">
        <v>20</v>
      </c>
      <c r="I389" s="6"/>
      <c r="J389" s="6"/>
      <c r="K389" s="6"/>
    </row>
    <row r="390" spans="1:11" x14ac:dyDescent="0.2">
      <c r="A390" s="7">
        <f>DATE(Configurações!$B$3,12,17)</f>
        <v>46373</v>
      </c>
      <c r="B390" s="2" t="str">
        <f t="shared" ref="B390:B453" si="6">TEXT(A390,"ddd")</f>
        <v>qui</v>
      </c>
      <c r="C390" s="2" t="str">
        <f>Configurações!$A$23</f>
        <v>CAM 17</v>
      </c>
      <c r="D390" s="2" t="str">
        <f>Configurações!$B$23</f>
        <v>Reserva/Futura 04</v>
      </c>
      <c r="E390" s="2">
        <f>Configurações!$C$23</f>
        <v>0</v>
      </c>
      <c r="F390" s="2" t="s">
        <v>20</v>
      </c>
      <c r="G390" s="2" t="s">
        <v>20</v>
      </c>
      <c r="H390" s="2" t="s">
        <v>20</v>
      </c>
      <c r="I390" s="6"/>
      <c r="J390" s="6"/>
      <c r="K390" s="6"/>
    </row>
    <row r="391" spans="1:11" x14ac:dyDescent="0.2">
      <c r="A391" s="7">
        <f>DATE(Configurações!$B$3,12,17)</f>
        <v>46373</v>
      </c>
      <c r="B391" s="2" t="str">
        <f t="shared" si="6"/>
        <v>qui</v>
      </c>
      <c r="C391" s="2" t="str">
        <f>Configurações!$A$24</f>
        <v>CAM 18</v>
      </c>
      <c r="D391" s="2" t="str">
        <f>Configurações!$B$24</f>
        <v>Reserva/Futura 05</v>
      </c>
      <c r="E391" s="2">
        <f>Configurações!$C$24</f>
        <v>0</v>
      </c>
      <c r="F391" s="2" t="s">
        <v>20</v>
      </c>
      <c r="G391" s="2" t="s">
        <v>20</v>
      </c>
      <c r="H391" s="2" t="s">
        <v>20</v>
      </c>
      <c r="I391" s="6"/>
      <c r="J391" s="6"/>
      <c r="K391" s="6"/>
    </row>
    <row r="392" spans="1:11" x14ac:dyDescent="0.2">
      <c r="A392" s="7">
        <f>DATE(Configurações!$B$3,12,17)</f>
        <v>46373</v>
      </c>
      <c r="B392" s="2" t="str">
        <f t="shared" si="6"/>
        <v>qui</v>
      </c>
      <c r="C392" s="2" t="str">
        <f>Configurações!$A$25</f>
        <v>CAM 19</v>
      </c>
      <c r="D392" s="2" t="str">
        <f>Configurações!$B$25</f>
        <v>Reserva/Futura 06</v>
      </c>
      <c r="E392" s="2">
        <f>Configurações!$C$25</f>
        <v>0</v>
      </c>
      <c r="F392" s="2" t="s">
        <v>20</v>
      </c>
      <c r="G392" s="2" t="s">
        <v>20</v>
      </c>
      <c r="H392" s="2" t="s">
        <v>20</v>
      </c>
      <c r="I392" s="6"/>
      <c r="J392" s="6"/>
      <c r="K392" s="6"/>
    </row>
    <row r="393" spans="1:11" x14ac:dyDescent="0.2">
      <c r="A393" s="7">
        <f>DATE(Configurações!$B$3,12,17)</f>
        <v>46373</v>
      </c>
      <c r="B393" s="2" t="str">
        <f t="shared" si="6"/>
        <v>qui</v>
      </c>
      <c r="C393" s="2" t="str">
        <f>Configurações!$A$26</f>
        <v>CAM 20</v>
      </c>
      <c r="D393" s="2" t="str">
        <f>Configurações!$B$26</f>
        <v>Reserva/Futura 07</v>
      </c>
      <c r="E393" s="2">
        <f>Configurações!$C$26</f>
        <v>0</v>
      </c>
      <c r="F393" s="2" t="s">
        <v>20</v>
      </c>
      <c r="G393" s="2" t="s">
        <v>20</v>
      </c>
      <c r="H393" s="2" t="s">
        <v>20</v>
      </c>
      <c r="I393" s="6"/>
      <c r="J393" s="6"/>
      <c r="K393" s="6"/>
    </row>
    <row r="394" spans="1:11" x14ac:dyDescent="0.2">
      <c r="A394" s="7">
        <f>DATE(Configurações!$B$3,12,17)</f>
        <v>46373</v>
      </c>
      <c r="B394" s="2" t="str">
        <f t="shared" si="6"/>
        <v>qui</v>
      </c>
      <c r="C394" s="2" t="str">
        <f>Configurações!$A$27</f>
        <v>CAM 21</v>
      </c>
      <c r="D394" s="2" t="str">
        <f>Configurações!$B$27</f>
        <v>Reserva/Futura 08</v>
      </c>
      <c r="E394" s="2">
        <f>Configurações!$C$27</f>
        <v>0</v>
      </c>
      <c r="F394" s="2" t="s">
        <v>20</v>
      </c>
      <c r="G394" s="2" t="s">
        <v>20</v>
      </c>
      <c r="H394" s="2" t="s">
        <v>20</v>
      </c>
      <c r="I394" s="6"/>
      <c r="J394" s="6"/>
      <c r="K394" s="6"/>
    </row>
    <row r="395" spans="1:11" x14ac:dyDescent="0.2">
      <c r="A395" s="7">
        <f>DATE(Configurações!$B$3,12,17)</f>
        <v>46373</v>
      </c>
      <c r="B395" s="2" t="str">
        <f t="shared" si="6"/>
        <v>qui</v>
      </c>
      <c r="C395" s="2" t="str">
        <f>Configurações!$A$28</f>
        <v>CAM 22</v>
      </c>
      <c r="D395" s="2" t="str">
        <f>Configurações!$B$28</f>
        <v>Reserva/Futura 09</v>
      </c>
      <c r="E395" s="2">
        <f>Configurações!$C$28</f>
        <v>0</v>
      </c>
      <c r="F395" s="2" t="s">
        <v>20</v>
      </c>
      <c r="G395" s="2" t="s">
        <v>20</v>
      </c>
      <c r="H395" s="2" t="s">
        <v>20</v>
      </c>
      <c r="I395" s="6"/>
      <c r="J395" s="6"/>
      <c r="K395" s="6"/>
    </row>
    <row r="396" spans="1:11" x14ac:dyDescent="0.2">
      <c r="A396" s="7">
        <f>DATE(Configurações!$B$3,12,17)</f>
        <v>46373</v>
      </c>
      <c r="B396" s="2" t="str">
        <f t="shared" si="6"/>
        <v>qui</v>
      </c>
      <c r="C396" s="2" t="str">
        <f>Configurações!$A$29</f>
        <v>CAM 23</v>
      </c>
      <c r="D396" s="2" t="str">
        <f>Configurações!$B$29</f>
        <v>Reserva/Futura 10</v>
      </c>
      <c r="E396" s="2">
        <f>Configurações!$C$29</f>
        <v>0</v>
      </c>
      <c r="F396" s="2" t="s">
        <v>20</v>
      </c>
      <c r="G396" s="2" t="s">
        <v>20</v>
      </c>
      <c r="H396" s="2" t="s">
        <v>20</v>
      </c>
      <c r="I396" s="6"/>
      <c r="J396" s="6"/>
      <c r="K396" s="6"/>
    </row>
    <row r="397" spans="1:11" x14ac:dyDescent="0.2">
      <c r="A397" s="7">
        <f>DATE(Configurações!$B$3,12,18)</f>
        <v>46374</v>
      </c>
      <c r="B397" s="2" t="str">
        <f t="shared" si="6"/>
        <v>sex</v>
      </c>
      <c r="C397" s="2" t="str">
        <f>Configurações!$A$7</f>
        <v>CAM 01</v>
      </c>
      <c r="D397" s="2" t="str">
        <f>Configurações!$B$7</f>
        <v>BARU ANDES</v>
      </c>
      <c r="E397" s="2">
        <f>Configurações!$C$7</f>
        <v>0</v>
      </c>
      <c r="F397" s="2" t="s">
        <v>20</v>
      </c>
      <c r="G397" s="2" t="s">
        <v>20</v>
      </c>
      <c r="H397" s="2" t="s">
        <v>20</v>
      </c>
      <c r="I397" s="6"/>
      <c r="J397" s="6"/>
      <c r="K397" s="6"/>
    </row>
    <row r="398" spans="1:11" x14ac:dyDescent="0.2">
      <c r="A398" s="7">
        <f>DATE(Configurações!$B$3,12,18)</f>
        <v>46374</v>
      </c>
      <c r="B398" s="2" t="str">
        <f t="shared" si="6"/>
        <v>sex</v>
      </c>
      <c r="C398" s="2" t="str">
        <f>Configurações!$A$8</f>
        <v>CAM 02</v>
      </c>
      <c r="D398" s="2" t="str">
        <f>Configurações!$B$8</f>
        <v>Câmera 02</v>
      </c>
      <c r="E398" s="2">
        <f>Configurações!$C$8</f>
        <v>0</v>
      </c>
      <c r="F398" s="2" t="s">
        <v>20</v>
      </c>
      <c r="G398" s="2" t="s">
        <v>20</v>
      </c>
      <c r="H398" s="2" t="s">
        <v>20</v>
      </c>
      <c r="I398" s="6"/>
      <c r="J398" s="6"/>
      <c r="K398" s="6"/>
    </row>
    <row r="399" spans="1:11" x14ac:dyDescent="0.2">
      <c r="A399" s="7">
        <f>DATE(Configurações!$B$3,12,18)</f>
        <v>46374</v>
      </c>
      <c r="B399" s="2" t="str">
        <f t="shared" si="6"/>
        <v>sex</v>
      </c>
      <c r="C399" s="2" t="str">
        <f>Configurações!$A$9</f>
        <v>CAM 03</v>
      </c>
      <c r="D399" s="2" t="str">
        <f>Configurações!$B$9</f>
        <v>Câmera 03</v>
      </c>
      <c r="E399" s="2">
        <f>Configurações!$C$9</f>
        <v>0</v>
      </c>
      <c r="F399" s="2" t="s">
        <v>20</v>
      </c>
      <c r="G399" s="2" t="s">
        <v>20</v>
      </c>
      <c r="H399" s="2" t="s">
        <v>20</v>
      </c>
      <c r="I399" s="6"/>
      <c r="J399" s="6"/>
      <c r="K399" s="6"/>
    </row>
    <row r="400" spans="1:11" x14ac:dyDescent="0.2">
      <c r="A400" s="7">
        <f>DATE(Configurações!$B$3,12,18)</f>
        <v>46374</v>
      </c>
      <c r="B400" s="2" t="str">
        <f t="shared" si="6"/>
        <v>sex</v>
      </c>
      <c r="C400" s="2" t="str">
        <f>Configurações!$A$10</f>
        <v>CAM 04</v>
      </c>
      <c r="D400" s="2" t="str">
        <f>Configurações!$B$10</f>
        <v>Câmera 04</v>
      </c>
      <c r="E400" s="2">
        <f>Configurações!$C$10</f>
        <v>0</v>
      </c>
      <c r="F400" s="2" t="s">
        <v>20</v>
      </c>
      <c r="G400" s="2" t="s">
        <v>20</v>
      </c>
      <c r="H400" s="2" t="s">
        <v>20</v>
      </c>
      <c r="I400" s="6"/>
      <c r="J400" s="6"/>
      <c r="K400" s="6"/>
    </row>
    <row r="401" spans="1:11" x14ac:dyDescent="0.2">
      <c r="A401" s="7">
        <f>DATE(Configurações!$B$3,12,18)</f>
        <v>46374</v>
      </c>
      <c r="B401" s="2" t="str">
        <f t="shared" si="6"/>
        <v>sex</v>
      </c>
      <c r="C401" s="2" t="str">
        <f>Configurações!$A$11</f>
        <v>CAM 05</v>
      </c>
      <c r="D401" s="2" t="str">
        <f>Configurações!$B$11</f>
        <v>Câmera 05</v>
      </c>
      <c r="E401" s="2">
        <f>Configurações!$C$11</f>
        <v>0</v>
      </c>
      <c r="F401" s="2" t="s">
        <v>20</v>
      </c>
      <c r="G401" s="2" t="s">
        <v>20</v>
      </c>
      <c r="H401" s="2" t="s">
        <v>20</v>
      </c>
      <c r="I401" s="6"/>
      <c r="J401" s="6"/>
      <c r="K401" s="6"/>
    </row>
    <row r="402" spans="1:11" x14ac:dyDescent="0.2">
      <c r="A402" s="7">
        <f>DATE(Configurações!$B$3,12,18)</f>
        <v>46374</v>
      </c>
      <c r="B402" s="2" t="str">
        <f t="shared" si="6"/>
        <v>sex</v>
      </c>
      <c r="C402" s="2" t="str">
        <f>Configurações!$A$12</f>
        <v>CAM 06</v>
      </c>
      <c r="D402" s="2" t="str">
        <f>Configurações!$B$12</f>
        <v>Câmera 06</v>
      </c>
      <c r="E402" s="2">
        <f>Configurações!$C$12</f>
        <v>0</v>
      </c>
      <c r="F402" s="2" t="s">
        <v>20</v>
      </c>
      <c r="G402" s="2" t="s">
        <v>20</v>
      </c>
      <c r="H402" s="2" t="s">
        <v>20</v>
      </c>
      <c r="I402" s="6"/>
      <c r="J402" s="6"/>
      <c r="K402" s="6"/>
    </row>
    <row r="403" spans="1:11" x14ac:dyDescent="0.2">
      <c r="A403" s="7">
        <f>DATE(Configurações!$B$3,12,18)</f>
        <v>46374</v>
      </c>
      <c r="B403" s="2" t="str">
        <f t="shared" si="6"/>
        <v>sex</v>
      </c>
      <c r="C403" s="2" t="str">
        <f>Configurações!$A$13</f>
        <v>CAM 07</v>
      </c>
      <c r="D403" s="2" t="str">
        <f>Configurações!$B$13</f>
        <v>Câmera 07</v>
      </c>
      <c r="E403" s="2">
        <f>Configurações!$C$13</f>
        <v>0</v>
      </c>
      <c r="F403" s="2" t="s">
        <v>20</v>
      </c>
      <c r="G403" s="2" t="s">
        <v>20</v>
      </c>
      <c r="H403" s="2" t="s">
        <v>20</v>
      </c>
      <c r="I403" s="6"/>
      <c r="J403" s="6"/>
      <c r="K403" s="6"/>
    </row>
    <row r="404" spans="1:11" x14ac:dyDescent="0.2">
      <c r="A404" s="7">
        <f>DATE(Configurações!$B$3,12,18)</f>
        <v>46374</v>
      </c>
      <c r="B404" s="2" t="str">
        <f t="shared" si="6"/>
        <v>sex</v>
      </c>
      <c r="C404" s="2" t="str">
        <f>Configurações!$A$14</f>
        <v>CAM 08</v>
      </c>
      <c r="D404" s="2" t="str">
        <f>Configurações!$B$14</f>
        <v>Câmera 08</v>
      </c>
      <c r="E404" s="2">
        <f>Configurações!$C$14</f>
        <v>0</v>
      </c>
      <c r="F404" s="2" t="s">
        <v>20</v>
      </c>
      <c r="G404" s="2" t="s">
        <v>20</v>
      </c>
      <c r="H404" s="2" t="s">
        <v>20</v>
      </c>
      <c r="I404" s="6"/>
      <c r="J404" s="6"/>
      <c r="K404" s="6"/>
    </row>
    <row r="405" spans="1:11" x14ac:dyDescent="0.2">
      <c r="A405" s="7">
        <f>DATE(Configurações!$B$3,12,18)</f>
        <v>46374</v>
      </c>
      <c r="B405" s="2" t="str">
        <f t="shared" si="6"/>
        <v>sex</v>
      </c>
      <c r="C405" s="2" t="str">
        <f>Configurações!$A$15</f>
        <v>CAM 09</v>
      </c>
      <c r="D405" s="2" t="str">
        <f>Configurações!$B$15</f>
        <v>Câmera 09</v>
      </c>
      <c r="E405" s="2">
        <f>Configurações!$C$15</f>
        <v>0</v>
      </c>
      <c r="F405" s="2" t="s">
        <v>20</v>
      </c>
      <c r="G405" s="2" t="s">
        <v>20</v>
      </c>
      <c r="H405" s="2" t="s">
        <v>20</v>
      </c>
      <c r="I405" s="6"/>
      <c r="J405" s="6"/>
      <c r="K405" s="6"/>
    </row>
    <row r="406" spans="1:11" x14ac:dyDescent="0.2">
      <c r="A406" s="7">
        <f>DATE(Configurações!$B$3,12,18)</f>
        <v>46374</v>
      </c>
      <c r="B406" s="2" t="str">
        <f t="shared" si="6"/>
        <v>sex</v>
      </c>
      <c r="C406" s="2" t="str">
        <f>Configurações!$A$16</f>
        <v>CAM 10</v>
      </c>
      <c r="D406" s="2" t="str">
        <f>Configurações!$B$16</f>
        <v>Câmera 10</v>
      </c>
      <c r="E406" s="2">
        <f>Configurações!$C$16</f>
        <v>0</v>
      </c>
      <c r="F406" s="2" t="s">
        <v>20</v>
      </c>
      <c r="G406" s="2" t="s">
        <v>20</v>
      </c>
      <c r="H406" s="2" t="s">
        <v>20</v>
      </c>
      <c r="I406" s="6"/>
      <c r="J406" s="6"/>
      <c r="K406" s="6"/>
    </row>
    <row r="407" spans="1:11" x14ac:dyDescent="0.2">
      <c r="A407" s="7">
        <f>DATE(Configurações!$B$3,12,18)</f>
        <v>46374</v>
      </c>
      <c r="B407" s="2" t="str">
        <f t="shared" si="6"/>
        <v>sex</v>
      </c>
      <c r="C407" s="2" t="str">
        <f>Configurações!$A$17</f>
        <v>CAM 11</v>
      </c>
      <c r="D407" s="2" t="str">
        <f>Configurações!$B$17</f>
        <v>Câmera 11</v>
      </c>
      <c r="E407" s="2">
        <f>Configurações!$C$17</f>
        <v>0</v>
      </c>
      <c r="F407" s="2" t="s">
        <v>20</v>
      </c>
      <c r="G407" s="2" t="s">
        <v>20</v>
      </c>
      <c r="H407" s="2" t="s">
        <v>20</v>
      </c>
      <c r="I407" s="6"/>
      <c r="J407" s="6"/>
      <c r="K407" s="6"/>
    </row>
    <row r="408" spans="1:11" x14ac:dyDescent="0.2">
      <c r="A408" s="7">
        <f>DATE(Configurações!$B$3,12,18)</f>
        <v>46374</v>
      </c>
      <c r="B408" s="2" t="str">
        <f t="shared" si="6"/>
        <v>sex</v>
      </c>
      <c r="C408" s="2" t="str">
        <f>Configurações!$A$18</f>
        <v>CAM 12</v>
      </c>
      <c r="D408" s="2" t="str">
        <f>Configurações!$B$18</f>
        <v>Câmera 12</v>
      </c>
      <c r="E408" s="2">
        <f>Configurações!$C$18</f>
        <v>0</v>
      </c>
      <c r="F408" s="2" t="s">
        <v>20</v>
      </c>
      <c r="G408" s="2" t="s">
        <v>20</v>
      </c>
      <c r="H408" s="2" t="s">
        <v>20</v>
      </c>
      <c r="I408" s="6"/>
      <c r="J408" s="6"/>
      <c r="K408" s="6"/>
    </row>
    <row r="409" spans="1:11" x14ac:dyDescent="0.2">
      <c r="A409" s="7">
        <f>DATE(Configurações!$B$3,12,18)</f>
        <v>46374</v>
      </c>
      <c r="B409" s="2" t="str">
        <f t="shared" si="6"/>
        <v>sex</v>
      </c>
      <c r="C409" s="2" t="str">
        <f>Configurações!$A$19</f>
        <v>CAM 13</v>
      </c>
      <c r="D409" s="2" t="str">
        <f>Configurações!$B$19</f>
        <v>Câmera 13</v>
      </c>
      <c r="E409" s="2">
        <f>Configurações!$C$19</f>
        <v>0</v>
      </c>
      <c r="F409" s="2" t="s">
        <v>20</v>
      </c>
      <c r="G409" s="2" t="s">
        <v>20</v>
      </c>
      <c r="H409" s="2" t="s">
        <v>20</v>
      </c>
      <c r="I409" s="6"/>
      <c r="J409" s="6"/>
      <c r="K409" s="6"/>
    </row>
    <row r="410" spans="1:11" x14ac:dyDescent="0.2">
      <c r="A410" s="7">
        <f>DATE(Configurações!$B$3,12,18)</f>
        <v>46374</v>
      </c>
      <c r="B410" s="2" t="str">
        <f t="shared" si="6"/>
        <v>sex</v>
      </c>
      <c r="C410" s="2" t="str">
        <f>Configurações!$A$20</f>
        <v>CAM 14</v>
      </c>
      <c r="D410" s="2" t="str">
        <f>Configurações!$B$20</f>
        <v>Reserva/Futura 01</v>
      </c>
      <c r="E410" s="2">
        <f>Configurações!$C$20</f>
        <v>0</v>
      </c>
      <c r="F410" s="2" t="s">
        <v>20</v>
      </c>
      <c r="G410" s="2" t="s">
        <v>20</v>
      </c>
      <c r="H410" s="2" t="s">
        <v>20</v>
      </c>
      <c r="I410" s="6"/>
      <c r="J410" s="6"/>
      <c r="K410" s="6"/>
    </row>
    <row r="411" spans="1:11" x14ac:dyDescent="0.2">
      <c r="A411" s="7">
        <f>DATE(Configurações!$B$3,12,18)</f>
        <v>46374</v>
      </c>
      <c r="B411" s="2" t="str">
        <f t="shared" si="6"/>
        <v>sex</v>
      </c>
      <c r="C411" s="2" t="str">
        <f>Configurações!$A$21</f>
        <v>CAM 15</v>
      </c>
      <c r="D411" s="2" t="str">
        <f>Configurações!$B$21</f>
        <v>Reserva/Futura 02</v>
      </c>
      <c r="E411" s="2">
        <f>Configurações!$C$21</f>
        <v>0</v>
      </c>
      <c r="F411" s="2" t="s">
        <v>20</v>
      </c>
      <c r="G411" s="2" t="s">
        <v>20</v>
      </c>
      <c r="H411" s="2" t="s">
        <v>20</v>
      </c>
      <c r="I411" s="6"/>
      <c r="J411" s="6"/>
      <c r="K411" s="6"/>
    </row>
    <row r="412" spans="1:11" x14ac:dyDescent="0.2">
      <c r="A412" s="7">
        <f>DATE(Configurações!$B$3,12,18)</f>
        <v>46374</v>
      </c>
      <c r="B412" s="2" t="str">
        <f t="shared" si="6"/>
        <v>sex</v>
      </c>
      <c r="C412" s="2" t="str">
        <f>Configurações!$A$22</f>
        <v>CAM 16</v>
      </c>
      <c r="D412" s="2" t="str">
        <f>Configurações!$B$22</f>
        <v>Reserva/Futura 03</v>
      </c>
      <c r="E412" s="2">
        <f>Configurações!$C$22</f>
        <v>0</v>
      </c>
      <c r="F412" s="2" t="s">
        <v>20</v>
      </c>
      <c r="G412" s="2" t="s">
        <v>20</v>
      </c>
      <c r="H412" s="2" t="s">
        <v>20</v>
      </c>
      <c r="I412" s="6"/>
      <c r="J412" s="6"/>
      <c r="K412" s="6"/>
    </row>
    <row r="413" spans="1:11" x14ac:dyDescent="0.2">
      <c r="A413" s="7">
        <f>DATE(Configurações!$B$3,12,18)</f>
        <v>46374</v>
      </c>
      <c r="B413" s="2" t="str">
        <f t="shared" si="6"/>
        <v>sex</v>
      </c>
      <c r="C413" s="2" t="str">
        <f>Configurações!$A$23</f>
        <v>CAM 17</v>
      </c>
      <c r="D413" s="2" t="str">
        <f>Configurações!$B$23</f>
        <v>Reserva/Futura 04</v>
      </c>
      <c r="E413" s="2">
        <f>Configurações!$C$23</f>
        <v>0</v>
      </c>
      <c r="F413" s="2" t="s">
        <v>20</v>
      </c>
      <c r="G413" s="2" t="s">
        <v>20</v>
      </c>
      <c r="H413" s="2" t="s">
        <v>20</v>
      </c>
      <c r="I413" s="6"/>
      <c r="J413" s="6"/>
      <c r="K413" s="6"/>
    </row>
    <row r="414" spans="1:11" x14ac:dyDescent="0.2">
      <c r="A414" s="7">
        <f>DATE(Configurações!$B$3,12,18)</f>
        <v>46374</v>
      </c>
      <c r="B414" s="2" t="str">
        <f t="shared" si="6"/>
        <v>sex</v>
      </c>
      <c r="C414" s="2" t="str">
        <f>Configurações!$A$24</f>
        <v>CAM 18</v>
      </c>
      <c r="D414" s="2" t="str">
        <f>Configurações!$B$24</f>
        <v>Reserva/Futura 05</v>
      </c>
      <c r="E414" s="2">
        <f>Configurações!$C$24</f>
        <v>0</v>
      </c>
      <c r="F414" s="2" t="s">
        <v>20</v>
      </c>
      <c r="G414" s="2" t="s">
        <v>20</v>
      </c>
      <c r="H414" s="2" t="s">
        <v>20</v>
      </c>
      <c r="I414" s="6"/>
      <c r="J414" s="6"/>
      <c r="K414" s="6"/>
    </row>
    <row r="415" spans="1:11" x14ac:dyDescent="0.2">
      <c r="A415" s="7">
        <f>DATE(Configurações!$B$3,12,18)</f>
        <v>46374</v>
      </c>
      <c r="B415" s="2" t="str">
        <f t="shared" si="6"/>
        <v>sex</v>
      </c>
      <c r="C415" s="2" t="str">
        <f>Configurações!$A$25</f>
        <v>CAM 19</v>
      </c>
      <c r="D415" s="2" t="str">
        <f>Configurações!$B$25</f>
        <v>Reserva/Futura 06</v>
      </c>
      <c r="E415" s="2">
        <f>Configurações!$C$25</f>
        <v>0</v>
      </c>
      <c r="F415" s="2" t="s">
        <v>20</v>
      </c>
      <c r="G415" s="2" t="s">
        <v>20</v>
      </c>
      <c r="H415" s="2" t="s">
        <v>20</v>
      </c>
      <c r="I415" s="6"/>
      <c r="J415" s="6"/>
      <c r="K415" s="6"/>
    </row>
    <row r="416" spans="1:11" x14ac:dyDescent="0.2">
      <c r="A416" s="7">
        <f>DATE(Configurações!$B$3,12,18)</f>
        <v>46374</v>
      </c>
      <c r="B416" s="2" t="str">
        <f t="shared" si="6"/>
        <v>sex</v>
      </c>
      <c r="C416" s="2" t="str">
        <f>Configurações!$A$26</f>
        <v>CAM 20</v>
      </c>
      <c r="D416" s="2" t="str">
        <f>Configurações!$B$26</f>
        <v>Reserva/Futura 07</v>
      </c>
      <c r="E416" s="2">
        <f>Configurações!$C$26</f>
        <v>0</v>
      </c>
      <c r="F416" s="2" t="s">
        <v>20</v>
      </c>
      <c r="G416" s="2" t="s">
        <v>20</v>
      </c>
      <c r="H416" s="2" t="s">
        <v>20</v>
      </c>
      <c r="I416" s="6"/>
      <c r="J416" s="6"/>
      <c r="K416" s="6"/>
    </row>
    <row r="417" spans="1:11" x14ac:dyDescent="0.2">
      <c r="A417" s="7">
        <f>DATE(Configurações!$B$3,12,18)</f>
        <v>46374</v>
      </c>
      <c r="B417" s="2" t="str">
        <f t="shared" si="6"/>
        <v>sex</v>
      </c>
      <c r="C417" s="2" t="str">
        <f>Configurações!$A$27</f>
        <v>CAM 21</v>
      </c>
      <c r="D417" s="2" t="str">
        <f>Configurações!$B$27</f>
        <v>Reserva/Futura 08</v>
      </c>
      <c r="E417" s="2">
        <f>Configurações!$C$27</f>
        <v>0</v>
      </c>
      <c r="F417" s="2" t="s">
        <v>20</v>
      </c>
      <c r="G417" s="2" t="s">
        <v>20</v>
      </c>
      <c r="H417" s="2" t="s">
        <v>20</v>
      </c>
      <c r="I417" s="6"/>
      <c r="J417" s="6"/>
      <c r="K417" s="6"/>
    </row>
    <row r="418" spans="1:11" x14ac:dyDescent="0.2">
      <c r="A418" s="7">
        <f>DATE(Configurações!$B$3,12,18)</f>
        <v>46374</v>
      </c>
      <c r="B418" s="2" t="str">
        <f t="shared" si="6"/>
        <v>sex</v>
      </c>
      <c r="C418" s="2" t="str">
        <f>Configurações!$A$28</f>
        <v>CAM 22</v>
      </c>
      <c r="D418" s="2" t="str">
        <f>Configurações!$B$28</f>
        <v>Reserva/Futura 09</v>
      </c>
      <c r="E418" s="2">
        <f>Configurações!$C$28</f>
        <v>0</v>
      </c>
      <c r="F418" s="2" t="s">
        <v>20</v>
      </c>
      <c r="G418" s="2" t="s">
        <v>20</v>
      </c>
      <c r="H418" s="2" t="s">
        <v>20</v>
      </c>
      <c r="I418" s="6"/>
      <c r="J418" s="6"/>
      <c r="K418" s="6"/>
    </row>
    <row r="419" spans="1:11" x14ac:dyDescent="0.2">
      <c r="A419" s="7">
        <f>DATE(Configurações!$B$3,12,18)</f>
        <v>46374</v>
      </c>
      <c r="B419" s="2" t="str">
        <f t="shared" si="6"/>
        <v>sex</v>
      </c>
      <c r="C419" s="2" t="str">
        <f>Configurações!$A$29</f>
        <v>CAM 23</v>
      </c>
      <c r="D419" s="2" t="str">
        <f>Configurações!$B$29</f>
        <v>Reserva/Futura 10</v>
      </c>
      <c r="E419" s="2">
        <f>Configurações!$C$29</f>
        <v>0</v>
      </c>
      <c r="F419" s="2" t="s">
        <v>20</v>
      </c>
      <c r="G419" s="2" t="s">
        <v>20</v>
      </c>
      <c r="H419" s="2" t="s">
        <v>20</v>
      </c>
      <c r="I419" s="6"/>
      <c r="J419" s="6"/>
      <c r="K419" s="6"/>
    </row>
    <row r="420" spans="1:11" x14ac:dyDescent="0.2">
      <c r="A420" s="7">
        <f>DATE(Configurações!$B$3,12,19)</f>
        <v>46375</v>
      </c>
      <c r="B420" s="2" t="str">
        <f t="shared" si="6"/>
        <v>sáb</v>
      </c>
      <c r="C420" s="2" t="str">
        <f>Configurações!$A$7</f>
        <v>CAM 01</v>
      </c>
      <c r="D420" s="2" t="str">
        <f>Configurações!$B$7</f>
        <v>BARU ANDES</v>
      </c>
      <c r="E420" s="2">
        <f>Configurações!$C$7</f>
        <v>0</v>
      </c>
      <c r="F420" s="2" t="s">
        <v>20</v>
      </c>
      <c r="G420" s="2" t="s">
        <v>20</v>
      </c>
      <c r="H420" s="2" t="s">
        <v>20</v>
      </c>
      <c r="I420" s="6"/>
      <c r="J420" s="6"/>
      <c r="K420" s="6"/>
    </row>
    <row r="421" spans="1:11" x14ac:dyDescent="0.2">
      <c r="A421" s="7">
        <f>DATE(Configurações!$B$3,12,19)</f>
        <v>46375</v>
      </c>
      <c r="B421" s="2" t="str">
        <f t="shared" si="6"/>
        <v>sáb</v>
      </c>
      <c r="C421" s="2" t="str">
        <f>Configurações!$A$8</f>
        <v>CAM 02</v>
      </c>
      <c r="D421" s="2" t="str">
        <f>Configurações!$B$8</f>
        <v>Câmera 02</v>
      </c>
      <c r="E421" s="2">
        <f>Configurações!$C$8</f>
        <v>0</v>
      </c>
      <c r="F421" s="2" t="s">
        <v>20</v>
      </c>
      <c r="G421" s="2" t="s">
        <v>20</v>
      </c>
      <c r="H421" s="2" t="s">
        <v>20</v>
      </c>
      <c r="I421" s="6"/>
      <c r="J421" s="6"/>
      <c r="K421" s="6"/>
    </row>
    <row r="422" spans="1:11" x14ac:dyDescent="0.2">
      <c r="A422" s="7">
        <f>DATE(Configurações!$B$3,12,19)</f>
        <v>46375</v>
      </c>
      <c r="B422" s="2" t="str">
        <f t="shared" si="6"/>
        <v>sáb</v>
      </c>
      <c r="C422" s="2" t="str">
        <f>Configurações!$A$9</f>
        <v>CAM 03</v>
      </c>
      <c r="D422" s="2" t="str">
        <f>Configurações!$B$9</f>
        <v>Câmera 03</v>
      </c>
      <c r="E422" s="2">
        <f>Configurações!$C$9</f>
        <v>0</v>
      </c>
      <c r="F422" s="2" t="s">
        <v>20</v>
      </c>
      <c r="G422" s="2" t="s">
        <v>20</v>
      </c>
      <c r="H422" s="2" t="s">
        <v>20</v>
      </c>
      <c r="I422" s="6"/>
      <c r="J422" s="6"/>
      <c r="K422" s="6"/>
    </row>
    <row r="423" spans="1:11" x14ac:dyDescent="0.2">
      <c r="A423" s="7">
        <f>DATE(Configurações!$B$3,12,19)</f>
        <v>46375</v>
      </c>
      <c r="B423" s="2" t="str">
        <f t="shared" si="6"/>
        <v>sáb</v>
      </c>
      <c r="C423" s="2" t="str">
        <f>Configurações!$A$10</f>
        <v>CAM 04</v>
      </c>
      <c r="D423" s="2" t="str">
        <f>Configurações!$B$10</f>
        <v>Câmera 04</v>
      </c>
      <c r="E423" s="2">
        <f>Configurações!$C$10</f>
        <v>0</v>
      </c>
      <c r="F423" s="2" t="s">
        <v>20</v>
      </c>
      <c r="G423" s="2" t="s">
        <v>20</v>
      </c>
      <c r="H423" s="2" t="s">
        <v>20</v>
      </c>
      <c r="I423" s="6"/>
      <c r="J423" s="6"/>
      <c r="K423" s="6"/>
    </row>
    <row r="424" spans="1:11" x14ac:dyDescent="0.2">
      <c r="A424" s="7">
        <f>DATE(Configurações!$B$3,12,19)</f>
        <v>46375</v>
      </c>
      <c r="B424" s="2" t="str">
        <f t="shared" si="6"/>
        <v>sáb</v>
      </c>
      <c r="C424" s="2" t="str">
        <f>Configurações!$A$11</f>
        <v>CAM 05</v>
      </c>
      <c r="D424" s="2" t="str">
        <f>Configurações!$B$11</f>
        <v>Câmera 05</v>
      </c>
      <c r="E424" s="2">
        <f>Configurações!$C$11</f>
        <v>0</v>
      </c>
      <c r="F424" s="2" t="s">
        <v>20</v>
      </c>
      <c r="G424" s="2" t="s">
        <v>20</v>
      </c>
      <c r="H424" s="2" t="s">
        <v>20</v>
      </c>
      <c r="I424" s="6"/>
      <c r="J424" s="6"/>
      <c r="K424" s="6"/>
    </row>
    <row r="425" spans="1:11" x14ac:dyDescent="0.2">
      <c r="A425" s="7">
        <f>DATE(Configurações!$B$3,12,19)</f>
        <v>46375</v>
      </c>
      <c r="B425" s="2" t="str">
        <f t="shared" si="6"/>
        <v>sáb</v>
      </c>
      <c r="C425" s="2" t="str">
        <f>Configurações!$A$12</f>
        <v>CAM 06</v>
      </c>
      <c r="D425" s="2" t="str">
        <f>Configurações!$B$12</f>
        <v>Câmera 06</v>
      </c>
      <c r="E425" s="2">
        <f>Configurações!$C$12</f>
        <v>0</v>
      </c>
      <c r="F425" s="2" t="s">
        <v>20</v>
      </c>
      <c r="G425" s="2" t="s">
        <v>20</v>
      </c>
      <c r="H425" s="2" t="s">
        <v>20</v>
      </c>
      <c r="I425" s="6"/>
      <c r="J425" s="6"/>
      <c r="K425" s="6"/>
    </row>
    <row r="426" spans="1:11" x14ac:dyDescent="0.2">
      <c r="A426" s="7">
        <f>DATE(Configurações!$B$3,12,19)</f>
        <v>46375</v>
      </c>
      <c r="B426" s="2" t="str">
        <f t="shared" si="6"/>
        <v>sáb</v>
      </c>
      <c r="C426" s="2" t="str">
        <f>Configurações!$A$13</f>
        <v>CAM 07</v>
      </c>
      <c r="D426" s="2" t="str">
        <f>Configurações!$B$13</f>
        <v>Câmera 07</v>
      </c>
      <c r="E426" s="2">
        <f>Configurações!$C$13</f>
        <v>0</v>
      </c>
      <c r="F426" s="2" t="s">
        <v>20</v>
      </c>
      <c r="G426" s="2" t="s">
        <v>20</v>
      </c>
      <c r="H426" s="2" t="s">
        <v>20</v>
      </c>
      <c r="I426" s="6"/>
      <c r="J426" s="6"/>
      <c r="K426" s="6"/>
    </row>
    <row r="427" spans="1:11" x14ac:dyDescent="0.2">
      <c r="A427" s="7">
        <f>DATE(Configurações!$B$3,12,19)</f>
        <v>46375</v>
      </c>
      <c r="B427" s="2" t="str">
        <f t="shared" si="6"/>
        <v>sáb</v>
      </c>
      <c r="C427" s="2" t="str">
        <f>Configurações!$A$14</f>
        <v>CAM 08</v>
      </c>
      <c r="D427" s="2" t="str">
        <f>Configurações!$B$14</f>
        <v>Câmera 08</v>
      </c>
      <c r="E427" s="2">
        <f>Configurações!$C$14</f>
        <v>0</v>
      </c>
      <c r="F427" s="2" t="s">
        <v>20</v>
      </c>
      <c r="G427" s="2" t="s">
        <v>20</v>
      </c>
      <c r="H427" s="2" t="s">
        <v>20</v>
      </c>
      <c r="I427" s="6"/>
      <c r="J427" s="6"/>
      <c r="K427" s="6"/>
    </row>
    <row r="428" spans="1:11" x14ac:dyDescent="0.2">
      <c r="A428" s="7">
        <f>DATE(Configurações!$B$3,12,19)</f>
        <v>46375</v>
      </c>
      <c r="B428" s="2" t="str">
        <f t="shared" si="6"/>
        <v>sáb</v>
      </c>
      <c r="C428" s="2" t="str">
        <f>Configurações!$A$15</f>
        <v>CAM 09</v>
      </c>
      <c r="D428" s="2" t="str">
        <f>Configurações!$B$15</f>
        <v>Câmera 09</v>
      </c>
      <c r="E428" s="2">
        <f>Configurações!$C$15</f>
        <v>0</v>
      </c>
      <c r="F428" s="2" t="s">
        <v>20</v>
      </c>
      <c r="G428" s="2" t="s">
        <v>20</v>
      </c>
      <c r="H428" s="2" t="s">
        <v>20</v>
      </c>
      <c r="I428" s="6"/>
      <c r="J428" s="6"/>
      <c r="K428" s="6"/>
    </row>
    <row r="429" spans="1:11" x14ac:dyDescent="0.2">
      <c r="A429" s="7">
        <f>DATE(Configurações!$B$3,12,19)</f>
        <v>46375</v>
      </c>
      <c r="B429" s="2" t="str">
        <f t="shared" si="6"/>
        <v>sáb</v>
      </c>
      <c r="C429" s="2" t="str">
        <f>Configurações!$A$16</f>
        <v>CAM 10</v>
      </c>
      <c r="D429" s="2" t="str">
        <f>Configurações!$B$16</f>
        <v>Câmera 10</v>
      </c>
      <c r="E429" s="2">
        <f>Configurações!$C$16</f>
        <v>0</v>
      </c>
      <c r="F429" s="2" t="s">
        <v>20</v>
      </c>
      <c r="G429" s="2" t="s">
        <v>20</v>
      </c>
      <c r="H429" s="2" t="s">
        <v>20</v>
      </c>
      <c r="I429" s="6"/>
      <c r="J429" s="6"/>
      <c r="K429" s="6"/>
    </row>
    <row r="430" spans="1:11" x14ac:dyDescent="0.2">
      <c r="A430" s="7">
        <f>DATE(Configurações!$B$3,12,19)</f>
        <v>46375</v>
      </c>
      <c r="B430" s="2" t="str">
        <f t="shared" si="6"/>
        <v>sáb</v>
      </c>
      <c r="C430" s="2" t="str">
        <f>Configurações!$A$17</f>
        <v>CAM 11</v>
      </c>
      <c r="D430" s="2" t="str">
        <f>Configurações!$B$17</f>
        <v>Câmera 11</v>
      </c>
      <c r="E430" s="2">
        <f>Configurações!$C$17</f>
        <v>0</v>
      </c>
      <c r="F430" s="2" t="s">
        <v>20</v>
      </c>
      <c r="G430" s="2" t="s">
        <v>20</v>
      </c>
      <c r="H430" s="2" t="s">
        <v>20</v>
      </c>
      <c r="I430" s="6"/>
      <c r="J430" s="6"/>
      <c r="K430" s="6"/>
    </row>
    <row r="431" spans="1:11" x14ac:dyDescent="0.2">
      <c r="A431" s="7">
        <f>DATE(Configurações!$B$3,12,19)</f>
        <v>46375</v>
      </c>
      <c r="B431" s="2" t="str">
        <f t="shared" si="6"/>
        <v>sáb</v>
      </c>
      <c r="C431" s="2" t="str">
        <f>Configurações!$A$18</f>
        <v>CAM 12</v>
      </c>
      <c r="D431" s="2" t="str">
        <f>Configurações!$B$18</f>
        <v>Câmera 12</v>
      </c>
      <c r="E431" s="2">
        <f>Configurações!$C$18</f>
        <v>0</v>
      </c>
      <c r="F431" s="2" t="s">
        <v>20</v>
      </c>
      <c r="G431" s="2" t="s">
        <v>20</v>
      </c>
      <c r="H431" s="2" t="s">
        <v>20</v>
      </c>
      <c r="I431" s="6"/>
      <c r="J431" s="6"/>
      <c r="K431" s="6"/>
    </row>
    <row r="432" spans="1:11" x14ac:dyDescent="0.2">
      <c r="A432" s="7">
        <f>DATE(Configurações!$B$3,12,19)</f>
        <v>46375</v>
      </c>
      <c r="B432" s="2" t="str">
        <f t="shared" si="6"/>
        <v>sáb</v>
      </c>
      <c r="C432" s="2" t="str">
        <f>Configurações!$A$19</f>
        <v>CAM 13</v>
      </c>
      <c r="D432" s="2" t="str">
        <f>Configurações!$B$19</f>
        <v>Câmera 13</v>
      </c>
      <c r="E432" s="2">
        <f>Configurações!$C$19</f>
        <v>0</v>
      </c>
      <c r="F432" s="2" t="s">
        <v>20</v>
      </c>
      <c r="G432" s="2" t="s">
        <v>20</v>
      </c>
      <c r="H432" s="2" t="s">
        <v>20</v>
      </c>
      <c r="I432" s="6"/>
      <c r="J432" s="6"/>
      <c r="K432" s="6"/>
    </row>
    <row r="433" spans="1:11" x14ac:dyDescent="0.2">
      <c r="A433" s="7">
        <f>DATE(Configurações!$B$3,12,19)</f>
        <v>46375</v>
      </c>
      <c r="B433" s="2" t="str">
        <f t="shared" si="6"/>
        <v>sáb</v>
      </c>
      <c r="C433" s="2" t="str">
        <f>Configurações!$A$20</f>
        <v>CAM 14</v>
      </c>
      <c r="D433" s="2" t="str">
        <f>Configurações!$B$20</f>
        <v>Reserva/Futura 01</v>
      </c>
      <c r="E433" s="2">
        <f>Configurações!$C$20</f>
        <v>0</v>
      </c>
      <c r="F433" s="2" t="s">
        <v>20</v>
      </c>
      <c r="G433" s="2" t="s">
        <v>20</v>
      </c>
      <c r="H433" s="2" t="s">
        <v>20</v>
      </c>
      <c r="I433" s="6"/>
      <c r="J433" s="6"/>
      <c r="K433" s="6"/>
    </row>
    <row r="434" spans="1:11" x14ac:dyDescent="0.2">
      <c r="A434" s="7">
        <f>DATE(Configurações!$B$3,12,19)</f>
        <v>46375</v>
      </c>
      <c r="B434" s="2" t="str">
        <f t="shared" si="6"/>
        <v>sáb</v>
      </c>
      <c r="C434" s="2" t="str">
        <f>Configurações!$A$21</f>
        <v>CAM 15</v>
      </c>
      <c r="D434" s="2" t="str">
        <f>Configurações!$B$21</f>
        <v>Reserva/Futura 02</v>
      </c>
      <c r="E434" s="2">
        <f>Configurações!$C$21</f>
        <v>0</v>
      </c>
      <c r="F434" s="2" t="s">
        <v>20</v>
      </c>
      <c r="G434" s="2" t="s">
        <v>20</v>
      </c>
      <c r="H434" s="2" t="s">
        <v>20</v>
      </c>
      <c r="I434" s="6"/>
      <c r="J434" s="6"/>
      <c r="K434" s="6"/>
    </row>
    <row r="435" spans="1:11" x14ac:dyDescent="0.2">
      <c r="A435" s="7">
        <f>DATE(Configurações!$B$3,12,19)</f>
        <v>46375</v>
      </c>
      <c r="B435" s="2" t="str">
        <f t="shared" si="6"/>
        <v>sáb</v>
      </c>
      <c r="C435" s="2" t="str">
        <f>Configurações!$A$22</f>
        <v>CAM 16</v>
      </c>
      <c r="D435" s="2" t="str">
        <f>Configurações!$B$22</f>
        <v>Reserva/Futura 03</v>
      </c>
      <c r="E435" s="2">
        <f>Configurações!$C$22</f>
        <v>0</v>
      </c>
      <c r="F435" s="2" t="s">
        <v>20</v>
      </c>
      <c r="G435" s="2" t="s">
        <v>20</v>
      </c>
      <c r="H435" s="2" t="s">
        <v>20</v>
      </c>
      <c r="I435" s="6"/>
      <c r="J435" s="6"/>
      <c r="K435" s="6"/>
    </row>
    <row r="436" spans="1:11" x14ac:dyDescent="0.2">
      <c r="A436" s="7">
        <f>DATE(Configurações!$B$3,12,19)</f>
        <v>46375</v>
      </c>
      <c r="B436" s="2" t="str">
        <f t="shared" si="6"/>
        <v>sáb</v>
      </c>
      <c r="C436" s="2" t="str">
        <f>Configurações!$A$23</f>
        <v>CAM 17</v>
      </c>
      <c r="D436" s="2" t="str">
        <f>Configurações!$B$23</f>
        <v>Reserva/Futura 04</v>
      </c>
      <c r="E436" s="2">
        <f>Configurações!$C$23</f>
        <v>0</v>
      </c>
      <c r="F436" s="2" t="s">
        <v>20</v>
      </c>
      <c r="G436" s="2" t="s">
        <v>20</v>
      </c>
      <c r="H436" s="2" t="s">
        <v>20</v>
      </c>
      <c r="I436" s="6"/>
      <c r="J436" s="6"/>
      <c r="K436" s="6"/>
    </row>
    <row r="437" spans="1:11" x14ac:dyDescent="0.2">
      <c r="A437" s="7">
        <f>DATE(Configurações!$B$3,12,19)</f>
        <v>46375</v>
      </c>
      <c r="B437" s="2" t="str">
        <f t="shared" si="6"/>
        <v>sáb</v>
      </c>
      <c r="C437" s="2" t="str">
        <f>Configurações!$A$24</f>
        <v>CAM 18</v>
      </c>
      <c r="D437" s="2" t="str">
        <f>Configurações!$B$24</f>
        <v>Reserva/Futura 05</v>
      </c>
      <c r="E437" s="2">
        <f>Configurações!$C$24</f>
        <v>0</v>
      </c>
      <c r="F437" s="2" t="s">
        <v>20</v>
      </c>
      <c r="G437" s="2" t="s">
        <v>20</v>
      </c>
      <c r="H437" s="2" t="s">
        <v>20</v>
      </c>
      <c r="I437" s="6"/>
      <c r="J437" s="6"/>
      <c r="K437" s="6"/>
    </row>
    <row r="438" spans="1:11" x14ac:dyDescent="0.2">
      <c r="A438" s="7">
        <f>DATE(Configurações!$B$3,12,19)</f>
        <v>46375</v>
      </c>
      <c r="B438" s="2" t="str">
        <f t="shared" si="6"/>
        <v>sáb</v>
      </c>
      <c r="C438" s="2" t="str">
        <f>Configurações!$A$25</f>
        <v>CAM 19</v>
      </c>
      <c r="D438" s="2" t="str">
        <f>Configurações!$B$25</f>
        <v>Reserva/Futura 06</v>
      </c>
      <c r="E438" s="2">
        <f>Configurações!$C$25</f>
        <v>0</v>
      </c>
      <c r="F438" s="2" t="s">
        <v>20</v>
      </c>
      <c r="G438" s="2" t="s">
        <v>20</v>
      </c>
      <c r="H438" s="2" t="s">
        <v>20</v>
      </c>
      <c r="I438" s="6"/>
      <c r="J438" s="6"/>
      <c r="K438" s="6"/>
    </row>
    <row r="439" spans="1:11" x14ac:dyDescent="0.2">
      <c r="A439" s="7">
        <f>DATE(Configurações!$B$3,12,19)</f>
        <v>46375</v>
      </c>
      <c r="B439" s="2" t="str">
        <f t="shared" si="6"/>
        <v>sáb</v>
      </c>
      <c r="C439" s="2" t="str">
        <f>Configurações!$A$26</f>
        <v>CAM 20</v>
      </c>
      <c r="D439" s="2" t="str">
        <f>Configurações!$B$26</f>
        <v>Reserva/Futura 07</v>
      </c>
      <c r="E439" s="2">
        <f>Configurações!$C$26</f>
        <v>0</v>
      </c>
      <c r="F439" s="2" t="s">
        <v>20</v>
      </c>
      <c r="G439" s="2" t="s">
        <v>20</v>
      </c>
      <c r="H439" s="2" t="s">
        <v>20</v>
      </c>
      <c r="I439" s="6"/>
      <c r="J439" s="6"/>
      <c r="K439" s="6"/>
    </row>
    <row r="440" spans="1:11" x14ac:dyDescent="0.2">
      <c r="A440" s="7">
        <f>DATE(Configurações!$B$3,12,19)</f>
        <v>46375</v>
      </c>
      <c r="B440" s="2" t="str">
        <f t="shared" si="6"/>
        <v>sáb</v>
      </c>
      <c r="C440" s="2" t="str">
        <f>Configurações!$A$27</f>
        <v>CAM 21</v>
      </c>
      <c r="D440" s="2" t="str">
        <f>Configurações!$B$27</f>
        <v>Reserva/Futura 08</v>
      </c>
      <c r="E440" s="2">
        <f>Configurações!$C$27</f>
        <v>0</v>
      </c>
      <c r="F440" s="2" t="s">
        <v>20</v>
      </c>
      <c r="G440" s="2" t="s">
        <v>20</v>
      </c>
      <c r="H440" s="2" t="s">
        <v>20</v>
      </c>
      <c r="I440" s="6"/>
      <c r="J440" s="6"/>
      <c r="K440" s="6"/>
    </row>
    <row r="441" spans="1:11" x14ac:dyDescent="0.2">
      <c r="A441" s="7">
        <f>DATE(Configurações!$B$3,12,19)</f>
        <v>46375</v>
      </c>
      <c r="B441" s="2" t="str">
        <f t="shared" si="6"/>
        <v>sáb</v>
      </c>
      <c r="C441" s="2" t="str">
        <f>Configurações!$A$28</f>
        <v>CAM 22</v>
      </c>
      <c r="D441" s="2" t="str">
        <f>Configurações!$B$28</f>
        <v>Reserva/Futura 09</v>
      </c>
      <c r="E441" s="2">
        <f>Configurações!$C$28</f>
        <v>0</v>
      </c>
      <c r="F441" s="2" t="s">
        <v>20</v>
      </c>
      <c r="G441" s="2" t="s">
        <v>20</v>
      </c>
      <c r="H441" s="2" t="s">
        <v>20</v>
      </c>
      <c r="I441" s="6"/>
      <c r="J441" s="6"/>
      <c r="K441" s="6"/>
    </row>
    <row r="442" spans="1:11" x14ac:dyDescent="0.2">
      <c r="A442" s="7">
        <f>DATE(Configurações!$B$3,12,19)</f>
        <v>46375</v>
      </c>
      <c r="B442" s="2" t="str">
        <f t="shared" si="6"/>
        <v>sáb</v>
      </c>
      <c r="C442" s="2" t="str">
        <f>Configurações!$A$29</f>
        <v>CAM 23</v>
      </c>
      <c r="D442" s="2" t="str">
        <f>Configurações!$B$29</f>
        <v>Reserva/Futura 10</v>
      </c>
      <c r="E442" s="2">
        <f>Configurações!$C$29</f>
        <v>0</v>
      </c>
      <c r="F442" s="2" t="s">
        <v>20</v>
      </c>
      <c r="G442" s="2" t="s">
        <v>20</v>
      </c>
      <c r="H442" s="2" t="s">
        <v>20</v>
      </c>
      <c r="I442" s="6"/>
      <c r="J442" s="6"/>
      <c r="K442" s="6"/>
    </row>
    <row r="443" spans="1:11" x14ac:dyDescent="0.2">
      <c r="A443" s="7">
        <f>DATE(Configurações!$B$3,12,20)</f>
        <v>46376</v>
      </c>
      <c r="B443" s="2" t="str">
        <f t="shared" si="6"/>
        <v>dom</v>
      </c>
      <c r="C443" s="2" t="str">
        <f>Configurações!$A$7</f>
        <v>CAM 01</v>
      </c>
      <c r="D443" s="2" t="str">
        <f>Configurações!$B$7</f>
        <v>BARU ANDES</v>
      </c>
      <c r="E443" s="2">
        <f>Configurações!$C$7</f>
        <v>0</v>
      </c>
      <c r="F443" s="2" t="s">
        <v>20</v>
      </c>
      <c r="G443" s="2" t="s">
        <v>20</v>
      </c>
      <c r="H443" s="2" t="s">
        <v>20</v>
      </c>
      <c r="I443" s="6"/>
      <c r="J443" s="6"/>
      <c r="K443" s="6"/>
    </row>
    <row r="444" spans="1:11" x14ac:dyDescent="0.2">
      <c r="A444" s="7">
        <f>DATE(Configurações!$B$3,12,20)</f>
        <v>46376</v>
      </c>
      <c r="B444" s="2" t="str">
        <f t="shared" si="6"/>
        <v>dom</v>
      </c>
      <c r="C444" s="2" t="str">
        <f>Configurações!$A$8</f>
        <v>CAM 02</v>
      </c>
      <c r="D444" s="2" t="str">
        <f>Configurações!$B$8</f>
        <v>Câmera 02</v>
      </c>
      <c r="E444" s="2">
        <f>Configurações!$C$8</f>
        <v>0</v>
      </c>
      <c r="F444" s="2" t="s">
        <v>20</v>
      </c>
      <c r="G444" s="2" t="s">
        <v>20</v>
      </c>
      <c r="H444" s="2" t="s">
        <v>20</v>
      </c>
      <c r="I444" s="6"/>
      <c r="J444" s="6"/>
      <c r="K444" s="6"/>
    </row>
    <row r="445" spans="1:11" x14ac:dyDescent="0.2">
      <c r="A445" s="7">
        <f>DATE(Configurações!$B$3,12,20)</f>
        <v>46376</v>
      </c>
      <c r="B445" s="2" t="str">
        <f t="shared" si="6"/>
        <v>dom</v>
      </c>
      <c r="C445" s="2" t="str">
        <f>Configurações!$A$9</f>
        <v>CAM 03</v>
      </c>
      <c r="D445" s="2" t="str">
        <f>Configurações!$B$9</f>
        <v>Câmera 03</v>
      </c>
      <c r="E445" s="2">
        <f>Configurações!$C$9</f>
        <v>0</v>
      </c>
      <c r="F445" s="2" t="s">
        <v>20</v>
      </c>
      <c r="G445" s="2" t="s">
        <v>20</v>
      </c>
      <c r="H445" s="2" t="s">
        <v>20</v>
      </c>
      <c r="I445" s="6"/>
      <c r="J445" s="6"/>
      <c r="K445" s="6"/>
    </row>
    <row r="446" spans="1:11" x14ac:dyDescent="0.2">
      <c r="A446" s="7">
        <f>DATE(Configurações!$B$3,12,20)</f>
        <v>46376</v>
      </c>
      <c r="B446" s="2" t="str">
        <f t="shared" si="6"/>
        <v>dom</v>
      </c>
      <c r="C446" s="2" t="str">
        <f>Configurações!$A$10</f>
        <v>CAM 04</v>
      </c>
      <c r="D446" s="2" t="str">
        <f>Configurações!$B$10</f>
        <v>Câmera 04</v>
      </c>
      <c r="E446" s="2">
        <f>Configurações!$C$10</f>
        <v>0</v>
      </c>
      <c r="F446" s="2" t="s">
        <v>20</v>
      </c>
      <c r="G446" s="2" t="s">
        <v>20</v>
      </c>
      <c r="H446" s="2" t="s">
        <v>20</v>
      </c>
      <c r="I446" s="6"/>
      <c r="J446" s="6"/>
      <c r="K446" s="6"/>
    </row>
    <row r="447" spans="1:11" x14ac:dyDescent="0.2">
      <c r="A447" s="7">
        <f>DATE(Configurações!$B$3,12,20)</f>
        <v>46376</v>
      </c>
      <c r="B447" s="2" t="str">
        <f t="shared" si="6"/>
        <v>dom</v>
      </c>
      <c r="C447" s="2" t="str">
        <f>Configurações!$A$11</f>
        <v>CAM 05</v>
      </c>
      <c r="D447" s="2" t="str">
        <f>Configurações!$B$11</f>
        <v>Câmera 05</v>
      </c>
      <c r="E447" s="2">
        <f>Configurações!$C$11</f>
        <v>0</v>
      </c>
      <c r="F447" s="2" t="s">
        <v>20</v>
      </c>
      <c r="G447" s="2" t="s">
        <v>20</v>
      </c>
      <c r="H447" s="2" t="s">
        <v>20</v>
      </c>
      <c r="I447" s="6"/>
      <c r="J447" s="6"/>
      <c r="K447" s="6"/>
    </row>
    <row r="448" spans="1:11" x14ac:dyDescent="0.2">
      <c r="A448" s="7">
        <f>DATE(Configurações!$B$3,12,20)</f>
        <v>46376</v>
      </c>
      <c r="B448" s="2" t="str">
        <f t="shared" si="6"/>
        <v>dom</v>
      </c>
      <c r="C448" s="2" t="str">
        <f>Configurações!$A$12</f>
        <v>CAM 06</v>
      </c>
      <c r="D448" s="2" t="str">
        <f>Configurações!$B$12</f>
        <v>Câmera 06</v>
      </c>
      <c r="E448" s="2">
        <f>Configurações!$C$12</f>
        <v>0</v>
      </c>
      <c r="F448" s="2" t="s">
        <v>20</v>
      </c>
      <c r="G448" s="2" t="s">
        <v>20</v>
      </c>
      <c r="H448" s="2" t="s">
        <v>20</v>
      </c>
      <c r="I448" s="6"/>
      <c r="J448" s="6"/>
      <c r="K448" s="6"/>
    </row>
    <row r="449" spans="1:11" x14ac:dyDescent="0.2">
      <c r="A449" s="7">
        <f>DATE(Configurações!$B$3,12,20)</f>
        <v>46376</v>
      </c>
      <c r="B449" s="2" t="str">
        <f t="shared" si="6"/>
        <v>dom</v>
      </c>
      <c r="C449" s="2" t="str">
        <f>Configurações!$A$13</f>
        <v>CAM 07</v>
      </c>
      <c r="D449" s="2" t="str">
        <f>Configurações!$B$13</f>
        <v>Câmera 07</v>
      </c>
      <c r="E449" s="2">
        <f>Configurações!$C$13</f>
        <v>0</v>
      </c>
      <c r="F449" s="2" t="s">
        <v>20</v>
      </c>
      <c r="G449" s="2" t="s">
        <v>20</v>
      </c>
      <c r="H449" s="2" t="s">
        <v>20</v>
      </c>
      <c r="I449" s="6"/>
      <c r="J449" s="6"/>
      <c r="K449" s="6"/>
    </row>
    <row r="450" spans="1:11" x14ac:dyDescent="0.2">
      <c r="A450" s="7">
        <f>DATE(Configurações!$B$3,12,20)</f>
        <v>46376</v>
      </c>
      <c r="B450" s="2" t="str">
        <f t="shared" si="6"/>
        <v>dom</v>
      </c>
      <c r="C450" s="2" t="str">
        <f>Configurações!$A$14</f>
        <v>CAM 08</v>
      </c>
      <c r="D450" s="2" t="str">
        <f>Configurações!$B$14</f>
        <v>Câmera 08</v>
      </c>
      <c r="E450" s="2">
        <f>Configurações!$C$14</f>
        <v>0</v>
      </c>
      <c r="F450" s="2" t="s">
        <v>20</v>
      </c>
      <c r="G450" s="2" t="s">
        <v>20</v>
      </c>
      <c r="H450" s="2" t="s">
        <v>20</v>
      </c>
      <c r="I450" s="6"/>
      <c r="J450" s="6"/>
      <c r="K450" s="6"/>
    </row>
    <row r="451" spans="1:11" x14ac:dyDescent="0.2">
      <c r="A451" s="7">
        <f>DATE(Configurações!$B$3,12,20)</f>
        <v>46376</v>
      </c>
      <c r="B451" s="2" t="str">
        <f t="shared" si="6"/>
        <v>dom</v>
      </c>
      <c r="C451" s="2" t="str">
        <f>Configurações!$A$15</f>
        <v>CAM 09</v>
      </c>
      <c r="D451" s="2" t="str">
        <f>Configurações!$B$15</f>
        <v>Câmera 09</v>
      </c>
      <c r="E451" s="2">
        <f>Configurações!$C$15</f>
        <v>0</v>
      </c>
      <c r="F451" s="2" t="s">
        <v>20</v>
      </c>
      <c r="G451" s="2" t="s">
        <v>20</v>
      </c>
      <c r="H451" s="2" t="s">
        <v>20</v>
      </c>
      <c r="I451" s="6"/>
      <c r="J451" s="6"/>
      <c r="K451" s="6"/>
    </row>
    <row r="452" spans="1:11" x14ac:dyDescent="0.2">
      <c r="A452" s="7">
        <f>DATE(Configurações!$B$3,12,20)</f>
        <v>46376</v>
      </c>
      <c r="B452" s="2" t="str">
        <f t="shared" si="6"/>
        <v>dom</v>
      </c>
      <c r="C452" s="2" t="str">
        <f>Configurações!$A$16</f>
        <v>CAM 10</v>
      </c>
      <c r="D452" s="2" t="str">
        <f>Configurações!$B$16</f>
        <v>Câmera 10</v>
      </c>
      <c r="E452" s="2">
        <f>Configurações!$C$16</f>
        <v>0</v>
      </c>
      <c r="F452" s="2" t="s">
        <v>20</v>
      </c>
      <c r="G452" s="2" t="s">
        <v>20</v>
      </c>
      <c r="H452" s="2" t="s">
        <v>20</v>
      </c>
      <c r="I452" s="6"/>
      <c r="J452" s="6"/>
      <c r="K452" s="6"/>
    </row>
    <row r="453" spans="1:11" x14ac:dyDescent="0.2">
      <c r="A453" s="7">
        <f>DATE(Configurações!$B$3,12,20)</f>
        <v>46376</v>
      </c>
      <c r="B453" s="2" t="str">
        <f t="shared" si="6"/>
        <v>dom</v>
      </c>
      <c r="C453" s="2" t="str">
        <f>Configurações!$A$17</f>
        <v>CAM 11</v>
      </c>
      <c r="D453" s="2" t="str">
        <f>Configurações!$B$17</f>
        <v>Câmera 11</v>
      </c>
      <c r="E453" s="2">
        <f>Configurações!$C$17</f>
        <v>0</v>
      </c>
      <c r="F453" s="2" t="s">
        <v>20</v>
      </c>
      <c r="G453" s="2" t="s">
        <v>20</v>
      </c>
      <c r="H453" s="2" t="s">
        <v>20</v>
      </c>
      <c r="I453" s="6"/>
      <c r="J453" s="6"/>
      <c r="K453" s="6"/>
    </row>
    <row r="454" spans="1:11" x14ac:dyDescent="0.2">
      <c r="A454" s="7">
        <f>DATE(Configurações!$B$3,12,20)</f>
        <v>46376</v>
      </c>
      <c r="B454" s="2" t="str">
        <f t="shared" ref="B454:B517" si="7">TEXT(A454,"ddd")</f>
        <v>dom</v>
      </c>
      <c r="C454" s="2" t="str">
        <f>Configurações!$A$18</f>
        <v>CAM 12</v>
      </c>
      <c r="D454" s="2" t="str">
        <f>Configurações!$B$18</f>
        <v>Câmera 12</v>
      </c>
      <c r="E454" s="2">
        <f>Configurações!$C$18</f>
        <v>0</v>
      </c>
      <c r="F454" s="2" t="s">
        <v>20</v>
      </c>
      <c r="G454" s="2" t="s">
        <v>20</v>
      </c>
      <c r="H454" s="2" t="s">
        <v>20</v>
      </c>
      <c r="I454" s="6"/>
      <c r="J454" s="6"/>
      <c r="K454" s="6"/>
    </row>
    <row r="455" spans="1:11" x14ac:dyDescent="0.2">
      <c r="A455" s="7">
        <f>DATE(Configurações!$B$3,12,20)</f>
        <v>46376</v>
      </c>
      <c r="B455" s="2" t="str">
        <f t="shared" si="7"/>
        <v>dom</v>
      </c>
      <c r="C455" s="2" t="str">
        <f>Configurações!$A$19</f>
        <v>CAM 13</v>
      </c>
      <c r="D455" s="2" t="str">
        <f>Configurações!$B$19</f>
        <v>Câmera 13</v>
      </c>
      <c r="E455" s="2">
        <f>Configurações!$C$19</f>
        <v>0</v>
      </c>
      <c r="F455" s="2" t="s">
        <v>20</v>
      </c>
      <c r="G455" s="2" t="s">
        <v>20</v>
      </c>
      <c r="H455" s="2" t="s">
        <v>20</v>
      </c>
      <c r="I455" s="6"/>
      <c r="J455" s="6"/>
      <c r="K455" s="6"/>
    </row>
    <row r="456" spans="1:11" x14ac:dyDescent="0.2">
      <c r="A456" s="7">
        <f>DATE(Configurações!$B$3,12,20)</f>
        <v>46376</v>
      </c>
      <c r="B456" s="2" t="str">
        <f t="shared" si="7"/>
        <v>dom</v>
      </c>
      <c r="C456" s="2" t="str">
        <f>Configurações!$A$20</f>
        <v>CAM 14</v>
      </c>
      <c r="D456" s="2" t="str">
        <f>Configurações!$B$20</f>
        <v>Reserva/Futura 01</v>
      </c>
      <c r="E456" s="2">
        <f>Configurações!$C$20</f>
        <v>0</v>
      </c>
      <c r="F456" s="2" t="s">
        <v>20</v>
      </c>
      <c r="G456" s="2" t="s">
        <v>20</v>
      </c>
      <c r="H456" s="2" t="s">
        <v>20</v>
      </c>
      <c r="I456" s="6"/>
      <c r="J456" s="6"/>
      <c r="K456" s="6"/>
    </row>
    <row r="457" spans="1:11" x14ac:dyDescent="0.2">
      <c r="A457" s="7">
        <f>DATE(Configurações!$B$3,12,20)</f>
        <v>46376</v>
      </c>
      <c r="B457" s="2" t="str">
        <f t="shared" si="7"/>
        <v>dom</v>
      </c>
      <c r="C457" s="2" t="str">
        <f>Configurações!$A$21</f>
        <v>CAM 15</v>
      </c>
      <c r="D457" s="2" t="str">
        <f>Configurações!$B$21</f>
        <v>Reserva/Futura 02</v>
      </c>
      <c r="E457" s="2">
        <f>Configurações!$C$21</f>
        <v>0</v>
      </c>
      <c r="F457" s="2" t="s">
        <v>20</v>
      </c>
      <c r="G457" s="2" t="s">
        <v>20</v>
      </c>
      <c r="H457" s="2" t="s">
        <v>20</v>
      </c>
      <c r="I457" s="6"/>
      <c r="J457" s="6"/>
      <c r="K457" s="6"/>
    </row>
    <row r="458" spans="1:11" x14ac:dyDescent="0.2">
      <c r="A458" s="7">
        <f>DATE(Configurações!$B$3,12,20)</f>
        <v>46376</v>
      </c>
      <c r="B458" s="2" t="str">
        <f t="shared" si="7"/>
        <v>dom</v>
      </c>
      <c r="C458" s="2" t="str">
        <f>Configurações!$A$22</f>
        <v>CAM 16</v>
      </c>
      <c r="D458" s="2" t="str">
        <f>Configurações!$B$22</f>
        <v>Reserva/Futura 03</v>
      </c>
      <c r="E458" s="2">
        <f>Configurações!$C$22</f>
        <v>0</v>
      </c>
      <c r="F458" s="2" t="s">
        <v>20</v>
      </c>
      <c r="G458" s="2" t="s">
        <v>20</v>
      </c>
      <c r="H458" s="2" t="s">
        <v>20</v>
      </c>
      <c r="I458" s="6"/>
      <c r="J458" s="6"/>
      <c r="K458" s="6"/>
    </row>
    <row r="459" spans="1:11" x14ac:dyDescent="0.2">
      <c r="A459" s="7">
        <f>DATE(Configurações!$B$3,12,20)</f>
        <v>46376</v>
      </c>
      <c r="B459" s="2" t="str">
        <f t="shared" si="7"/>
        <v>dom</v>
      </c>
      <c r="C459" s="2" t="str">
        <f>Configurações!$A$23</f>
        <v>CAM 17</v>
      </c>
      <c r="D459" s="2" t="str">
        <f>Configurações!$B$23</f>
        <v>Reserva/Futura 04</v>
      </c>
      <c r="E459" s="2">
        <f>Configurações!$C$23</f>
        <v>0</v>
      </c>
      <c r="F459" s="2" t="s">
        <v>20</v>
      </c>
      <c r="G459" s="2" t="s">
        <v>20</v>
      </c>
      <c r="H459" s="2" t="s">
        <v>20</v>
      </c>
      <c r="I459" s="6"/>
      <c r="J459" s="6"/>
      <c r="K459" s="6"/>
    </row>
    <row r="460" spans="1:11" x14ac:dyDescent="0.2">
      <c r="A460" s="7">
        <f>DATE(Configurações!$B$3,12,20)</f>
        <v>46376</v>
      </c>
      <c r="B460" s="2" t="str">
        <f t="shared" si="7"/>
        <v>dom</v>
      </c>
      <c r="C460" s="2" t="str">
        <f>Configurações!$A$24</f>
        <v>CAM 18</v>
      </c>
      <c r="D460" s="2" t="str">
        <f>Configurações!$B$24</f>
        <v>Reserva/Futura 05</v>
      </c>
      <c r="E460" s="2">
        <f>Configurações!$C$24</f>
        <v>0</v>
      </c>
      <c r="F460" s="2" t="s">
        <v>20</v>
      </c>
      <c r="G460" s="2" t="s">
        <v>20</v>
      </c>
      <c r="H460" s="2" t="s">
        <v>20</v>
      </c>
      <c r="I460" s="6"/>
      <c r="J460" s="6"/>
      <c r="K460" s="6"/>
    </row>
    <row r="461" spans="1:11" x14ac:dyDescent="0.2">
      <c r="A461" s="7">
        <f>DATE(Configurações!$B$3,12,20)</f>
        <v>46376</v>
      </c>
      <c r="B461" s="2" t="str">
        <f t="shared" si="7"/>
        <v>dom</v>
      </c>
      <c r="C461" s="2" t="str">
        <f>Configurações!$A$25</f>
        <v>CAM 19</v>
      </c>
      <c r="D461" s="2" t="str">
        <f>Configurações!$B$25</f>
        <v>Reserva/Futura 06</v>
      </c>
      <c r="E461" s="2">
        <f>Configurações!$C$25</f>
        <v>0</v>
      </c>
      <c r="F461" s="2" t="s">
        <v>20</v>
      </c>
      <c r="G461" s="2" t="s">
        <v>20</v>
      </c>
      <c r="H461" s="2" t="s">
        <v>20</v>
      </c>
      <c r="I461" s="6"/>
      <c r="J461" s="6"/>
      <c r="K461" s="6"/>
    </row>
    <row r="462" spans="1:11" x14ac:dyDescent="0.2">
      <c r="A462" s="7">
        <f>DATE(Configurações!$B$3,12,20)</f>
        <v>46376</v>
      </c>
      <c r="B462" s="2" t="str">
        <f t="shared" si="7"/>
        <v>dom</v>
      </c>
      <c r="C462" s="2" t="str">
        <f>Configurações!$A$26</f>
        <v>CAM 20</v>
      </c>
      <c r="D462" s="2" t="str">
        <f>Configurações!$B$26</f>
        <v>Reserva/Futura 07</v>
      </c>
      <c r="E462" s="2">
        <f>Configurações!$C$26</f>
        <v>0</v>
      </c>
      <c r="F462" s="2" t="s">
        <v>20</v>
      </c>
      <c r="G462" s="2" t="s">
        <v>20</v>
      </c>
      <c r="H462" s="2" t="s">
        <v>20</v>
      </c>
      <c r="I462" s="6"/>
      <c r="J462" s="6"/>
      <c r="K462" s="6"/>
    </row>
    <row r="463" spans="1:11" x14ac:dyDescent="0.2">
      <c r="A463" s="7">
        <f>DATE(Configurações!$B$3,12,20)</f>
        <v>46376</v>
      </c>
      <c r="B463" s="2" t="str">
        <f t="shared" si="7"/>
        <v>dom</v>
      </c>
      <c r="C463" s="2" t="str">
        <f>Configurações!$A$27</f>
        <v>CAM 21</v>
      </c>
      <c r="D463" s="2" t="str">
        <f>Configurações!$B$27</f>
        <v>Reserva/Futura 08</v>
      </c>
      <c r="E463" s="2">
        <f>Configurações!$C$27</f>
        <v>0</v>
      </c>
      <c r="F463" s="2" t="s">
        <v>20</v>
      </c>
      <c r="G463" s="2" t="s">
        <v>20</v>
      </c>
      <c r="H463" s="2" t="s">
        <v>20</v>
      </c>
      <c r="I463" s="6"/>
      <c r="J463" s="6"/>
      <c r="K463" s="6"/>
    </row>
    <row r="464" spans="1:11" x14ac:dyDescent="0.2">
      <c r="A464" s="7">
        <f>DATE(Configurações!$B$3,12,20)</f>
        <v>46376</v>
      </c>
      <c r="B464" s="2" t="str">
        <f t="shared" si="7"/>
        <v>dom</v>
      </c>
      <c r="C464" s="2" t="str">
        <f>Configurações!$A$28</f>
        <v>CAM 22</v>
      </c>
      <c r="D464" s="2" t="str">
        <f>Configurações!$B$28</f>
        <v>Reserva/Futura 09</v>
      </c>
      <c r="E464" s="2">
        <f>Configurações!$C$28</f>
        <v>0</v>
      </c>
      <c r="F464" s="2" t="s">
        <v>20</v>
      </c>
      <c r="G464" s="2" t="s">
        <v>20</v>
      </c>
      <c r="H464" s="2" t="s">
        <v>20</v>
      </c>
      <c r="I464" s="6"/>
      <c r="J464" s="6"/>
      <c r="K464" s="6"/>
    </row>
    <row r="465" spans="1:11" x14ac:dyDescent="0.2">
      <c r="A465" s="7">
        <f>DATE(Configurações!$B$3,12,20)</f>
        <v>46376</v>
      </c>
      <c r="B465" s="2" t="str">
        <f t="shared" si="7"/>
        <v>dom</v>
      </c>
      <c r="C465" s="2" t="str">
        <f>Configurações!$A$29</f>
        <v>CAM 23</v>
      </c>
      <c r="D465" s="2" t="str">
        <f>Configurações!$B$29</f>
        <v>Reserva/Futura 10</v>
      </c>
      <c r="E465" s="2">
        <f>Configurações!$C$29</f>
        <v>0</v>
      </c>
      <c r="F465" s="2" t="s">
        <v>20</v>
      </c>
      <c r="G465" s="2" t="s">
        <v>20</v>
      </c>
      <c r="H465" s="2" t="s">
        <v>20</v>
      </c>
      <c r="I465" s="6"/>
      <c r="J465" s="6"/>
      <c r="K465" s="6"/>
    </row>
    <row r="466" spans="1:11" x14ac:dyDescent="0.2">
      <c r="A466" s="7">
        <f>DATE(Configurações!$B$3,12,21)</f>
        <v>46377</v>
      </c>
      <c r="B466" s="2" t="str">
        <f t="shared" si="7"/>
        <v>seg</v>
      </c>
      <c r="C466" s="2" t="str">
        <f>Configurações!$A$7</f>
        <v>CAM 01</v>
      </c>
      <c r="D466" s="2" t="str">
        <f>Configurações!$B$7</f>
        <v>BARU ANDES</v>
      </c>
      <c r="E466" s="2">
        <f>Configurações!$C$7</f>
        <v>0</v>
      </c>
      <c r="F466" s="2" t="s">
        <v>20</v>
      </c>
      <c r="G466" s="2" t="s">
        <v>20</v>
      </c>
      <c r="H466" s="2" t="s">
        <v>20</v>
      </c>
      <c r="I466" s="6"/>
      <c r="J466" s="6"/>
      <c r="K466" s="6"/>
    </row>
    <row r="467" spans="1:11" x14ac:dyDescent="0.2">
      <c r="A467" s="7">
        <f>DATE(Configurações!$B$3,12,21)</f>
        <v>46377</v>
      </c>
      <c r="B467" s="2" t="str">
        <f t="shared" si="7"/>
        <v>seg</v>
      </c>
      <c r="C467" s="2" t="str">
        <f>Configurações!$A$8</f>
        <v>CAM 02</v>
      </c>
      <c r="D467" s="2" t="str">
        <f>Configurações!$B$8</f>
        <v>Câmera 02</v>
      </c>
      <c r="E467" s="2">
        <f>Configurações!$C$8</f>
        <v>0</v>
      </c>
      <c r="F467" s="2" t="s">
        <v>20</v>
      </c>
      <c r="G467" s="2" t="s">
        <v>20</v>
      </c>
      <c r="H467" s="2" t="s">
        <v>20</v>
      </c>
      <c r="I467" s="6"/>
      <c r="J467" s="6"/>
      <c r="K467" s="6"/>
    </row>
    <row r="468" spans="1:11" x14ac:dyDescent="0.2">
      <c r="A468" s="7">
        <f>DATE(Configurações!$B$3,12,21)</f>
        <v>46377</v>
      </c>
      <c r="B468" s="2" t="str">
        <f t="shared" si="7"/>
        <v>seg</v>
      </c>
      <c r="C468" s="2" t="str">
        <f>Configurações!$A$9</f>
        <v>CAM 03</v>
      </c>
      <c r="D468" s="2" t="str">
        <f>Configurações!$B$9</f>
        <v>Câmera 03</v>
      </c>
      <c r="E468" s="2">
        <f>Configurações!$C$9</f>
        <v>0</v>
      </c>
      <c r="F468" s="2" t="s">
        <v>20</v>
      </c>
      <c r="G468" s="2" t="s">
        <v>20</v>
      </c>
      <c r="H468" s="2" t="s">
        <v>20</v>
      </c>
      <c r="I468" s="6"/>
      <c r="J468" s="6"/>
      <c r="K468" s="6"/>
    </row>
    <row r="469" spans="1:11" x14ac:dyDescent="0.2">
      <c r="A469" s="7">
        <f>DATE(Configurações!$B$3,12,21)</f>
        <v>46377</v>
      </c>
      <c r="B469" s="2" t="str">
        <f t="shared" si="7"/>
        <v>seg</v>
      </c>
      <c r="C469" s="2" t="str">
        <f>Configurações!$A$10</f>
        <v>CAM 04</v>
      </c>
      <c r="D469" s="2" t="str">
        <f>Configurações!$B$10</f>
        <v>Câmera 04</v>
      </c>
      <c r="E469" s="2">
        <f>Configurações!$C$10</f>
        <v>0</v>
      </c>
      <c r="F469" s="2" t="s">
        <v>20</v>
      </c>
      <c r="G469" s="2" t="s">
        <v>20</v>
      </c>
      <c r="H469" s="2" t="s">
        <v>20</v>
      </c>
      <c r="I469" s="6"/>
      <c r="J469" s="6"/>
      <c r="K469" s="6"/>
    </row>
    <row r="470" spans="1:11" x14ac:dyDescent="0.2">
      <c r="A470" s="7">
        <f>DATE(Configurações!$B$3,12,21)</f>
        <v>46377</v>
      </c>
      <c r="B470" s="2" t="str">
        <f t="shared" si="7"/>
        <v>seg</v>
      </c>
      <c r="C470" s="2" t="str">
        <f>Configurações!$A$11</f>
        <v>CAM 05</v>
      </c>
      <c r="D470" s="2" t="str">
        <f>Configurações!$B$11</f>
        <v>Câmera 05</v>
      </c>
      <c r="E470" s="2">
        <f>Configurações!$C$11</f>
        <v>0</v>
      </c>
      <c r="F470" s="2" t="s">
        <v>20</v>
      </c>
      <c r="G470" s="2" t="s">
        <v>20</v>
      </c>
      <c r="H470" s="2" t="s">
        <v>20</v>
      </c>
      <c r="I470" s="6"/>
      <c r="J470" s="6"/>
      <c r="K470" s="6"/>
    </row>
    <row r="471" spans="1:11" x14ac:dyDescent="0.2">
      <c r="A471" s="7">
        <f>DATE(Configurações!$B$3,12,21)</f>
        <v>46377</v>
      </c>
      <c r="B471" s="2" t="str">
        <f t="shared" si="7"/>
        <v>seg</v>
      </c>
      <c r="C471" s="2" t="str">
        <f>Configurações!$A$12</f>
        <v>CAM 06</v>
      </c>
      <c r="D471" s="2" t="str">
        <f>Configurações!$B$12</f>
        <v>Câmera 06</v>
      </c>
      <c r="E471" s="2">
        <f>Configurações!$C$12</f>
        <v>0</v>
      </c>
      <c r="F471" s="2" t="s">
        <v>20</v>
      </c>
      <c r="G471" s="2" t="s">
        <v>20</v>
      </c>
      <c r="H471" s="2" t="s">
        <v>20</v>
      </c>
      <c r="I471" s="6"/>
      <c r="J471" s="6"/>
      <c r="K471" s="6"/>
    </row>
    <row r="472" spans="1:11" x14ac:dyDescent="0.2">
      <c r="A472" s="7">
        <f>DATE(Configurações!$B$3,12,21)</f>
        <v>46377</v>
      </c>
      <c r="B472" s="2" t="str">
        <f t="shared" si="7"/>
        <v>seg</v>
      </c>
      <c r="C472" s="2" t="str">
        <f>Configurações!$A$13</f>
        <v>CAM 07</v>
      </c>
      <c r="D472" s="2" t="str">
        <f>Configurações!$B$13</f>
        <v>Câmera 07</v>
      </c>
      <c r="E472" s="2">
        <f>Configurações!$C$13</f>
        <v>0</v>
      </c>
      <c r="F472" s="2" t="s">
        <v>20</v>
      </c>
      <c r="G472" s="2" t="s">
        <v>20</v>
      </c>
      <c r="H472" s="2" t="s">
        <v>20</v>
      </c>
      <c r="I472" s="6"/>
      <c r="J472" s="6"/>
      <c r="K472" s="6"/>
    </row>
    <row r="473" spans="1:11" x14ac:dyDescent="0.2">
      <c r="A473" s="7">
        <f>DATE(Configurações!$B$3,12,21)</f>
        <v>46377</v>
      </c>
      <c r="B473" s="2" t="str">
        <f t="shared" si="7"/>
        <v>seg</v>
      </c>
      <c r="C473" s="2" t="str">
        <f>Configurações!$A$14</f>
        <v>CAM 08</v>
      </c>
      <c r="D473" s="2" t="str">
        <f>Configurações!$B$14</f>
        <v>Câmera 08</v>
      </c>
      <c r="E473" s="2">
        <f>Configurações!$C$14</f>
        <v>0</v>
      </c>
      <c r="F473" s="2" t="s">
        <v>20</v>
      </c>
      <c r="G473" s="2" t="s">
        <v>20</v>
      </c>
      <c r="H473" s="2" t="s">
        <v>20</v>
      </c>
      <c r="I473" s="6"/>
      <c r="J473" s="6"/>
      <c r="K473" s="6"/>
    </row>
    <row r="474" spans="1:11" x14ac:dyDescent="0.2">
      <c r="A474" s="7">
        <f>DATE(Configurações!$B$3,12,21)</f>
        <v>46377</v>
      </c>
      <c r="B474" s="2" t="str">
        <f t="shared" si="7"/>
        <v>seg</v>
      </c>
      <c r="C474" s="2" t="str">
        <f>Configurações!$A$15</f>
        <v>CAM 09</v>
      </c>
      <c r="D474" s="2" t="str">
        <f>Configurações!$B$15</f>
        <v>Câmera 09</v>
      </c>
      <c r="E474" s="2">
        <f>Configurações!$C$15</f>
        <v>0</v>
      </c>
      <c r="F474" s="2" t="s">
        <v>20</v>
      </c>
      <c r="G474" s="2" t="s">
        <v>20</v>
      </c>
      <c r="H474" s="2" t="s">
        <v>20</v>
      </c>
      <c r="I474" s="6"/>
      <c r="J474" s="6"/>
      <c r="K474" s="6"/>
    </row>
    <row r="475" spans="1:11" x14ac:dyDescent="0.2">
      <c r="A475" s="7">
        <f>DATE(Configurações!$B$3,12,21)</f>
        <v>46377</v>
      </c>
      <c r="B475" s="2" t="str">
        <f t="shared" si="7"/>
        <v>seg</v>
      </c>
      <c r="C475" s="2" t="str">
        <f>Configurações!$A$16</f>
        <v>CAM 10</v>
      </c>
      <c r="D475" s="2" t="str">
        <f>Configurações!$B$16</f>
        <v>Câmera 10</v>
      </c>
      <c r="E475" s="2">
        <f>Configurações!$C$16</f>
        <v>0</v>
      </c>
      <c r="F475" s="2" t="s">
        <v>20</v>
      </c>
      <c r="G475" s="2" t="s">
        <v>20</v>
      </c>
      <c r="H475" s="2" t="s">
        <v>20</v>
      </c>
      <c r="I475" s="6"/>
      <c r="J475" s="6"/>
      <c r="K475" s="6"/>
    </row>
    <row r="476" spans="1:11" x14ac:dyDescent="0.2">
      <c r="A476" s="7">
        <f>DATE(Configurações!$B$3,12,21)</f>
        <v>46377</v>
      </c>
      <c r="B476" s="2" t="str">
        <f t="shared" si="7"/>
        <v>seg</v>
      </c>
      <c r="C476" s="2" t="str">
        <f>Configurações!$A$17</f>
        <v>CAM 11</v>
      </c>
      <c r="D476" s="2" t="str">
        <f>Configurações!$B$17</f>
        <v>Câmera 11</v>
      </c>
      <c r="E476" s="2">
        <f>Configurações!$C$17</f>
        <v>0</v>
      </c>
      <c r="F476" s="2" t="s">
        <v>20</v>
      </c>
      <c r="G476" s="2" t="s">
        <v>20</v>
      </c>
      <c r="H476" s="2" t="s">
        <v>20</v>
      </c>
      <c r="I476" s="6"/>
      <c r="J476" s="6"/>
      <c r="K476" s="6"/>
    </row>
    <row r="477" spans="1:11" x14ac:dyDescent="0.2">
      <c r="A477" s="7">
        <f>DATE(Configurações!$B$3,12,21)</f>
        <v>46377</v>
      </c>
      <c r="B477" s="2" t="str">
        <f t="shared" si="7"/>
        <v>seg</v>
      </c>
      <c r="C477" s="2" t="str">
        <f>Configurações!$A$18</f>
        <v>CAM 12</v>
      </c>
      <c r="D477" s="2" t="str">
        <f>Configurações!$B$18</f>
        <v>Câmera 12</v>
      </c>
      <c r="E477" s="2">
        <f>Configurações!$C$18</f>
        <v>0</v>
      </c>
      <c r="F477" s="2" t="s">
        <v>20</v>
      </c>
      <c r="G477" s="2" t="s">
        <v>20</v>
      </c>
      <c r="H477" s="2" t="s">
        <v>20</v>
      </c>
      <c r="I477" s="6"/>
      <c r="J477" s="6"/>
      <c r="K477" s="6"/>
    </row>
    <row r="478" spans="1:11" x14ac:dyDescent="0.2">
      <c r="A478" s="7">
        <f>DATE(Configurações!$B$3,12,21)</f>
        <v>46377</v>
      </c>
      <c r="B478" s="2" t="str">
        <f t="shared" si="7"/>
        <v>seg</v>
      </c>
      <c r="C478" s="2" t="str">
        <f>Configurações!$A$19</f>
        <v>CAM 13</v>
      </c>
      <c r="D478" s="2" t="str">
        <f>Configurações!$B$19</f>
        <v>Câmera 13</v>
      </c>
      <c r="E478" s="2">
        <f>Configurações!$C$19</f>
        <v>0</v>
      </c>
      <c r="F478" s="2" t="s">
        <v>20</v>
      </c>
      <c r="G478" s="2" t="s">
        <v>20</v>
      </c>
      <c r="H478" s="2" t="s">
        <v>20</v>
      </c>
      <c r="I478" s="6"/>
      <c r="J478" s="6"/>
      <c r="K478" s="6"/>
    </row>
    <row r="479" spans="1:11" x14ac:dyDescent="0.2">
      <c r="A479" s="7">
        <f>DATE(Configurações!$B$3,12,21)</f>
        <v>46377</v>
      </c>
      <c r="B479" s="2" t="str">
        <f t="shared" si="7"/>
        <v>seg</v>
      </c>
      <c r="C479" s="2" t="str">
        <f>Configurações!$A$20</f>
        <v>CAM 14</v>
      </c>
      <c r="D479" s="2" t="str">
        <f>Configurações!$B$20</f>
        <v>Reserva/Futura 01</v>
      </c>
      <c r="E479" s="2">
        <f>Configurações!$C$20</f>
        <v>0</v>
      </c>
      <c r="F479" s="2" t="s">
        <v>20</v>
      </c>
      <c r="G479" s="2" t="s">
        <v>20</v>
      </c>
      <c r="H479" s="2" t="s">
        <v>20</v>
      </c>
      <c r="I479" s="6"/>
      <c r="J479" s="6"/>
      <c r="K479" s="6"/>
    </row>
    <row r="480" spans="1:11" x14ac:dyDescent="0.2">
      <c r="A480" s="7">
        <f>DATE(Configurações!$B$3,12,21)</f>
        <v>46377</v>
      </c>
      <c r="B480" s="2" t="str">
        <f t="shared" si="7"/>
        <v>seg</v>
      </c>
      <c r="C480" s="2" t="str">
        <f>Configurações!$A$21</f>
        <v>CAM 15</v>
      </c>
      <c r="D480" s="2" t="str">
        <f>Configurações!$B$21</f>
        <v>Reserva/Futura 02</v>
      </c>
      <c r="E480" s="2">
        <f>Configurações!$C$21</f>
        <v>0</v>
      </c>
      <c r="F480" s="2" t="s">
        <v>20</v>
      </c>
      <c r="G480" s="2" t="s">
        <v>20</v>
      </c>
      <c r="H480" s="2" t="s">
        <v>20</v>
      </c>
      <c r="I480" s="6"/>
      <c r="J480" s="6"/>
      <c r="K480" s="6"/>
    </row>
    <row r="481" spans="1:11" x14ac:dyDescent="0.2">
      <c r="A481" s="7">
        <f>DATE(Configurações!$B$3,12,21)</f>
        <v>46377</v>
      </c>
      <c r="B481" s="2" t="str">
        <f t="shared" si="7"/>
        <v>seg</v>
      </c>
      <c r="C481" s="2" t="str">
        <f>Configurações!$A$22</f>
        <v>CAM 16</v>
      </c>
      <c r="D481" s="2" t="str">
        <f>Configurações!$B$22</f>
        <v>Reserva/Futura 03</v>
      </c>
      <c r="E481" s="2">
        <f>Configurações!$C$22</f>
        <v>0</v>
      </c>
      <c r="F481" s="2" t="s">
        <v>20</v>
      </c>
      <c r="G481" s="2" t="s">
        <v>20</v>
      </c>
      <c r="H481" s="2" t="s">
        <v>20</v>
      </c>
      <c r="I481" s="6"/>
      <c r="J481" s="6"/>
      <c r="K481" s="6"/>
    </row>
    <row r="482" spans="1:11" x14ac:dyDescent="0.2">
      <c r="A482" s="7">
        <f>DATE(Configurações!$B$3,12,21)</f>
        <v>46377</v>
      </c>
      <c r="B482" s="2" t="str">
        <f t="shared" si="7"/>
        <v>seg</v>
      </c>
      <c r="C482" s="2" t="str">
        <f>Configurações!$A$23</f>
        <v>CAM 17</v>
      </c>
      <c r="D482" s="2" t="str">
        <f>Configurações!$B$23</f>
        <v>Reserva/Futura 04</v>
      </c>
      <c r="E482" s="2">
        <f>Configurações!$C$23</f>
        <v>0</v>
      </c>
      <c r="F482" s="2" t="s">
        <v>20</v>
      </c>
      <c r="G482" s="2" t="s">
        <v>20</v>
      </c>
      <c r="H482" s="2" t="s">
        <v>20</v>
      </c>
      <c r="I482" s="6"/>
      <c r="J482" s="6"/>
      <c r="K482" s="6"/>
    </row>
    <row r="483" spans="1:11" x14ac:dyDescent="0.2">
      <c r="A483" s="7">
        <f>DATE(Configurações!$B$3,12,21)</f>
        <v>46377</v>
      </c>
      <c r="B483" s="2" t="str">
        <f t="shared" si="7"/>
        <v>seg</v>
      </c>
      <c r="C483" s="2" t="str">
        <f>Configurações!$A$24</f>
        <v>CAM 18</v>
      </c>
      <c r="D483" s="2" t="str">
        <f>Configurações!$B$24</f>
        <v>Reserva/Futura 05</v>
      </c>
      <c r="E483" s="2">
        <f>Configurações!$C$24</f>
        <v>0</v>
      </c>
      <c r="F483" s="2" t="s">
        <v>20</v>
      </c>
      <c r="G483" s="2" t="s">
        <v>20</v>
      </c>
      <c r="H483" s="2" t="s">
        <v>20</v>
      </c>
      <c r="I483" s="6"/>
      <c r="J483" s="6"/>
      <c r="K483" s="6"/>
    </row>
    <row r="484" spans="1:11" x14ac:dyDescent="0.2">
      <c r="A484" s="7">
        <f>DATE(Configurações!$B$3,12,21)</f>
        <v>46377</v>
      </c>
      <c r="B484" s="2" t="str">
        <f t="shared" si="7"/>
        <v>seg</v>
      </c>
      <c r="C484" s="2" t="str">
        <f>Configurações!$A$25</f>
        <v>CAM 19</v>
      </c>
      <c r="D484" s="2" t="str">
        <f>Configurações!$B$25</f>
        <v>Reserva/Futura 06</v>
      </c>
      <c r="E484" s="2">
        <f>Configurações!$C$25</f>
        <v>0</v>
      </c>
      <c r="F484" s="2" t="s">
        <v>20</v>
      </c>
      <c r="G484" s="2" t="s">
        <v>20</v>
      </c>
      <c r="H484" s="2" t="s">
        <v>20</v>
      </c>
      <c r="I484" s="6"/>
      <c r="J484" s="6"/>
      <c r="K484" s="6"/>
    </row>
    <row r="485" spans="1:11" x14ac:dyDescent="0.2">
      <c r="A485" s="7">
        <f>DATE(Configurações!$B$3,12,21)</f>
        <v>46377</v>
      </c>
      <c r="B485" s="2" t="str">
        <f t="shared" si="7"/>
        <v>seg</v>
      </c>
      <c r="C485" s="2" t="str">
        <f>Configurações!$A$26</f>
        <v>CAM 20</v>
      </c>
      <c r="D485" s="2" t="str">
        <f>Configurações!$B$26</f>
        <v>Reserva/Futura 07</v>
      </c>
      <c r="E485" s="2">
        <f>Configurações!$C$26</f>
        <v>0</v>
      </c>
      <c r="F485" s="2" t="s">
        <v>20</v>
      </c>
      <c r="G485" s="2" t="s">
        <v>20</v>
      </c>
      <c r="H485" s="2" t="s">
        <v>20</v>
      </c>
      <c r="I485" s="6"/>
      <c r="J485" s="6"/>
      <c r="K485" s="6"/>
    </row>
    <row r="486" spans="1:11" x14ac:dyDescent="0.2">
      <c r="A486" s="7">
        <f>DATE(Configurações!$B$3,12,21)</f>
        <v>46377</v>
      </c>
      <c r="B486" s="2" t="str">
        <f t="shared" si="7"/>
        <v>seg</v>
      </c>
      <c r="C486" s="2" t="str">
        <f>Configurações!$A$27</f>
        <v>CAM 21</v>
      </c>
      <c r="D486" s="2" t="str">
        <f>Configurações!$B$27</f>
        <v>Reserva/Futura 08</v>
      </c>
      <c r="E486" s="2">
        <f>Configurações!$C$27</f>
        <v>0</v>
      </c>
      <c r="F486" s="2" t="s">
        <v>20</v>
      </c>
      <c r="G486" s="2" t="s">
        <v>20</v>
      </c>
      <c r="H486" s="2" t="s">
        <v>20</v>
      </c>
      <c r="I486" s="6"/>
      <c r="J486" s="6"/>
      <c r="K486" s="6"/>
    </row>
    <row r="487" spans="1:11" x14ac:dyDescent="0.2">
      <c r="A487" s="7">
        <f>DATE(Configurações!$B$3,12,21)</f>
        <v>46377</v>
      </c>
      <c r="B487" s="2" t="str">
        <f t="shared" si="7"/>
        <v>seg</v>
      </c>
      <c r="C487" s="2" t="str">
        <f>Configurações!$A$28</f>
        <v>CAM 22</v>
      </c>
      <c r="D487" s="2" t="str">
        <f>Configurações!$B$28</f>
        <v>Reserva/Futura 09</v>
      </c>
      <c r="E487" s="2">
        <f>Configurações!$C$28</f>
        <v>0</v>
      </c>
      <c r="F487" s="2" t="s">
        <v>20</v>
      </c>
      <c r="G487" s="2" t="s">
        <v>20</v>
      </c>
      <c r="H487" s="2" t="s">
        <v>20</v>
      </c>
      <c r="I487" s="6"/>
      <c r="J487" s="6"/>
      <c r="K487" s="6"/>
    </row>
    <row r="488" spans="1:11" x14ac:dyDescent="0.2">
      <c r="A488" s="7">
        <f>DATE(Configurações!$B$3,12,21)</f>
        <v>46377</v>
      </c>
      <c r="B488" s="2" t="str">
        <f t="shared" si="7"/>
        <v>seg</v>
      </c>
      <c r="C488" s="2" t="str">
        <f>Configurações!$A$29</f>
        <v>CAM 23</v>
      </c>
      <c r="D488" s="2" t="str">
        <f>Configurações!$B$29</f>
        <v>Reserva/Futura 10</v>
      </c>
      <c r="E488" s="2">
        <f>Configurações!$C$29</f>
        <v>0</v>
      </c>
      <c r="F488" s="2" t="s">
        <v>20</v>
      </c>
      <c r="G488" s="2" t="s">
        <v>20</v>
      </c>
      <c r="H488" s="2" t="s">
        <v>20</v>
      </c>
      <c r="I488" s="6"/>
      <c r="J488" s="6"/>
      <c r="K488" s="6"/>
    </row>
    <row r="489" spans="1:11" x14ac:dyDescent="0.2">
      <c r="A489" s="7">
        <f>DATE(Configurações!$B$3,12,22)</f>
        <v>46378</v>
      </c>
      <c r="B489" s="2" t="str">
        <f t="shared" si="7"/>
        <v>ter</v>
      </c>
      <c r="C489" s="2" t="str">
        <f>Configurações!$A$7</f>
        <v>CAM 01</v>
      </c>
      <c r="D489" s="2" t="str">
        <f>Configurações!$B$7</f>
        <v>BARU ANDES</v>
      </c>
      <c r="E489" s="2">
        <f>Configurações!$C$7</f>
        <v>0</v>
      </c>
      <c r="F489" s="2" t="s">
        <v>20</v>
      </c>
      <c r="G489" s="2" t="s">
        <v>20</v>
      </c>
      <c r="H489" s="2" t="s">
        <v>20</v>
      </c>
      <c r="I489" s="6"/>
      <c r="J489" s="6"/>
      <c r="K489" s="6"/>
    </row>
    <row r="490" spans="1:11" x14ac:dyDescent="0.2">
      <c r="A490" s="7">
        <f>DATE(Configurações!$B$3,12,22)</f>
        <v>46378</v>
      </c>
      <c r="B490" s="2" t="str">
        <f t="shared" si="7"/>
        <v>ter</v>
      </c>
      <c r="C490" s="2" t="str">
        <f>Configurações!$A$8</f>
        <v>CAM 02</v>
      </c>
      <c r="D490" s="2" t="str">
        <f>Configurações!$B$8</f>
        <v>Câmera 02</v>
      </c>
      <c r="E490" s="2">
        <f>Configurações!$C$8</f>
        <v>0</v>
      </c>
      <c r="F490" s="2" t="s">
        <v>20</v>
      </c>
      <c r="G490" s="2" t="s">
        <v>20</v>
      </c>
      <c r="H490" s="2" t="s">
        <v>20</v>
      </c>
      <c r="I490" s="6"/>
      <c r="J490" s="6"/>
      <c r="K490" s="6"/>
    </row>
    <row r="491" spans="1:11" x14ac:dyDescent="0.2">
      <c r="A491" s="7">
        <f>DATE(Configurações!$B$3,12,22)</f>
        <v>46378</v>
      </c>
      <c r="B491" s="2" t="str">
        <f t="shared" si="7"/>
        <v>ter</v>
      </c>
      <c r="C491" s="2" t="str">
        <f>Configurações!$A$9</f>
        <v>CAM 03</v>
      </c>
      <c r="D491" s="2" t="str">
        <f>Configurações!$B$9</f>
        <v>Câmera 03</v>
      </c>
      <c r="E491" s="2">
        <f>Configurações!$C$9</f>
        <v>0</v>
      </c>
      <c r="F491" s="2" t="s">
        <v>20</v>
      </c>
      <c r="G491" s="2" t="s">
        <v>20</v>
      </c>
      <c r="H491" s="2" t="s">
        <v>20</v>
      </c>
      <c r="I491" s="6"/>
      <c r="J491" s="6"/>
      <c r="K491" s="6"/>
    </row>
    <row r="492" spans="1:11" x14ac:dyDescent="0.2">
      <c r="A492" s="7">
        <f>DATE(Configurações!$B$3,12,22)</f>
        <v>46378</v>
      </c>
      <c r="B492" s="2" t="str">
        <f t="shared" si="7"/>
        <v>ter</v>
      </c>
      <c r="C492" s="2" t="str">
        <f>Configurações!$A$10</f>
        <v>CAM 04</v>
      </c>
      <c r="D492" s="2" t="str">
        <f>Configurações!$B$10</f>
        <v>Câmera 04</v>
      </c>
      <c r="E492" s="2">
        <f>Configurações!$C$10</f>
        <v>0</v>
      </c>
      <c r="F492" s="2" t="s">
        <v>20</v>
      </c>
      <c r="G492" s="2" t="s">
        <v>20</v>
      </c>
      <c r="H492" s="2" t="s">
        <v>20</v>
      </c>
      <c r="I492" s="6"/>
      <c r="J492" s="6"/>
      <c r="K492" s="6"/>
    </row>
    <row r="493" spans="1:11" x14ac:dyDescent="0.2">
      <c r="A493" s="7">
        <f>DATE(Configurações!$B$3,12,22)</f>
        <v>46378</v>
      </c>
      <c r="B493" s="2" t="str">
        <f t="shared" si="7"/>
        <v>ter</v>
      </c>
      <c r="C493" s="2" t="str">
        <f>Configurações!$A$11</f>
        <v>CAM 05</v>
      </c>
      <c r="D493" s="2" t="str">
        <f>Configurações!$B$11</f>
        <v>Câmera 05</v>
      </c>
      <c r="E493" s="2">
        <f>Configurações!$C$11</f>
        <v>0</v>
      </c>
      <c r="F493" s="2" t="s">
        <v>20</v>
      </c>
      <c r="G493" s="2" t="s">
        <v>20</v>
      </c>
      <c r="H493" s="2" t="s">
        <v>20</v>
      </c>
      <c r="I493" s="6"/>
      <c r="J493" s="6"/>
      <c r="K493" s="6"/>
    </row>
    <row r="494" spans="1:11" x14ac:dyDescent="0.2">
      <c r="A494" s="7">
        <f>DATE(Configurações!$B$3,12,22)</f>
        <v>46378</v>
      </c>
      <c r="B494" s="2" t="str">
        <f t="shared" si="7"/>
        <v>ter</v>
      </c>
      <c r="C494" s="2" t="str">
        <f>Configurações!$A$12</f>
        <v>CAM 06</v>
      </c>
      <c r="D494" s="2" t="str">
        <f>Configurações!$B$12</f>
        <v>Câmera 06</v>
      </c>
      <c r="E494" s="2">
        <f>Configurações!$C$12</f>
        <v>0</v>
      </c>
      <c r="F494" s="2" t="s">
        <v>20</v>
      </c>
      <c r="G494" s="2" t="s">
        <v>20</v>
      </c>
      <c r="H494" s="2" t="s">
        <v>20</v>
      </c>
      <c r="I494" s="6"/>
      <c r="J494" s="6"/>
      <c r="K494" s="6"/>
    </row>
    <row r="495" spans="1:11" x14ac:dyDescent="0.2">
      <c r="A495" s="7">
        <f>DATE(Configurações!$B$3,12,22)</f>
        <v>46378</v>
      </c>
      <c r="B495" s="2" t="str">
        <f t="shared" si="7"/>
        <v>ter</v>
      </c>
      <c r="C495" s="2" t="str">
        <f>Configurações!$A$13</f>
        <v>CAM 07</v>
      </c>
      <c r="D495" s="2" t="str">
        <f>Configurações!$B$13</f>
        <v>Câmera 07</v>
      </c>
      <c r="E495" s="2">
        <f>Configurações!$C$13</f>
        <v>0</v>
      </c>
      <c r="F495" s="2" t="s">
        <v>20</v>
      </c>
      <c r="G495" s="2" t="s">
        <v>20</v>
      </c>
      <c r="H495" s="2" t="s">
        <v>20</v>
      </c>
      <c r="I495" s="6"/>
      <c r="J495" s="6"/>
      <c r="K495" s="6"/>
    </row>
    <row r="496" spans="1:11" x14ac:dyDescent="0.2">
      <c r="A496" s="7">
        <f>DATE(Configurações!$B$3,12,22)</f>
        <v>46378</v>
      </c>
      <c r="B496" s="2" t="str">
        <f t="shared" si="7"/>
        <v>ter</v>
      </c>
      <c r="C496" s="2" t="str">
        <f>Configurações!$A$14</f>
        <v>CAM 08</v>
      </c>
      <c r="D496" s="2" t="str">
        <f>Configurações!$B$14</f>
        <v>Câmera 08</v>
      </c>
      <c r="E496" s="2">
        <f>Configurações!$C$14</f>
        <v>0</v>
      </c>
      <c r="F496" s="2" t="s">
        <v>20</v>
      </c>
      <c r="G496" s="2" t="s">
        <v>20</v>
      </c>
      <c r="H496" s="2" t="s">
        <v>20</v>
      </c>
      <c r="I496" s="6"/>
      <c r="J496" s="6"/>
      <c r="K496" s="6"/>
    </row>
    <row r="497" spans="1:11" x14ac:dyDescent="0.2">
      <c r="A497" s="7">
        <f>DATE(Configurações!$B$3,12,22)</f>
        <v>46378</v>
      </c>
      <c r="B497" s="2" t="str">
        <f t="shared" si="7"/>
        <v>ter</v>
      </c>
      <c r="C497" s="2" t="str">
        <f>Configurações!$A$15</f>
        <v>CAM 09</v>
      </c>
      <c r="D497" s="2" t="str">
        <f>Configurações!$B$15</f>
        <v>Câmera 09</v>
      </c>
      <c r="E497" s="2">
        <f>Configurações!$C$15</f>
        <v>0</v>
      </c>
      <c r="F497" s="2" t="s">
        <v>20</v>
      </c>
      <c r="G497" s="2" t="s">
        <v>20</v>
      </c>
      <c r="H497" s="2" t="s">
        <v>20</v>
      </c>
      <c r="I497" s="6"/>
      <c r="J497" s="6"/>
      <c r="K497" s="6"/>
    </row>
    <row r="498" spans="1:11" x14ac:dyDescent="0.2">
      <c r="A498" s="7">
        <f>DATE(Configurações!$B$3,12,22)</f>
        <v>46378</v>
      </c>
      <c r="B498" s="2" t="str">
        <f t="shared" si="7"/>
        <v>ter</v>
      </c>
      <c r="C498" s="2" t="str">
        <f>Configurações!$A$16</f>
        <v>CAM 10</v>
      </c>
      <c r="D498" s="2" t="str">
        <f>Configurações!$B$16</f>
        <v>Câmera 10</v>
      </c>
      <c r="E498" s="2">
        <f>Configurações!$C$16</f>
        <v>0</v>
      </c>
      <c r="F498" s="2" t="s">
        <v>20</v>
      </c>
      <c r="G498" s="2" t="s">
        <v>20</v>
      </c>
      <c r="H498" s="2" t="s">
        <v>20</v>
      </c>
      <c r="I498" s="6"/>
      <c r="J498" s="6"/>
      <c r="K498" s="6"/>
    </row>
    <row r="499" spans="1:11" x14ac:dyDescent="0.2">
      <c r="A499" s="7">
        <f>DATE(Configurações!$B$3,12,22)</f>
        <v>46378</v>
      </c>
      <c r="B499" s="2" t="str">
        <f t="shared" si="7"/>
        <v>ter</v>
      </c>
      <c r="C499" s="2" t="str">
        <f>Configurações!$A$17</f>
        <v>CAM 11</v>
      </c>
      <c r="D499" s="2" t="str">
        <f>Configurações!$B$17</f>
        <v>Câmera 11</v>
      </c>
      <c r="E499" s="2">
        <f>Configurações!$C$17</f>
        <v>0</v>
      </c>
      <c r="F499" s="2" t="s">
        <v>20</v>
      </c>
      <c r="G499" s="2" t="s">
        <v>20</v>
      </c>
      <c r="H499" s="2" t="s">
        <v>20</v>
      </c>
      <c r="I499" s="6"/>
      <c r="J499" s="6"/>
      <c r="K499" s="6"/>
    </row>
    <row r="500" spans="1:11" x14ac:dyDescent="0.2">
      <c r="A500" s="7">
        <f>DATE(Configurações!$B$3,12,22)</f>
        <v>46378</v>
      </c>
      <c r="B500" s="2" t="str">
        <f t="shared" si="7"/>
        <v>ter</v>
      </c>
      <c r="C500" s="2" t="str">
        <f>Configurações!$A$18</f>
        <v>CAM 12</v>
      </c>
      <c r="D500" s="2" t="str">
        <f>Configurações!$B$18</f>
        <v>Câmera 12</v>
      </c>
      <c r="E500" s="2">
        <f>Configurações!$C$18</f>
        <v>0</v>
      </c>
      <c r="F500" s="2" t="s">
        <v>20</v>
      </c>
      <c r="G500" s="2" t="s">
        <v>20</v>
      </c>
      <c r="H500" s="2" t="s">
        <v>20</v>
      </c>
      <c r="I500" s="6"/>
      <c r="J500" s="6"/>
      <c r="K500" s="6"/>
    </row>
    <row r="501" spans="1:11" x14ac:dyDescent="0.2">
      <c r="A501" s="7">
        <f>DATE(Configurações!$B$3,12,22)</f>
        <v>46378</v>
      </c>
      <c r="B501" s="2" t="str">
        <f t="shared" si="7"/>
        <v>ter</v>
      </c>
      <c r="C501" s="2" t="str">
        <f>Configurações!$A$19</f>
        <v>CAM 13</v>
      </c>
      <c r="D501" s="2" t="str">
        <f>Configurações!$B$19</f>
        <v>Câmera 13</v>
      </c>
      <c r="E501" s="2">
        <f>Configurações!$C$19</f>
        <v>0</v>
      </c>
      <c r="F501" s="2" t="s">
        <v>20</v>
      </c>
      <c r="G501" s="2" t="s">
        <v>20</v>
      </c>
      <c r="H501" s="2" t="s">
        <v>20</v>
      </c>
      <c r="I501" s="6"/>
      <c r="J501" s="6"/>
      <c r="K501" s="6"/>
    </row>
    <row r="502" spans="1:11" x14ac:dyDescent="0.2">
      <c r="A502" s="7">
        <f>DATE(Configurações!$B$3,12,22)</f>
        <v>46378</v>
      </c>
      <c r="B502" s="2" t="str">
        <f t="shared" si="7"/>
        <v>ter</v>
      </c>
      <c r="C502" s="2" t="str">
        <f>Configurações!$A$20</f>
        <v>CAM 14</v>
      </c>
      <c r="D502" s="2" t="str">
        <f>Configurações!$B$20</f>
        <v>Reserva/Futura 01</v>
      </c>
      <c r="E502" s="2">
        <f>Configurações!$C$20</f>
        <v>0</v>
      </c>
      <c r="F502" s="2" t="s">
        <v>20</v>
      </c>
      <c r="G502" s="2" t="s">
        <v>20</v>
      </c>
      <c r="H502" s="2" t="s">
        <v>20</v>
      </c>
      <c r="I502" s="6"/>
      <c r="J502" s="6"/>
      <c r="K502" s="6"/>
    </row>
    <row r="503" spans="1:11" x14ac:dyDescent="0.2">
      <c r="A503" s="7">
        <f>DATE(Configurações!$B$3,12,22)</f>
        <v>46378</v>
      </c>
      <c r="B503" s="2" t="str">
        <f t="shared" si="7"/>
        <v>ter</v>
      </c>
      <c r="C503" s="2" t="str">
        <f>Configurações!$A$21</f>
        <v>CAM 15</v>
      </c>
      <c r="D503" s="2" t="str">
        <f>Configurações!$B$21</f>
        <v>Reserva/Futura 02</v>
      </c>
      <c r="E503" s="2">
        <f>Configurações!$C$21</f>
        <v>0</v>
      </c>
      <c r="F503" s="2" t="s">
        <v>20</v>
      </c>
      <c r="G503" s="2" t="s">
        <v>20</v>
      </c>
      <c r="H503" s="2" t="s">
        <v>20</v>
      </c>
      <c r="I503" s="6"/>
      <c r="J503" s="6"/>
      <c r="K503" s="6"/>
    </row>
    <row r="504" spans="1:11" x14ac:dyDescent="0.2">
      <c r="A504" s="7">
        <f>DATE(Configurações!$B$3,12,22)</f>
        <v>46378</v>
      </c>
      <c r="B504" s="2" t="str">
        <f t="shared" si="7"/>
        <v>ter</v>
      </c>
      <c r="C504" s="2" t="str">
        <f>Configurações!$A$22</f>
        <v>CAM 16</v>
      </c>
      <c r="D504" s="2" t="str">
        <f>Configurações!$B$22</f>
        <v>Reserva/Futura 03</v>
      </c>
      <c r="E504" s="2">
        <f>Configurações!$C$22</f>
        <v>0</v>
      </c>
      <c r="F504" s="2" t="s">
        <v>20</v>
      </c>
      <c r="G504" s="2" t="s">
        <v>20</v>
      </c>
      <c r="H504" s="2" t="s">
        <v>20</v>
      </c>
      <c r="I504" s="6"/>
      <c r="J504" s="6"/>
      <c r="K504" s="6"/>
    </row>
    <row r="505" spans="1:11" x14ac:dyDescent="0.2">
      <c r="A505" s="7">
        <f>DATE(Configurações!$B$3,12,22)</f>
        <v>46378</v>
      </c>
      <c r="B505" s="2" t="str">
        <f t="shared" si="7"/>
        <v>ter</v>
      </c>
      <c r="C505" s="2" t="str">
        <f>Configurações!$A$23</f>
        <v>CAM 17</v>
      </c>
      <c r="D505" s="2" t="str">
        <f>Configurações!$B$23</f>
        <v>Reserva/Futura 04</v>
      </c>
      <c r="E505" s="2">
        <f>Configurações!$C$23</f>
        <v>0</v>
      </c>
      <c r="F505" s="2" t="s">
        <v>20</v>
      </c>
      <c r="G505" s="2" t="s">
        <v>20</v>
      </c>
      <c r="H505" s="2" t="s">
        <v>20</v>
      </c>
      <c r="I505" s="6"/>
      <c r="J505" s="6"/>
      <c r="K505" s="6"/>
    </row>
    <row r="506" spans="1:11" x14ac:dyDescent="0.2">
      <c r="A506" s="7">
        <f>DATE(Configurações!$B$3,12,22)</f>
        <v>46378</v>
      </c>
      <c r="B506" s="2" t="str">
        <f t="shared" si="7"/>
        <v>ter</v>
      </c>
      <c r="C506" s="2" t="str">
        <f>Configurações!$A$24</f>
        <v>CAM 18</v>
      </c>
      <c r="D506" s="2" t="str">
        <f>Configurações!$B$24</f>
        <v>Reserva/Futura 05</v>
      </c>
      <c r="E506" s="2">
        <f>Configurações!$C$24</f>
        <v>0</v>
      </c>
      <c r="F506" s="2" t="s">
        <v>20</v>
      </c>
      <c r="G506" s="2" t="s">
        <v>20</v>
      </c>
      <c r="H506" s="2" t="s">
        <v>20</v>
      </c>
      <c r="I506" s="6"/>
      <c r="J506" s="6"/>
      <c r="K506" s="6"/>
    </row>
    <row r="507" spans="1:11" x14ac:dyDescent="0.2">
      <c r="A507" s="7">
        <f>DATE(Configurações!$B$3,12,22)</f>
        <v>46378</v>
      </c>
      <c r="B507" s="2" t="str">
        <f t="shared" si="7"/>
        <v>ter</v>
      </c>
      <c r="C507" s="2" t="str">
        <f>Configurações!$A$25</f>
        <v>CAM 19</v>
      </c>
      <c r="D507" s="2" t="str">
        <f>Configurações!$B$25</f>
        <v>Reserva/Futura 06</v>
      </c>
      <c r="E507" s="2">
        <f>Configurações!$C$25</f>
        <v>0</v>
      </c>
      <c r="F507" s="2" t="s">
        <v>20</v>
      </c>
      <c r="G507" s="2" t="s">
        <v>20</v>
      </c>
      <c r="H507" s="2" t="s">
        <v>20</v>
      </c>
      <c r="I507" s="6"/>
      <c r="J507" s="6"/>
      <c r="K507" s="6"/>
    </row>
    <row r="508" spans="1:11" x14ac:dyDescent="0.2">
      <c r="A508" s="7">
        <f>DATE(Configurações!$B$3,12,22)</f>
        <v>46378</v>
      </c>
      <c r="B508" s="2" t="str">
        <f t="shared" si="7"/>
        <v>ter</v>
      </c>
      <c r="C508" s="2" t="str">
        <f>Configurações!$A$26</f>
        <v>CAM 20</v>
      </c>
      <c r="D508" s="2" t="str">
        <f>Configurações!$B$26</f>
        <v>Reserva/Futura 07</v>
      </c>
      <c r="E508" s="2">
        <f>Configurações!$C$26</f>
        <v>0</v>
      </c>
      <c r="F508" s="2" t="s">
        <v>20</v>
      </c>
      <c r="G508" s="2" t="s">
        <v>20</v>
      </c>
      <c r="H508" s="2" t="s">
        <v>20</v>
      </c>
      <c r="I508" s="6"/>
      <c r="J508" s="6"/>
      <c r="K508" s="6"/>
    </row>
    <row r="509" spans="1:11" x14ac:dyDescent="0.2">
      <c r="A509" s="7">
        <f>DATE(Configurações!$B$3,12,22)</f>
        <v>46378</v>
      </c>
      <c r="B509" s="2" t="str">
        <f t="shared" si="7"/>
        <v>ter</v>
      </c>
      <c r="C509" s="2" t="str">
        <f>Configurações!$A$27</f>
        <v>CAM 21</v>
      </c>
      <c r="D509" s="2" t="str">
        <f>Configurações!$B$27</f>
        <v>Reserva/Futura 08</v>
      </c>
      <c r="E509" s="2">
        <f>Configurações!$C$27</f>
        <v>0</v>
      </c>
      <c r="F509" s="2" t="s">
        <v>20</v>
      </c>
      <c r="G509" s="2" t="s">
        <v>20</v>
      </c>
      <c r="H509" s="2" t="s">
        <v>20</v>
      </c>
      <c r="I509" s="6"/>
      <c r="J509" s="6"/>
      <c r="K509" s="6"/>
    </row>
    <row r="510" spans="1:11" x14ac:dyDescent="0.2">
      <c r="A510" s="7">
        <f>DATE(Configurações!$B$3,12,22)</f>
        <v>46378</v>
      </c>
      <c r="B510" s="2" t="str">
        <f t="shared" si="7"/>
        <v>ter</v>
      </c>
      <c r="C510" s="2" t="str">
        <f>Configurações!$A$28</f>
        <v>CAM 22</v>
      </c>
      <c r="D510" s="2" t="str">
        <f>Configurações!$B$28</f>
        <v>Reserva/Futura 09</v>
      </c>
      <c r="E510" s="2">
        <f>Configurações!$C$28</f>
        <v>0</v>
      </c>
      <c r="F510" s="2" t="s">
        <v>20</v>
      </c>
      <c r="G510" s="2" t="s">
        <v>20</v>
      </c>
      <c r="H510" s="2" t="s">
        <v>20</v>
      </c>
      <c r="I510" s="6"/>
      <c r="J510" s="6"/>
      <c r="K510" s="6"/>
    </row>
    <row r="511" spans="1:11" x14ac:dyDescent="0.2">
      <c r="A511" s="7">
        <f>DATE(Configurações!$B$3,12,22)</f>
        <v>46378</v>
      </c>
      <c r="B511" s="2" t="str">
        <f t="shared" si="7"/>
        <v>ter</v>
      </c>
      <c r="C511" s="2" t="str">
        <f>Configurações!$A$29</f>
        <v>CAM 23</v>
      </c>
      <c r="D511" s="2" t="str">
        <f>Configurações!$B$29</f>
        <v>Reserva/Futura 10</v>
      </c>
      <c r="E511" s="2">
        <f>Configurações!$C$29</f>
        <v>0</v>
      </c>
      <c r="F511" s="2" t="s">
        <v>20</v>
      </c>
      <c r="G511" s="2" t="s">
        <v>20</v>
      </c>
      <c r="H511" s="2" t="s">
        <v>20</v>
      </c>
      <c r="I511" s="6"/>
      <c r="J511" s="6"/>
      <c r="K511" s="6"/>
    </row>
    <row r="512" spans="1:11" x14ac:dyDescent="0.2">
      <c r="A512" s="7">
        <f>DATE(Configurações!$B$3,12,23)</f>
        <v>46379</v>
      </c>
      <c r="B512" s="2" t="str">
        <f t="shared" si="7"/>
        <v>qua</v>
      </c>
      <c r="C512" s="2" t="str">
        <f>Configurações!$A$7</f>
        <v>CAM 01</v>
      </c>
      <c r="D512" s="2" t="str">
        <f>Configurações!$B$7</f>
        <v>BARU ANDES</v>
      </c>
      <c r="E512" s="2">
        <f>Configurações!$C$7</f>
        <v>0</v>
      </c>
      <c r="F512" s="2" t="s">
        <v>20</v>
      </c>
      <c r="G512" s="2" t="s">
        <v>20</v>
      </c>
      <c r="H512" s="2" t="s">
        <v>20</v>
      </c>
      <c r="I512" s="6"/>
      <c r="J512" s="6"/>
      <c r="K512" s="6"/>
    </row>
    <row r="513" spans="1:11" x14ac:dyDescent="0.2">
      <c r="A513" s="7">
        <f>DATE(Configurações!$B$3,12,23)</f>
        <v>46379</v>
      </c>
      <c r="B513" s="2" t="str">
        <f t="shared" si="7"/>
        <v>qua</v>
      </c>
      <c r="C513" s="2" t="str">
        <f>Configurações!$A$8</f>
        <v>CAM 02</v>
      </c>
      <c r="D513" s="2" t="str">
        <f>Configurações!$B$8</f>
        <v>Câmera 02</v>
      </c>
      <c r="E513" s="2">
        <f>Configurações!$C$8</f>
        <v>0</v>
      </c>
      <c r="F513" s="2" t="s">
        <v>20</v>
      </c>
      <c r="G513" s="2" t="s">
        <v>20</v>
      </c>
      <c r="H513" s="2" t="s">
        <v>20</v>
      </c>
      <c r="I513" s="6"/>
      <c r="J513" s="6"/>
      <c r="K513" s="6"/>
    </row>
    <row r="514" spans="1:11" x14ac:dyDescent="0.2">
      <c r="A514" s="7">
        <f>DATE(Configurações!$B$3,12,23)</f>
        <v>46379</v>
      </c>
      <c r="B514" s="2" t="str">
        <f t="shared" si="7"/>
        <v>qua</v>
      </c>
      <c r="C514" s="2" t="str">
        <f>Configurações!$A$9</f>
        <v>CAM 03</v>
      </c>
      <c r="D514" s="2" t="str">
        <f>Configurações!$B$9</f>
        <v>Câmera 03</v>
      </c>
      <c r="E514" s="2">
        <f>Configurações!$C$9</f>
        <v>0</v>
      </c>
      <c r="F514" s="2" t="s">
        <v>20</v>
      </c>
      <c r="G514" s="2" t="s">
        <v>20</v>
      </c>
      <c r="H514" s="2" t="s">
        <v>20</v>
      </c>
      <c r="I514" s="6"/>
      <c r="J514" s="6"/>
      <c r="K514" s="6"/>
    </row>
    <row r="515" spans="1:11" x14ac:dyDescent="0.2">
      <c r="A515" s="7">
        <f>DATE(Configurações!$B$3,12,23)</f>
        <v>46379</v>
      </c>
      <c r="B515" s="2" t="str">
        <f t="shared" si="7"/>
        <v>qua</v>
      </c>
      <c r="C515" s="2" t="str">
        <f>Configurações!$A$10</f>
        <v>CAM 04</v>
      </c>
      <c r="D515" s="2" t="str">
        <f>Configurações!$B$10</f>
        <v>Câmera 04</v>
      </c>
      <c r="E515" s="2">
        <f>Configurações!$C$10</f>
        <v>0</v>
      </c>
      <c r="F515" s="2" t="s">
        <v>20</v>
      </c>
      <c r="G515" s="2" t="s">
        <v>20</v>
      </c>
      <c r="H515" s="2" t="s">
        <v>20</v>
      </c>
      <c r="I515" s="6"/>
      <c r="J515" s="6"/>
      <c r="K515" s="6"/>
    </row>
    <row r="516" spans="1:11" x14ac:dyDescent="0.2">
      <c r="A516" s="7">
        <f>DATE(Configurações!$B$3,12,23)</f>
        <v>46379</v>
      </c>
      <c r="B516" s="2" t="str">
        <f t="shared" si="7"/>
        <v>qua</v>
      </c>
      <c r="C516" s="2" t="str">
        <f>Configurações!$A$11</f>
        <v>CAM 05</v>
      </c>
      <c r="D516" s="2" t="str">
        <f>Configurações!$B$11</f>
        <v>Câmera 05</v>
      </c>
      <c r="E516" s="2">
        <f>Configurações!$C$11</f>
        <v>0</v>
      </c>
      <c r="F516" s="2" t="s">
        <v>20</v>
      </c>
      <c r="G516" s="2" t="s">
        <v>20</v>
      </c>
      <c r="H516" s="2" t="s">
        <v>20</v>
      </c>
      <c r="I516" s="6"/>
      <c r="J516" s="6"/>
      <c r="K516" s="6"/>
    </row>
    <row r="517" spans="1:11" x14ac:dyDescent="0.2">
      <c r="A517" s="7">
        <f>DATE(Configurações!$B$3,12,23)</f>
        <v>46379</v>
      </c>
      <c r="B517" s="2" t="str">
        <f t="shared" si="7"/>
        <v>qua</v>
      </c>
      <c r="C517" s="2" t="str">
        <f>Configurações!$A$12</f>
        <v>CAM 06</v>
      </c>
      <c r="D517" s="2" t="str">
        <f>Configurações!$B$12</f>
        <v>Câmera 06</v>
      </c>
      <c r="E517" s="2">
        <f>Configurações!$C$12</f>
        <v>0</v>
      </c>
      <c r="F517" s="2" t="s">
        <v>20</v>
      </c>
      <c r="G517" s="2" t="s">
        <v>20</v>
      </c>
      <c r="H517" s="2" t="s">
        <v>20</v>
      </c>
      <c r="I517" s="6"/>
      <c r="J517" s="6"/>
      <c r="K517" s="6"/>
    </row>
    <row r="518" spans="1:11" x14ac:dyDescent="0.2">
      <c r="A518" s="7">
        <f>DATE(Configurações!$B$3,12,23)</f>
        <v>46379</v>
      </c>
      <c r="B518" s="2" t="str">
        <f t="shared" ref="B518:B581" si="8">TEXT(A518,"ddd")</f>
        <v>qua</v>
      </c>
      <c r="C518" s="2" t="str">
        <f>Configurações!$A$13</f>
        <v>CAM 07</v>
      </c>
      <c r="D518" s="2" t="str">
        <f>Configurações!$B$13</f>
        <v>Câmera 07</v>
      </c>
      <c r="E518" s="2">
        <f>Configurações!$C$13</f>
        <v>0</v>
      </c>
      <c r="F518" s="2" t="s">
        <v>20</v>
      </c>
      <c r="G518" s="2" t="s">
        <v>20</v>
      </c>
      <c r="H518" s="2" t="s">
        <v>20</v>
      </c>
      <c r="I518" s="6"/>
      <c r="J518" s="6"/>
      <c r="K518" s="6"/>
    </row>
    <row r="519" spans="1:11" x14ac:dyDescent="0.2">
      <c r="A519" s="7">
        <f>DATE(Configurações!$B$3,12,23)</f>
        <v>46379</v>
      </c>
      <c r="B519" s="2" t="str">
        <f t="shared" si="8"/>
        <v>qua</v>
      </c>
      <c r="C519" s="2" t="str">
        <f>Configurações!$A$14</f>
        <v>CAM 08</v>
      </c>
      <c r="D519" s="2" t="str">
        <f>Configurações!$B$14</f>
        <v>Câmera 08</v>
      </c>
      <c r="E519" s="2">
        <f>Configurações!$C$14</f>
        <v>0</v>
      </c>
      <c r="F519" s="2" t="s">
        <v>20</v>
      </c>
      <c r="G519" s="2" t="s">
        <v>20</v>
      </c>
      <c r="H519" s="2" t="s">
        <v>20</v>
      </c>
      <c r="I519" s="6"/>
      <c r="J519" s="6"/>
      <c r="K519" s="6"/>
    </row>
    <row r="520" spans="1:11" x14ac:dyDescent="0.2">
      <c r="A520" s="7">
        <f>DATE(Configurações!$B$3,12,23)</f>
        <v>46379</v>
      </c>
      <c r="B520" s="2" t="str">
        <f t="shared" si="8"/>
        <v>qua</v>
      </c>
      <c r="C520" s="2" t="str">
        <f>Configurações!$A$15</f>
        <v>CAM 09</v>
      </c>
      <c r="D520" s="2" t="str">
        <f>Configurações!$B$15</f>
        <v>Câmera 09</v>
      </c>
      <c r="E520" s="2">
        <f>Configurações!$C$15</f>
        <v>0</v>
      </c>
      <c r="F520" s="2" t="s">
        <v>20</v>
      </c>
      <c r="G520" s="2" t="s">
        <v>20</v>
      </c>
      <c r="H520" s="2" t="s">
        <v>20</v>
      </c>
      <c r="I520" s="6"/>
      <c r="J520" s="6"/>
      <c r="K520" s="6"/>
    </row>
    <row r="521" spans="1:11" x14ac:dyDescent="0.2">
      <c r="A521" s="7">
        <f>DATE(Configurações!$B$3,12,23)</f>
        <v>46379</v>
      </c>
      <c r="B521" s="2" t="str">
        <f t="shared" si="8"/>
        <v>qua</v>
      </c>
      <c r="C521" s="2" t="str">
        <f>Configurações!$A$16</f>
        <v>CAM 10</v>
      </c>
      <c r="D521" s="2" t="str">
        <f>Configurações!$B$16</f>
        <v>Câmera 10</v>
      </c>
      <c r="E521" s="2">
        <f>Configurações!$C$16</f>
        <v>0</v>
      </c>
      <c r="F521" s="2" t="s">
        <v>20</v>
      </c>
      <c r="G521" s="2" t="s">
        <v>20</v>
      </c>
      <c r="H521" s="2" t="s">
        <v>20</v>
      </c>
      <c r="I521" s="6"/>
      <c r="J521" s="6"/>
      <c r="K521" s="6"/>
    </row>
    <row r="522" spans="1:11" x14ac:dyDescent="0.2">
      <c r="A522" s="7">
        <f>DATE(Configurações!$B$3,12,23)</f>
        <v>46379</v>
      </c>
      <c r="B522" s="2" t="str">
        <f t="shared" si="8"/>
        <v>qua</v>
      </c>
      <c r="C522" s="2" t="str">
        <f>Configurações!$A$17</f>
        <v>CAM 11</v>
      </c>
      <c r="D522" s="2" t="str">
        <f>Configurações!$B$17</f>
        <v>Câmera 11</v>
      </c>
      <c r="E522" s="2">
        <f>Configurações!$C$17</f>
        <v>0</v>
      </c>
      <c r="F522" s="2" t="s">
        <v>20</v>
      </c>
      <c r="G522" s="2" t="s">
        <v>20</v>
      </c>
      <c r="H522" s="2" t="s">
        <v>20</v>
      </c>
      <c r="I522" s="6"/>
      <c r="J522" s="6"/>
      <c r="K522" s="6"/>
    </row>
    <row r="523" spans="1:11" x14ac:dyDescent="0.2">
      <c r="A523" s="7">
        <f>DATE(Configurações!$B$3,12,23)</f>
        <v>46379</v>
      </c>
      <c r="B523" s="2" t="str">
        <f t="shared" si="8"/>
        <v>qua</v>
      </c>
      <c r="C523" s="2" t="str">
        <f>Configurações!$A$18</f>
        <v>CAM 12</v>
      </c>
      <c r="D523" s="2" t="str">
        <f>Configurações!$B$18</f>
        <v>Câmera 12</v>
      </c>
      <c r="E523" s="2">
        <f>Configurações!$C$18</f>
        <v>0</v>
      </c>
      <c r="F523" s="2" t="s">
        <v>20</v>
      </c>
      <c r="G523" s="2" t="s">
        <v>20</v>
      </c>
      <c r="H523" s="2" t="s">
        <v>20</v>
      </c>
      <c r="I523" s="6"/>
      <c r="J523" s="6"/>
      <c r="K523" s="6"/>
    </row>
    <row r="524" spans="1:11" x14ac:dyDescent="0.2">
      <c r="A524" s="7">
        <f>DATE(Configurações!$B$3,12,23)</f>
        <v>46379</v>
      </c>
      <c r="B524" s="2" t="str">
        <f t="shared" si="8"/>
        <v>qua</v>
      </c>
      <c r="C524" s="2" t="str">
        <f>Configurações!$A$19</f>
        <v>CAM 13</v>
      </c>
      <c r="D524" s="2" t="str">
        <f>Configurações!$B$19</f>
        <v>Câmera 13</v>
      </c>
      <c r="E524" s="2">
        <f>Configurações!$C$19</f>
        <v>0</v>
      </c>
      <c r="F524" s="2" t="s">
        <v>20</v>
      </c>
      <c r="G524" s="2" t="s">
        <v>20</v>
      </c>
      <c r="H524" s="2" t="s">
        <v>20</v>
      </c>
      <c r="I524" s="6"/>
      <c r="J524" s="6"/>
      <c r="K524" s="6"/>
    </row>
    <row r="525" spans="1:11" x14ac:dyDescent="0.2">
      <c r="A525" s="7">
        <f>DATE(Configurações!$B$3,12,23)</f>
        <v>46379</v>
      </c>
      <c r="B525" s="2" t="str">
        <f t="shared" si="8"/>
        <v>qua</v>
      </c>
      <c r="C525" s="2" t="str">
        <f>Configurações!$A$20</f>
        <v>CAM 14</v>
      </c>
      <c r="D525" s="2" t="str">
        <f>Configurações!$B$20</f>
        <v>Reserva/Futura 01</v>
      </c>
      <c r="E525" s="2">
        <f>Configurações!$C$20</f>
        <v>0</v>
      </c>
      <c r="F525" s="2" t="s">
        <v>20</v>
      </c>
      <c r="G525" s="2" t="s">
        <v>20</v>
      </c>
      <c r="H525" s="2" t="s">
        <v>20</v>
      </c>
      <c r="I525" s="6"/>
      <c r="J525" s="6"/>
      <c r="K525" s="6"/>
    </row>
    <row r="526" spans="1:11" x14ac:dyDescent="0.2">
      <c r="A526" s="7">
        <f>DATE(Configurações!$B$3,12,23)</f>
        <v>46379</v>
      </c>
      <c r="B526" s="2" t="str">
        <f t="shared" si="8"/>
        <v>qua</v>
      </c>
      <c r="C526" s="2" t="str">
        <f>Configurações!$A$21</f>
        <v>CAM 15</v>
      </c>
      <c r="D526" s="2" t="str">
        <f>Configurações!$B$21</f>
        <v>Reserva/Futura 02</v>
      </c>
      <c r="E526" s="2">
        <f>Configurações!$C$21</f>
        <v>0</v>
      </c>
      <c r="F526" s="2" t="s">
        <v>20</v>
      </c>
      <c r="G526" s="2" t="s">
        <v>20</v>
      </c>
      <c r="H526" s="2" t="s">
        <v>20</v>
      </c>
      <c r="I526" s="6"/>
      <c r="J526" s="6"/>
      <c r="K526" s="6"/>
    </row>
    <row r="527" spans="1:11" x14ac:dyDescent="0.2">
      <c r="A527" s="7">
        <f>DATE(Configurações!$B$3,12,23)</f>
        <v>46379</v>
      </c>
      <c r="B527" s="2" t="str">
        <f t="shared" si="8"/>
        <v>qua</v>
      </c>
      <c r="C527" s="2" t="str">
        <f>Configurações!$A$22</f>
        <v>CAM 16</v>
      </c>
      <c r="D527" s="2" t="str">
        <f>Configurações!$B$22</f>
        <v>Reserva/Futura 03</v>
      </c>
      <c r="E527" s="2">
        <f>Configurações!$C$22</f>
        <v>0</v>
      </c>
      <c r="F527" s="2" t="s">
        <v>20</v>
      </c>
      <c r="G527" s="2" t="s">
        <v>20</v>
      </c>
      <c r="H527" s="2" t="s">
        <v>20</v>
      </c>
      <c r="I527" s="6"/>
      <c r="J527" s="6"/>
      <c r="K527" s="6"/>
    </row>
    <row r="528" spans="1:11" x14ac:dyDescent="0.2">
      <c r="A528" s="7">
        <f>DATE(Configurações!$B$3,12,23)</f>
        <v>46379</v>
      </c>
      <c r="B528" s="2" t="str">
        <f t="shared" si="8"/>
        <v>qua</v>
      </c>
      <c r="C528" s="2" t="str">
        <f>Configurações!$A$23</f>
        <v>CAM 17</v>
      </c>
      <c r="D528" s="2" t="str">
        <f>Configurações!$B$23</f>
        <v>Reserva/Futura 04</v>
      </c>
      <c r="E528" s="2">
        <f>Configurações!$C$23</f>
        <v>0</v>
      </c>
      <c r="F528" s="2" t="s">
        <v>20</v>
      </c>
      <c r="G528" s="2" t="s">
        <v>20</v>
      </c>
      <c r="H528" s="2" t="s">
        <v>20</v>
      </c>
      <c r="I528" s="6"/>
      <c r="J528" s="6"/>
      <c r="K528" s="6"/>
    </row>
    <row r="529" spans="1:11" x14ac:dyDescent="0.2">
      <c r="A529" s="7">
        <f>DATE(Configurações!$B$3,12,23)</f>
        <v>46379</v>
      </c>
      <c r="B529" s="2" t="str">
        <f t="shared" si="8"/>
        <v>qua</v>
      </c>
      <c r="C529" s="2" t="str">
        <f>Configurações!$A$24</f>
        <v>CAM 18</v>
      </c>
      <c r="D529" s="2" t="str">
        <f>Configurações!$B$24</f>
        <v>Reserva/Futura 05</v>
      </c>
      <c r="E529" s="2">
        <f>Configurações!$C$24</f>
        <v>0</v>
      </c>
      <c r="F529" s="2" t="s">
        <v>20</v>
      </c>
      <c r="G529" s="2" t="s">
        <v>20</v>
      </c>
      <c r="H529" s="2" t="s">
        <v>20</v>
      </c>
      <c r="I529" s="6"/>
      <c r="J529" s="6"/>
      <c r="K529" s="6"/>
    </row>
    <row r="530" spans="1:11" x14ac:dyDescent="0.2">
      <c r="A530" s="7">
        <f>DATE(Configurações!$B$3,12,23)</f>
        <v>46379</v>
      </c>
      <c r="B530" s="2" t="str">
        <f t="shared" si="8"/>
        <v>qua</v>
      </c>
      <c r="C530" s="2" t="str">
        <f>Configurações!$A$25</f>
        <v>CAM 19</v>
      </c>
      <c r="D530" s="2" t="str">
        <f>Configurações!$B$25</f>
        <v>Reserva/Futura 06</v>
      </c>
      <c r="E530" s="2">
        <f>Configurações!$C$25</f>
        <v>0</v>
      </c>
      <c r="F530" s="2" t="s">
        <v>20</v>
      </c>
      <c r="G530" s="2" t="s">
        <v>20</v>
      </c>
      <c r="H530" s="2" t="s">
        <v>20</v>
      </c>
      <c r="I530" s="6"/>
      <c r="J530" s="6"/>
      <c r="K530" s="6"/>
    </row>
    <row r="531" spans="1:11" x14ac:dyDescent="0.2">
      <c r="A531" s="7">
        <f>DATE(Configurações!$B$3,12,23)</f>
        <v>46379</v>
      </c>
      <c r="B531" s="2" t="str">
        <f t="shared" si="8"/>
        <v>qua</v>
      </c>
      <c r="C531" s="2" t="str">
        <f>Configurações!$A$26</f>
        <v>CAM 20</v>
      </c>
      <c r="D531" s="2" t="str">
        <f>Configurações!$B$26</f>
        <v>Reserva/Futura 07</v>
      </c>
      <c r="E531" s="2">
        <f>Configurações!$C$26</f>
        <v>0</v>
      </c>
      <c r="F531" s="2" t="s">
        <v>20</v>
      </c>
      <c r="G531" s="2" t="s">
        <v>20</v>
      </c>
      <c r="H531" s="2" t="s">
        <v>20</v>
      </c>
      <c r="I531" s="6"/>
      <c r="J531" s="6"/>
      <c r="K531" s="6"/>
    </row>
    <row r="532" spans="1:11" x14ac:dyDescent="0.2">
      <c r="A532" s="7">
        <f>DATE(Configurações!$B$3,12,23)</f>
        <v>46379</v>
      </c>
      <c r="B532" s="2" t="str">
        <f t="shared" si="8"/>
        <v>qua</v>
      </c>
      <c r="C532" s="2" t="str">
        <f>Configurações!$A$27</f>
        <v>CAM 21</v>
      </c>
      <c r="D532" s="2" t="str">
        <f>Configurações!$B$27</f>
        <v>Reserva/Futura 08</v>
      </c>
      <c r="E532" s="2">
        <f>Configurações!$C$27</f>
        <v>0</v>
      </c>
      <c r="F532" s="2" t="s">
        <v>20</v>
      </c>
      <c r="G532" s="2" t="s">
        <v>20</v>
      </c>
      <c r="H532" s="2" t="s">
        <v>20</v>
      </c>
      <c r="I532" s="6"/>
      <c r="J532" s="6"/>
      <c r="K532" s="6"/>
    </row>
    <row r="533" spans="1:11" x14ac:dyDescent="0.2">
      <c r="A533" s="7">
        <f>DATE(Configurações!$B$3,12,23)</f>
        <v>46379</v>
      </c>
      <c r="B533" s="2" t="str">
        <f t="shared" si="8"/>
        <v>qua</v>
      </c>
      <c r="C533" s="2" t="str">
        <f>Configurações!$A$28</f>
        <v>CAM 22</v>
      </c>
      <c r="D533" s="2" t="str">
        <f>Configurações!$B$28</f>
        <v>Reserva/Futura 09</v>
      </c>
      <c r="E533" s="2">
        <f>Configurações!$C$28</f>
        <v>0</v>
      </c>
      <c r="F533" s="2" t="s">
        <v>20</v>
      </c>
      <c r="G533" s="2" t="s">
        <v>20</v>
      </c>
      <c r="H533" s="2" t="s">
        <v>20</v>
      </c>
      <c r="I533" s="6"/>
      <c r="J533" s="6"/>
      <c r="K533" s="6"/>
    </row>
    <row r="534" spans="1:11" x14ac:dyDescent="0.2">
      <c r="A534" s="7">
        <f>DATE(Configurações!$B$3,12,23)</f>
        <v>46379</v>
      </c>
      <c r="B534" s="2" t="str">
        <f t="shared" si="8"/>
        <v>qua</v>
      </c>
      <c r="C534" s="2" t="str">
        <f>Configurações!$A$29</f>
        <v>CAM 23</v>
      </c>
      <c r="D534" s="2" t="str">
        <f>Configurações!$B$29</f>
        <v>Reserva/Futura 10</v>
      </c>
      <c r="E534" s="2">
        <f>Configurações!$C$29</f>
        <v>0</v>
      </c>
      <c r="F534" s="2" t="s">
        <v>20</v>
      </c>
      <c r="G534" s="2" t="s">
        <v>20</v>
      </c>
      <c r="H534" s="2" t="s">
        <v>20</v>
      </c>
      <c r="I534" s="6"/>
      <c r="J534" s="6"/>
      <c r="K534" s="6"/>
    </row>
    <row r="535" spans="1:11" x14ac:dyDescent="0.2">
      <c r="A535" s="7">
        <f>DATE(Configurações!$B$3,12,24)</f>
        <v>46380</v>
      </c>
      <c r="B535" s="2" t="str">
        <f t="shared" si="8"/>
        <v>qui</v>
      </c>
      <c r="C535" s="2" t="str">
        <f>Configurações!$A$7</f>
        <v>CAM 01</v>
      </c>
      <c r="D535" s="2" t="str">
        <f>Configurações!$B$7</f>
        <v>BARU ANDES</v>
      </c>
      <c r="E535" s="2">
        <f>Configurações!$C$7</f>
        <v>0</v>
      </c>
      <c r="F535" s="2" t="s">
        <v>20</v>
      </c>
      <c r="G535" s="2" t="s">
        <v>20</v>
      </c>
      <c r="H535" s="2" t="s">
        <v>20</v>
      </c>
      <c r="I535" s="6"/>
      <c r="J535" s="6"/>
      <c r="K535" s="6"/>
    </row>
    <row r="536" spans="1:11" x14ac:dyDescent="0.2">
      <c r="A536" s="7">
        <f>DATE(Configurações!$B$3,12,24)</f>
        <v>46380</v>
      </c>
      <c r="B536" s="2" t="str">
        <f t="shared" si="8"/>
        <v>qui</v>
      </c>
      <c r="C536" s="2" t="str">
        <f>Configurações!$A$8</f>
        <v>CAM 02</v>
      </c>
      <c r="D536" s="2" t="str">
        <f>Configurações!$B$8</f>
        <v>Câmera 02</v>
      </c>
      <c r="E536" s="2">
        <f>Configurações!$C$8</f>
        <v>0</v>
      </c>
      <c r="F536" s="2" t="s">
        <v>20</v>
      </c>
      <c r="G536" s="2" t="s">
        <v>20</v>
      </c>
      <c r="H536" s="2" t="s">
        <v>20</v>
      </c>
      <c r="I536" s="6"/>
      <c r="J536" s="6"/>
      <c r="K536" s="6"/>
    </row>
    <row r="537" spans="1:11" x14ac:dyDescent="0.2">
      <c r="A537" s="7">
        <f>DATE(Configurações!$B$3,12,24)</f>
        <v>46380</v>
      </c>
      <c r="B537" s="2" t="str">
        <f t="shared" si="8"/>
        <v>qui</v>
      </c>
      <c r="C537" s="2" t="str">
        <f>Configurações!$A$9</f>
        <v>CAM 03</v>
      </c>
      <c r="D537" s="2" t="str">
        <f>Configurações!$B$9</f>
        <v>Câmera 03</v>
      </c>
      <c r="E537" s="2">
        <f>Configurações!$C$9</f>
        <v>0</v>
      </c>
      <c r="F537" s="2" t="s">
        <v>20</v>
      </c>
      <c r="G537" s="2" t="s">
        <v>20</v>
      </c>
      <c r="H537" s="2" t="s">
        <v>20</v>
      </c>
      <c r="I537" s="6"/>
      <c r="J537" s="6"/>
      <c r="K537" s="6"/>
    </row>
    <row r="538" spans="1:11" x14ac:dyDescent="0.2">
      <c r="A538" s="7">
        <f>DATE(Configurações!$B$3,12,24)</f>
        <v>46380</v>
      </c>
      <c r="B538" s="2" t="str">
        <f t="shared" si="8"/>
        <v>qui</v>
      </c>
      <c r="C538" s="2" t="str">
        <f>Configurações!$A$10</f>
        <v>CAM 04</v>
      </c>
      <c r="D538" s="2" t="str">
        <f>Configurações!$B$10</f>
        <v>Câmera 04</v>
      </c>
      <c r="E538" s="2">
        <f>Configurações!$C$10</f>
        <v>0</v>
      </c>
      <c r="F538" s="2" t="s">
        <v>20</v>
      </c>
      <c r="G538" s="2" t="s">
        <v>20</v>
      </c>
      <c r="H538" s="2" t="s">
        <v>20</v>
      </c>
      <c r="I538" s="6"/>
      <c r="J538" s="6"/>
      <c r="K538" s="6"/>
    </row>
    <row r="539" spans="1:11" x14ac:dyDescent="0.2">
      <c r="A539" s="7">
        <f>DATE(Configurações!$B$3,12,24)</f>
        <v>46380</v>
      </c>
      <c r="B539" s="2" t="str">
        <f t="shared" si="8"/>
        <v>qui</v>
      </c>
      <c r="C539" s="2" t="str">
        <f>Configurações!$A$11</f>
        <v>CAM 05</v>
      </c>
      <c r="D539" s="2" t="str">
        <f>Configurações!$B$11</f>
        <v>Câmera 05</v>
      </c>
      <c r="E539" s="2">
        <f>Configurações!$C$11</f>
        <v>0</v>
      </c>
      <c r="F539" s="2" t="s">
        <v>20</v>
      </c>
      <c r="G539" s="2" t="s">
        <v>20</v>
      </c>
      <c r="H539" s="2" t="s">
        <v>20</v>
      </c>
      <c r="I539" s="6"/>
      <c r="J539" s="6"/>
      <c r="K539" s="6"/>
    </row>
    <row r="540" spans="1:11" x14ac:dyDescent="0.2">
      <c r="A540" s="7">
        <f>DATE(Configurações!$B$3,12,24)</f>
        <v>46380</v>
      </c>
      <c r="B540" s="2" t="str">
        <f t="shared" si="8"/>
        <v>qui</v>
      </c>
      <c r="C540" s="2" t="str">
        <f>Configurações!$A$12</f>
        <v>CAM 06</v>
      </c>
      <c r="D540" s="2" t="str">
        <f>Configurações!$B$12</f>
        <v>Câmera 06</v>
      </c>
      <c r="E540" s="2">
        <f>Configurações!$C$12</f>
        <v>0</v>
      </c>
      <c r="F540" s="2" t="s">
        <v>20</v>
      </c>
      <c r="G540" s="2" t="s">
        <v>20</v>
      </c>
      <c r="H540" s="2" t="s">
        <v>20</v>
      </c>
      <c r="I540" s="6"/>
      <c r="J540" s="6"/>
      <c r="K540" s="6"/>
    </row>
    <row r="541" spans="1:11" x14ac:dyDescent="0.2">
      <c r="A541" s="7">
        <f>DATE(Configurações!$B$3,12,24)</f>
        <v>46380</v>
      </c>
      <c r="B541" s="2" t="str">
        <f t="shared" si="8"/>
        <v>qui</v>
      </c>
      <c r="C541" s="2" t="str">
        <f>Configurações!$A$13</f>
        <v>CAM 07</v>
      </c>
      <c r="D541" s="2" t="str">
        <f>Configurações!$B$13</f>
        <v>Câmera 07</v>
      </c>
      <c r="E541" s="2">
        <f>Configurações!$C$13</f>
        <v>0</v>
      </c>
      <c r="F541" s="2" t="s">
        <v>20</v>
      </c>
      <c r="G541" s="2" t="s">
        <v>20</v>
      </c>
      <c r="H541" s="2" t="s">
        <v>20</v>
      </c>
      <c r="I541" s="6"/>
      <c r="J541" s="6"/>
      <c r="K541" s="6"/>
    </row>
    <row r="542" spans="1:11" x14ac:dyDescent="0.2">
      <c r="A542" s="7">
        <f>DATE(Configurações!$B$3,12,24)</f>
        <v>46380</v>
      </c>
      <c r="B542" s="2" t="str">
        <f t="shared" si="8"/>
        <v>qui</v>
      </c>
      <c r="C542" s="2" t="str">
        <f>Configurações!$A$14</f>
        <v>CAM 08</v>
      </c>
      <c r="D542" s="2" t="str">
        <f>Configurações!$B$14</f>
        <v>Câmera 08</v>
      </c>
      <c r="E542" s="2">
        <f>Configurações!$C$14</f>
        <v>0</v>
      </c>
      <c r="F542" s="2" t="s">
        <v>20</v>
      </c>
      <c r="G542" s="2" t="s">
        <v>20</v>
      </c>
      <c r="H542" s="2" t="s">
        <v>20</v>
      </c>
      <c r="I542" s="6"/>
      <c r="J542" s="6"/>
      <c r="K542" s="6"/>
    </row>
    <row r="543" spans="1:11" x14ac:dyDescent="0.2">
      <c r="A543" s="7">
        <f>DATE(Configurações!$B$3,12,24)</f>
        <v>46380</v>
      </c>
      <c r="B543" s="2" t="str">
        <f t="shared" si="8"/>
        <v>qui</v>
      </c>
      <c r="C543" s="2" t="str">
        <f>Configurações!$A$15</f>
        <v>CAM 09</v>
      </c>
      <c r="D543" s="2" t="str">
        <f>Configurações!$B$15</f>
        <v>Câmera 09</v>
      </c>
      <c r="E543" s="2">
        <f>Configurações!$C$15</f>
        <v>0</v>
      </c>
      <c r="F543" s="2" t="s">
        <v>20</v>
      </c>
      <c r="G543" s="2" t="s">
        <v>20</v>
      </c>
      <c r="H543" s="2" t="s">
        <v>20</v>
      </c>
      <c r="I543" s="6"/>
      <c r="J543" s="6"/>
      <c r="K543" s="6"/>
    </row>
    <row r="544" spans="1:11" x14ac:dyDescent="0.2">
      <c r="A544" s="7">
        <f>DATE(Configurações!$B$3,12,24)</f>
        <v>46380</v>
      </c>
      <c r="B544" s="2" t="str">
        <f t="shared" si="8"/>
        <v>qui</v>
      </c>
      <c r="C544" s="2" t="str">
        <f>Configurações!$A$16</f>
        <v>CAM 10</v>
      </c>
      <c r="D544" s="2" t="str">
        <f>Configurações!$B$16</f>
        <v>Câmera 10</v>
      </c>
      <c r="E544" s="2">
        <f>Configurações!$C$16</f>
        <v>0</v>
      </c>
      <c r="F544" s="2" t="s">
        <v>20</v>
      </c>
      <c r="G544" s="2" t="s">
        <v>20</v>
      </c>
      <c r="H544" s="2" t="s">
        <v>20</v>
      </c>
      <c r="I544" s="6"/>
      <c r="J544" s="6"/>
      <c r="K544" s="6"/>
    </row>
    <row r="545" spans="1:11" x14ac:dyDescent="0.2">
      <c r="A545" s="7">
        <f>DATE(Configurações!$B$3,12,24)</f>
        <v>46380</v>
      </c>
      <c r="B545" s="2" t="str">
        <f t="shared" si="8"/>
        <v>qui</v>
      </c>
      <c r="C545" s="2" t="str">
        <f>Configurações!$A$17</f>
        <v>CAM 11</v>
      </c>
      <c r="D545" s="2" t="str">
        <f>Configurações!$B$17</f>
        <v>Câmera 11</v>
      </c>
      <c r="E545" s="2">
        <f>Configurações!$C$17</f>
        <v>0</v>
      </c>
      <c r="F545" s="2" t="s">
        <v>20</v>
      </c>
      <c r="G545" s="2" t="s">
        <v>20</v>
      </c>
      <c r="H545" s="2" t="s">
        <v>20</v>
      </c>
      <c r="I545" s="6"/>
      <c r="J545" s="6"/>
      <c r="K545" s="6"/>
    </row>
    <row r="546" spans="1:11" x14ac:dyDescent="0.2">
      <c r="A546" s="7">
        <f>DATE(Configurações!$B$3,12,24)</f>
        <v>46380</v>
      </c>
      <c r="B546" s="2" t="str">
        <f t="shared" si="8"/>
        <v>qui</v>
      </c>
      <c r="C546" s="2" t="str">
        <f>Configurações!$A$18</f>
        <v>CAM 12</v>
      </c>
      <c r="D546" s="2" t="str">
        <f>Configurações!$B$18</f>
        <v>Câmera 12</v>
      </c>
      <c r="E546" s="2">
        <f>Configurações!$C$18</f>
        <v>0</v>
      </c>
      <c r="F546" s="2" t="s">
        <v>20</v>
      </c>
      <c r="G546" s="2" t="s">
        <v>20</v>
      </c>
      <c r="H546" s="2" t="s">
        <v>20</v>
      </c>
      <c r="I546" s="6"/>
      <c r="J546" s="6"/>
      <c r="K546" s="6"/>
    </row>
    <row r="547" spans="1:11" x14ac:dyDescent="0.2">
      <c r="A547" s="7">
        <f>DATE(Configurações!$B$3,12,24)</f>
        <v>46380</v>
      </c>
      <c r="B547" s="2" t="str">
        <f t="shared" si="8"/>
        <v>qui</v>
      </c>
      <c r="C547" s="2" t="str">
        <f>Configurações!$A$19</f>
        <v>CAM 13</v>
      </c>
      <c r="D547" s="2" t="str">
        <f>Configurações!$B$19</f>
        <v>Câmera 13</v>
      </c>
      <c r="E547" s="2">
        <f>Configurações!$C$19</f>
        <v>0</v>
      </c>
      <c r="F547" s="2" t="s">
        <v>20</v>
      </c>
      <c r="G547" s="2" t="s">
        <v>20</v>
      </c>
      <c r="H547" s="2" t="s">
        <v>20</v>
      </c>
      <c r="I547" s="6"/>
      <c r="J547" s="6"/>
      <c r="K547" s="6"/>
    </row>
    <row r="548" spans="1:11" x14ac:dyDescent="0.2">
      <c r="A548" s="7">
        <f>DATE(Configurações!$B$3,12,24)</f>
        <v>46380</v>
      </c>
      <c r="B548" s="2" t="str">
        <f t="shared" si="8"/>
        <v>qui</v>
      </c>
      <c r="C548" s="2" t="str">
        <f>Configurações!$A$20</f>
        <v>CAM 14</v>
      </c>
      <c r="D548" s="2" t="str">
        <f>Configurações!$B$20</f>
        <v>Reserva/Futura 01</v>
      </c>
      <c r="E548" s="2">
        <f>Configurações!$C$20</f>
        <v>0</v>
      </c>
      <c r="F548" s="2" t="s">
        <v>20</v>
      </c>
      <c r="G548" s="2" t="s">
        <v>20</v>
      </c>
      <c r="H548" s="2" t="s">
        <v>20</v>
      </c>
      <c r="I548" s="6"/>
      <c r="J548" s="6"/>
      <c r="K548" s="6"/>
    </row>
    <row r="549" spans="1:11" x14ac:dyDescent="0.2">
      <c r="A549" s="7">
        <f>DATE(Configurações!$B$3,12,24)</f>
        <v>46380</v>
      </c>
      <c r="B549" s="2" t="str">
        <f t="shared" si="8"/>
        <v>qui</v>
      </c>
      <c r="C549" s="2" t="str">
        <f>Configurações!$A$21</f>
        <v>CAM 15</v>
      </c>
      <c r="D549" s="2" t="str">
        <f>Configurações!$B$21</f>
        <v>Reserva/Futura 02</v>
      </c>
      <c r="E549" s="2">
        <f>Configurações!$C$21</f>
        <v>0</v>
      </c>
      <c r="F549" s="2" t="s">
        <v>20</v>
      </c>
      <c r="G549" s="2" t="s">
        <v>20</v>
      </c>
      <c r="H549" s="2" t="s">
        <v>20</v>
      </c>
      <c r="I549" s="6"/>
      <c r="J549" s="6"/>
      <c r="K549" s="6"/>
    </row>
    <row r="550" spans="1:11" x14ac:dyDescent="0.2">
      <c r="A550" s="7">
        <f>DATE(Configurações!$B$3,12,24)</f>
        <v>46380</v>
      </c>
      <c r="B550" s="2" t="str">
        <f t="shared" si="8"/>
        <v>qui</v>
      </c>
      <c r="C550" s="2" t="str">
        <f>Configurações!$A$22</f>
        <v>CAM 16</v>
      </c>
      <c r="D550" s="2" t="str">
        <f>Configurações!$B$22</f>
        <v>Reserva/Futura 03</v>
      </c>
      <c r="E550" s="2">
        <f>Configurações!$C$22</f>
        <v>0</v>
      </c>
      <c r="F550" s="2" t="s">
        <v>20</v>
      </c>
      <c r="G550" s="2" t="s">
        <v>20</v>
      </c>
      <c r="H550" s="2" t="s">
        <v>20</v>
      </c>
      <c r="I550" s="6"/>
      <c r="J550" s="6"/>
      <c r="K550" s="6"/>
    </row>
    <row r="551" spans="1:11" x14ac:dyDescent="0.2">
      <c r="A551" s="7">
        <f>DATE(Configurações!$B$3,12,24)</f>
        <v>46380</v>
      </c>
      <c r="B551" s="2" t="str">
        <f t="shared" si="8"/>
        <v>qui</v>
      </c>
      <c r="C551" s="2" t="str">
        <f>Configurações!$A$23</f>
        <v>CAM 17</v>
      </c>
      <c r="D551" s="2" t="str">
        <f>Configurações!$B$23</f>
        <v>Reserva/Futura 04</v>
      </c>
      <c r="E551" s="2">
        <f>Configurações!$C$23</f>
        <v>0</v>
      </c>
      <c r="F551" s="2" t="s">
        <v>20</v>
      </c>
      <c r="G551" s="2" t="s">
        <v>20</v>
      </c>
      <c r="H551" s="2" t="s">
        <v>20</v>
      </c>
      <c r="I551" s="6"/>
      <c r="J551" s="6"/>
      <c r="K551" s="6"/>
    </row>
    <row r="552" spans="1:11" x14ac:dyDescent="0.2">
      <c r="A552" s="7">
        <f>DATE(Configurações!$B$3,12,24)</f>
        <v>46380</v>
      </c>
      <c r="B552" s="2" t="str">
        <f t="shared" si="8"/>
        <v>qui</v>
      </c>
      <c r="C552" s="2" t="str">
        <f>Configurações!$A$24</f>
        <v>CAM 18</v>
      </c>
      <c r="D552" s="2" t="str">
        <f>Configurações!$B$24</f>
        <v>Reserva/Futura 05</v>
      </c>
      <c r="E552" s="2">
        <f>Configurações!$C$24</f>
        <v>0</v>
      </c>
      <c r="F552" s="2" t="s">
        <v>20</v>
      </c>
      <c r="G552" s="2" t="s">
        <v>20</v>
      </c>
      <c r="H552" s="2" t="s">
        <v>20</v>
      </c>
      <c r="I552" s="6"/>
      <c r="J552" s="6"/>
      <c r="K552" s="6"/>
    </row>
    <row r="553" spans="1:11" x14ac:dyDescent="0.2">
      <c r="A553" s="7">
        <f>DATE(Configurações!$B$3,12,24)</f>
        <v>46380</v>
      </c>
      <c r="B553" s="2" t="str">
        <f t="shared" si="8"/>
        <v>qui</v>
      </c>
      <c r="C553" s="2" t="str">
        <f>Configurações!$A$25</f>
        <v>CAM 19</v>
      </c>
      <c r="D553" s="2" t="str">
        <f>Configurações!$B$25</f>
        <v>Reserva/Futura 06</v>
      </c>
      <c r="E553" s="2">
        <f>Configurações!$C$25</f>
        <v>0</v>
      </c>
      <c r="F553" s="2" t="s">
        <v>20</v>
      </c>
      <c r="G553" s="2" t="s">
        <v>20</v>
      </c>
      <c r="H553" s="2" t="s">
        <v>20</v>
      </c>
      <c r="I553" s="6"/>
      <c r="J553" s="6"/>
      <c r="K553" s="6"/>
    </row>
    <row r="554" spans="1:11" x14ac:dyDescent="0.2">
      <c r="A554" s="7">
        <f>DATE(Configurações!$B$3,12,24)</f>
        <v>46380</v>
      </c>
      <c r="B554" s="2" t="str">
        <f t="shared" si="8"/>
        <v>qui</v>
      </c>
      <c r="C554" s="2" t="str">
        <f>Configurações!$A$26</f>
        <v>CAM 20</v>
      </c>
      <c r="D554" s="2" t="str">
        <f>Configurações!$B$26</f>
        <v>Reserva/Futura 07</v>
      </c>
      <c r="E554" s="2">
        <f>Configurações!$C$26</f>
        <v>0</v>
      </c>
      <c r="F554" s="2" t="s">
        <v>20</v>
      </c>
      <c r="G554" s="2" t="s">
        <v>20</v>
      </c>
      <c r="H554" s="2" t="s">
        <v>20</v>
      </c>
      <c r="I554" s="6"/>
      <c r="J554" s="6"/>
      <c r="K554" s="6"/>
    </row>
    <row r="555" spans="1:11" x14ac:dyDescent="0.2">
      <c r="A555" s="7">
        <f>DATE(Configurações!$B$3,12,24)</f>
        <v>46380</v>
      </c>
      <c r="B555" s="2" t="str">
        <f t="shared" si="8"/>
        <v>qui</v>
      </c>
      <c r="C555" s="2" t="str">
        <f>Configurações!$A$27</f>
        <v>CAM 21</v>
      </c>
      <c r="D555" s="2" t="str">
        <f>Configurações!$B$27</f>
        <v>Reserva/Futura 08</v>
      </c>
      <c r="E555" s="2">
        <f>Configurações!$C$27</f>
        <v>0</v>
      </c>
      <c r="F555" s="2" t="s">
        <v>20</v>
      </c>
      <c r="G555" s="2" t="s">
        <v>20</v>
      </c>
      <c r="H555" s="2" t="s">
        <v>20</v>
      </c>
      <c r="I555" s="6"/>
      <c r="J555" s="6"/>
      <c r="K555" s="6"/>
    </row>
    <row r="556" spans="1:11" x14ac:dyDescent="0.2">
      <c r="A556" s="7">
        <f>DATE(Configurações!$B$3,12,24)</f>
        <v>46380</v>
      </c>
      <c r="B556" s="2" t="str">
        <f t="shared" si="8"/>
        <v>qui</v>
      </c>
      <c r="C556" s="2" t="str">
        <f>Configurações!$A$28</f>
        <v>CAM 22</v>
      </c>
      <c r="D556" s="2" t="str">
        <f>Configurações!$B$28</f>
        <v>Reserva/Futura 09</v>
      </c>
      <c r="E556" s="2">
        <f>Configurações!$C$28</f>
        <v>0</v>
      </c>
      <c r="F556" s="2" t="s">
        <v>20</v>
      </c>
      <c r="G556" s="2" t="s">
        <v>20</v>
      </c>
      <c r="H556" s="2" t="s">
        <v>20</v>
      </c>
      <c r="I556" s="6"/>
      <c r="J556" s="6"/>
      <c r="K556" s="6"/>
    </row>
    <row r="557" spans="1:11" x14ac:dyDescent="0.2">
      <c r="A557" s="7">
        <f>DATE(Configurações!$B$3,12,24)</f>
        <v>46380</v>
      </c>
      <c r="B557" s="2" t="str">
        <f t="shared" si="8"/>
        <v>qui</v>
      </c>
      <c r="C557" s="2" t="str">
        <f>Configurações!$A$29</f>
        <v>CAM 23</v>
      </c>
      <c r="D557" s="2" t="str">
        <f>Configurações!$B$29</f>
        <v>Reserva/Futura 10</v>
      </c>
      <c r="E557" s="2">
        <f>Configurações!$C$29</f>
        <v>0</v>
      </c>
      <c r="F557" s="2" t="s">
        <v>20</v>
      </c>
      <c r="G557" s="2" t="s">
        <v>20</v>
      </c>
      <c r="H557" s="2" t="s">
        <v>20</v>
      </c>
      <c r="I557" s="6"/>
      <c r="J557" s="6"/>
      <c r="K557" s="6"/>
    </row>
    <row r="558" spans="1:11" x14ac:dyDescent="0.2">
      <c r="A558" s="7">
        <f>DATE(Configurações!$B$3,12,25)</f>
        <v>46381</v>
      </c>
      <c r="B558" s="2" t="str">
        <f t="shared" si="8"/>
        <v>sex</v>
      </c>
      <c r="C558" s="2" t="str">
        <f>Configurações!$A$7</f>
        <v>CAM 01</v>
      </c>
      <c r="D558" s="2" t="str">
        <f>Configurações!$B$7</f>
        <v>BARU ANDES</v>
      </c>
      <c r="E558" s="2">
        <f>Configurações!$C$7</f>
        <v>0</v>
      </c>
      <c r="F558" s="2" t="s">
        <v>20</v>
      </c>
      <c r="G558" s="2" t="s">
        <v>20</v>
      </c>
      <c r="H558" s="2" t="s">
        <v>20</v>
      </c>
      <c r="I558" s="6"/>
      <c r="J558" s="6"/>
      <c r="K558" s="6"/>
    </row>
    <row r="559" spans="1:11" x14ac:dyDescent="0.2">
      <c r="A559" s="7">
        <f>DATE(Configurações!$B$3,12,25)</f>
        <v>46381</v>
      </c>
      <c r="B559" s="2" t="str">
        <f t="shared" si="8"/>
        <v>sex</v>
      </c>
      <c r="C559" s="2" t="str">
        <f>Configurações!$A$8</f>
        <v>CAM 02</v>
      </c>
      <c r="D559" s="2" t="str">
        <f>Configurações!$B$8</f>
        <v>Câmera 02</v>
      </c>
      <c r="E559" s="2">
        <f>Configurações!$C$8</f>
        <v>0</v>
      </c>
      <c r="F559" s="2" t="s">
        <v>20</v>
      </c>
      <c r="G559" s="2" t="s">
        <v>20</v>
      </c>
      <c r="H559" s="2" t="s">
        <v>20</v>
      </c>
      <c r="I559" s="6"/>
      <c r="J559" s="6"/>
      <c r="K559" s="6"/>
    </row>
    <row r="560" spans="1:11" x14ac:dyDescent="0.2">
      <c r="A560" s="7">
        <f>DATE(Configurações!$B$3,12,25)</f>
        <v>46381</v>
      </c>
      <c r="B560" s="2" t="str">
        <f t="shared" si="8"/>
        <v>sex</v>
      </c>
      <c r="C560" s="2" t="str">
        <f>Configurações!$A$9</f>
        <v>CAM 03</v>
      </c>
      <c r="D560" s="2" t="str">
        <f>Configurações!$B$9</f>
        <v>Câmera 03</v>
      </c>
      <c r="E560" s="2">
        <f>Configurações!$C$9</f>
        <v>0</v>
      </c>
      <c r="F560" s="2" t="s">
        <v>20</v>
      </c>
      <c r="G560" s="2" t="s">
        <v>20</v>
      </c>
      <c r="H560" s="2" t="s">
        <v>20</v>
      </c>
      <c r="I560" s="6"/>
      <c r="J560" s="6"/>
      <c r="K560" s="6"/>
    </row>
    <row r="561" spans="1:11" x14ac:dyDescent="0.2">
      <c r="A561" s="7">
        <f>DATE(Configurações!$B$3,12,25)</f>
        <v>46381</v>
      </c>
      <c r="B561" s="2" t="str">
        <f t="shared" si="8"/>
        <v>sex</v>
      </c>
      <c r="C561" s="2" t="str">
        <f>Configurações!$A$10</f>
        <v>CAM 04</v>
      </c>
      <c r="D561" s="2" t="str">
        <f>Configurações!$B$10</f>
        <v>Câmera 04</v>
      </c>
      <c r="E561" s="2">
        <f>Configurações!$C$10</f>
        <v>0</v>
      </c>
      <c r="F561" s="2" t="s">
        <v>20</v>
      </c>
      <c r="G561" s="2" t="s">
        <v>20</v>
      </c>
      <c r="H561" s="2" t="s">
        <v>20</v>
      </c>
      <c r="I561" s="6"/>
      <c r="J561" s="6"/>
      <c r="K561" s="6"/>
    </row>
    <row r="562" spans="1:11" x14ac:dyDescent="0.2">
      <c r="A562" s="7">
        <f>DATE(Configurações!$B$3,12,25)</f>
        <v>46381</v>
      </c>
      <c r="B562" s="2" t="str">
        <f t="shared" si="8"/>
        <v>sex</v>
      </c>
      <c r="C562" s="2" t="str">
        <f>Configurações!$A$11</f>
        <v>CAM 05</v>
      </c>
      <c r="D562" s="2" t="str">
        <f>Configurações!$B$11</f>
        <v>Câmera 05</v>
      </c>
      <c r="E562" s="2">
        <f>Configurações!$C$11</f>
        <v>0</v>
      </c>
      <c r="F562" s="2" t="s">
        <v>20</v>
      </c>
      <c r="G562" s="2" t="s">
        <v>20</v>
      </c>
      <c r="H562" s="2" t="s">
        <v>20</v>
      </c>
      <c r="I562" s="6"/>
      <c r="J562" s="6"/>
      <c r="K562" s="6"/>
    </row>
    <row r="563" spans="1:11" x14ac:dyDescent="0.2">
      <c r="A563" s="7">
        <f>DATE(Configurações!$B$3,12,25)</f>
        <v>46381</v>
      </c>
      <c r="B563" s="2" t="str">
        <f t="shared" si="8"/>
        <v>sex</v>
      </c>
      <c r="C563" s="2" t="str">
        <f>Configurações!$A$12</f>
        <v>CAM 06</v>
      </c>
      <c r="D563" s="2" t="str">
        <f>Configurações!$B$12</f>
        <v>Câmera 06</v>
      </c>
      <c r="E563" s="2">
        <f>Configurações!$C$12</f>
        <v>0</v>
      </c>
      <c r="F563" s="2" t="s">
        <v>20</v>
      </c>
      <c r="G563" s="2" t="s">
        <v>20</v>
      </c>
      <c r="H563" s="2" t="s">
        <v>20</v>
      </c>
      <c r="I563" s="6"/>
      <c r="J563" s="6"/>
      <c r="K563" s="6"/>
    </row>
    <row r="564" spans="1:11" x14ac:dyDescent="0.2">
      <c r="A564" s="7">
        <f>DATE(Configurações!$B$3,12,25)</f>
        <v>46381</v>
      </c>
      <c r="B564" s="2" t="str">
        <f t="shared" si="8"/>
        <v>sex</v>
      </c>
      <c r="C564" s="2" t="str">
        <f>Configurações!$A$13</f>
        <v>CAM 07</v>
      </c>
      <c r="D564" s="2" t="str">
        <f>Configurações!$B$13</f>
        <v>Câmera 07</v>
      </c>
      <c r="E564" s="2">
        <f>Configurações!$C$13</f>
        <v>0</v>
      </c>
      <c r="F564" s="2" t="s">
        <v>20</v>
      </c>
      <c r="G564" s="2" t="s">
        <v>20</v>
      </c>
      <c r="H564" s="2" t="s">
        <v>20</v>
      </c>
      <c r="I564" s="6"/>
      <c r="J564" s="6"/>
      <c r="K564" s="6"/>
    </row>
    <row r="565" spans="1:11" x14ac:dyDescent="0.2">
      <c r="A565" s="7">
        <f>DATE(Configurações!$B$3,12,25)</f>
        <v>46381</v>
      </c>
      <c r="B565" s="2" t="str">
        <f t="shared" si="8"/>
        <v>sex</v>
      </c>
      <c r="C565" s="2" t="str">
        <f>Configurações!$A$14</f>
        <v>CAM 08</v>
      </c>
      <c r="D565" s="2" t="str">
        <f>Configurações!$B$14</f>
        <v>Câmera 08</v>
      </c>
      <c r="E565" s="2">
        <f>Configurações!$C$14</f>
        <v>0</v>
      </c>
      <c r="F565" s="2" t="s">
        <v>20</v>
      </c>
      <c r="G565" s="2" t="s">
        <v>20</v>
      </c>
      <c r="H565" s="2" t="s">
        <v>20</v>
      </c>
      <c r="I565" s="6"/>
      <c r="J565" s="6"/>
      <c r="K565" s="6"/>
    </row>
    <row r="566" spans="1:11" x14ac:dyDescent="0.2">
      <c r="A566" s="7">
        <f>DATE(Configurações!$B$3,12,25)</f>
        <v>46381</v>
      </c>
      <c r="B566" s="2" t="str">
        <f t="shared" si="8"/>
        <v>sex</v>
      </c>
      <c r="C566" s="2" t="str">
        <f>Configurações!$A$15</f>
        <v>CAM 09</v>
      </c>
      <c r="D566" s="2" t="str">
        <f>Configurações!$B$15</f>
        <v>Câmera 09</v>
      </c>
      <c r="E566" s="2">
        <f>Configurações!$C$15</f>
        <v>0</v>
      </c>
      <c r="F566" s="2" t="s">
        <v>20</v>
      </c>
      <c r="G566" s="2" t="s">
        <v>20</v>
      </c>
      <c r="H566" s="2" t="s">
        <v>20</v>
      </c>
      <c r="I566" s="6"/>
      <c r="J566" s="6"/>
      <c r="K566" s="6"/>
    </row>
    <row r="567" spans="1:11" x14ac:dyDescent="0.2">
      <c r="A567" s="7">
        <f>DATE(Configurações!$B$3,12,25)</f>
        <v>46381</v>
      </c>
      <c r="B567" s="2" t="str">
        <f t="shared" si="8"/>
        <v>sex</v>
      </c>
      <c r="C567" s="2" t="str">
        <f>Configurações!$A$16</f>
        <v>CAM 10</v>
      </c>
      <c r="D567" s="2" t="str">
        <f>Configurações!$B$16</f>
        <v>Câmera 10</v>
      </c>
      <c r="E567" s="2">
        <f>Configurações!$C$16</f>
        <v>0</v>
      </c>
      <c r="F567" s="2" t="s">
        <v>20</v>
      </c>
      <c r="G567" s="2" t="s">
        <v>20</v>
      </c>
      <c r="H567" s="2" t="s">
        <v>20</v>
      </c>
      <c r="I567" s="6"/>
      <c r="J567" s="6"/>
      <c r="K567" s="6"/>
    </row>
    <row r="568" spans="1:11" x14ac:dyDescent="0.2">
      <c r="A568" s="7">
        <f>DATE(Configurações!$B$3,12,25)</f>
        <v>46381</v>
      </c>
      <c r="B568" s="2" t="str">
        <f t="shared" si="8"/>
        <v>sex</v>
      </c>
      <c r="C568" s="2" t="str">
        <f>Configurações!$A$17</f>
        <v>CAM 11</v>
      </c>
      <c r="D568" s="2" t="str">
        <f>Configurações!$B$17</f>
        <v>Câmera 11</v>
      </c>
      <c r="E568" s="2">
        <f>Configurações!$C$17</f>
        <v>0</v>
      </c>
      <c r="F568" s="2" t="s">
        <v>20</v>
      </c>
      <c r="G568" s="2" t="s">
        <v>20</v>
      </c>
      <c r="H568" s="2" t="s">
        <v>20</v>
      </c>
      <c r="I568" s="6"/>
      <c r="J568" s="6"/>
      <c r="K568" s="6"/>
    </row>
    <row r="569" spans="1:11" x14ac:dyDescent="0.2">
      <c r="A569" s="7">
        <f>DATE(Configurações!$B$3,12,25)</f>
        <v>46381</v>
      </c>
      <c r="B569" s="2" t="str">
        <f t="shared" si="8"/>
        <v>sex</v>
      </c>
      <c r="C569" s="2" t="str">
        <f>Configurações!$A$18</f>
        <v>CAM 12</v>
      </c>
      <c r="D569" s="2" t="str">
        <f>Configurações!$B$18</f>
        <v>Câmera 12</v>
      </c>
      <c r="E569" s="2">
        <f>Configurações!$C$18</f>
        <v>0</v>
      </c>
      <c r="F569" s="2" t="s">
        <v>20</v>
      </c>
      <c r="G569" s="2" t="s">
        <v>20</v>
      </c>
      <c r="H569" s="2" t="s">
        <v>20</v>
      </c>
      <c r="I569" s="6"/>
      <c r="J569" s="6"/>
      <c r="K569" s="6"/>
    </row>
    <row r="570" spans="1:11" x14ac:dyDescent="0.2">
      <c r="A570" s="7">
        <f>DATE(Configurações!$B$3,12,25)</f>
        <v>46381</v>
      </c>
      <c r="B570" s="2" t="str">
        <f t="shared" si="8"/>
        <v>sex</v>
      </c>
      <c r="C570" s="2" t="str">
        <f>Configurações!$A$19</f>
        <v>CAM 13</v>
      </c>
      <c r="D570" s="2" t="str">
        <f>Configurações!$B$19</f>
        <v>Câmera 13</v>
      </c>
      <c r="E570" s="2">
        <f>Configurações!$C$19</f>
        <v>0</v>
      </c>
      <c r="F570" s="2" t="s">
        <v>20</v>
      </c>
      <c r="G570" s="2" t="s">
        <v>20</v>
      </c>
      <c r="H570" s="2" t="s">
        <v>20</v>
      </c>
      <c r="I570" s="6"/>
      <c r="J570" s="6"/>
      <c r="K570" s="6"/>
    </row>
    <row r="571" spans="1:11" x14ac:dyDescent="0.2">
      <c r="A571" s="7">
        <f>DATE(Configurações!$B$3,12,25)</f>
        <v>46381</v>
      </c>
      <c r="B571" s="2" t="str">
        <f t="shared" si="8"/>
        <v>sex</v>
      </c>
      <c r="C571" s="2" t="str">
        <f>Configurações!$A$20</f>
        <v>CAM 14</v>
      </c>
      <c r="D571" s="2" t="str">
        <f>Configurações!$B$20</f>
        <v>Reserva/Futura 01</v>
      </c>
      <c r="E571" s="2">
        <f>Configurações!$C$20</f>
        <v>0</v>
      </c>
      <c r="F571" s="2" t="s">
        <v>20</v>
      </c>
      <c r="G571" s="2" t="s">
        <v>20</v>
      </c>
      <c r="H571" s="2" t="s">
        <v>20</v>
      </c>
      <c r="I571" s="6"/>
      <c r="J571" s="6"/>
      <c r="K571" s="6"/>
    </row>
    <row r="572" spans="1:11" x14ac:dyDescent="0.2">
      <c r="A572" s="7">
        <f>DATE(Configurações!$B$3,12,25)</f>
        <v>46381</v>
      </c>
      <c r="B572" s="2" t="str">
        <f t="shared" si="8"/>
        <v>sex</v>
      </c>
      <c r="C572" s="2" t="str">
        <f>Configurações!$A$21</f>
        <v>CAM 15</v>
      </c>
      <c r="D572" s="2" t="str">
        <f>Configurações!$B$21</f>
        <v>Reserva/Futura 02</v>
      </c>
      <c r="E572" s="2">
        <f>Configurações!$C$21</f>
        <v>0</v>
      </c>
      <c r="F572" s="2" t="s">
        <v>20</v>
      </c>
      <c r="G572" s="2" t="s">
        <v>20</v>
      </c>
      <c r="H572" s="2" t="s">
        <v>20</v>
      </c>
      <c r="I572" s="6"/>
      <c r="J572" s="6"/>
      <c r="K572" s="6"/>
    </row>
    <row r="573" spans="1:11" x14ac:dyDescent="0.2">
      <c r="A573" s="7">
        <f>DATE(Configurações!$B$3,12,25)</f>
        <v>46381</v>
      </c>
      <c r="B573" s="2" t="str">
        <f t="shared" si="8"/>
        <v>sex</v>
      </c>
      <c r="C573" s="2" t="str">
        <f>Configurações!$A$22</f>
        <v>CAM 16</v>
      </c>
      <c r="D573" s="2" t="str">
        <f>Configurações!$B$22</f>
        <v>Reserva/Futura 03</v>
      </c>
      <c r="E573" s="2">
        <f>Configurações!$C$22</f>
        <v>0</v>
      </c>
      <c r="F573" s="2" t="s">
        <v>20</v>
      </c>
      <c r="G573" s="2" t="s">
        <v>20</v>
      </c>
      <c r="H573" s="2" t="s">
        <v>20</v>
      </c>
      <c r="I573" s="6"/>
      <c r="J573" s="6"/>
      <c r="K573" s="6"/>
    </row>
    <row r="574" spans="1:11" x14ac:dyDescent="0.2">
      <c r="A574" s="7">
        <f>DATE(Configurações!$B$3,12,25)</f>
        <v>46381</v>
      </c>
      <c r="B574" s="2" t="str">
        <f t="shared" si="8"/>
        <v>sex</v>
      </c>
      <c r="C574" s="2" t="str">
        <f>Configurações!$A$23</f>
        <v>CAM 17</v>
      </c>
      <c r="D574" s="2" t="str">
        <f>Configurações!$B$23</f>
        <v>Reserva/Futura 04</v>
      </c>
      <c r="E574" s="2">
        <f>Configurações!$C$23</f>
        <v>0</v>
      </c>
      <c r="F574" s="2" t="s">
        <v>20</v>
      </c>
      <c r="G574" s="2" t="s">
        <v>20</v>
      </c>
      <c r="H574" s="2" t="s">
        <v>20</v>
      </c>
      <c r="I574" s="6"/>
      <c r="J574" s="6"/>
      <c r="K574" s="6"/>
    </row>
    <row r="575" spans="1:11" x14ac:dyDescent="0.2">
      <c r="A575" s="7">
        <f>DATE(Configurações!$B$3,12,25)</f>
        <v>46381</v>
      </c>
      <c r="B575" s="2" t="str">
        <f t="shared" si="8"/>
        <v>sex</v>
      </c>
      <c r="C575" s="2" t="str">
        <f>Configurações!$A$24</f>
        <v>CAM 18</v>
      </c>
      <c r="D575" s="2" t="str">
        <f>Configurações!$B$24</f>
        <v>Reserva/Futura 05</v>
      </c>
      <c r="E575" s="2">
        <f>Configurações!$C$24</f>
        <v>0</v>
      </c>
      <c r="F575" s="2" t="s">
        <v>20</v>
      </c>
      <c r="G575" s="2" t="s">
        <v>20</v>
      </c>
      <c r="H575" s="2" t="s">
        <v>20</v>
      </c>
      <c r="I575" s="6"/>
      <c r="J575" s="6"/>
      <c r="K575" s="6"/>
    </row>
    <row r="576" spans="1:11" x14ac:dyDescent="0.2">
      <c r="A576" s="7">
        <f>DATE(Configurações!$B$3,12,25)</f>
        <v>46381</v>
      </c>
      <c r="B576" s="2" t="str">
        <f t="shared" si="8"/>
        <v>sex</v>
      </c>
      <c r="C576" s="2" t="str">
        <f>Configurações!$A$25</f>
        <v>CAM 19</v>
      </c>
      <c r="D576" s="2" t="str">
        <f>Configurações!$B$25</f>
        <v>Reserva/Futura 06</v>
      </c>
      <c r="E576" s="2">
        <f>Configurações!$C$25</f>
        <v>0</v>
      </c>
      <c r="F576" s="2" t="s">
        <v>20</v>
      </c>
      <c r="G576" s="2" t="s">
        <v>20</v>
      </c>
      <c r="H576" s="2" t="s">
        <v>20</v>
      </c>
      <c r="I576" s="6"/>
      <c r="J576" s="6"/>
      <c r="K576" s="6"/>
    </row>
    <row r="577" spans="1:11" x14ac:dyDescent="0.2">
      <c r="A577" s="7">
        <f>DATE(Configurações!$B$3,12,25)</f>
        <v>46381</v>
      </c>
      <c r="B577" s="2" t="str">
        <f t="shared" si="8"/>
        <v>sex</v>
      </c>
      <c r="C577" s="2" t="str">
        <f>Configurações!$A$26</f>
        <v>CAM 20</v>
      </c>
      <c r="D577" s="2" t="str">
        <f>Configurações!$B$26</f>
        <v>Reserva/Futura 07</v>
      </c>
      <c r="E577" s="2">
        <f>Configurações!$C$26</f>
        <v>0</v>
      </c>
      <c r="F577" s="2" t="s">
        <v>20</v>
      </c>
      <c r="G577" s="2" t="s">
        <v>20</v>
      </c>
      <c r="H577" s="2" t="s">
        <v>20</v>
      </c>
      <c r="I577" s="6"/>
      <c r="J577" s="6"/>
      <c r="K577" s="6"/>
    </row>
    <row r="578" spans="1:11" x14ac:dyDescent="0.2">
      <c r="A578" s="7">
        <f>DATE(Configurações!$B$3,12,25)</f>
        <v>46381</v>
      </c>
      <c r="B578" s="2" t="str">
        <f t="shared" si="8"/>
        <v>sex</v>
      </c>
      <c r="C578" s="2" t="str">
        <f>Configurações!$A$27</f>
        <v>CAM 21</v>
      </c>
      <c r="D578" s="2" t="str">
        <f>Configurações!$B$27</f>
        <v>Reserva/Futura 08</v>
      </c>
      <c r="E578" s="2">
        <f>Configurações!$C$27</f>
        <v>0</v>
      </c>
      <c r="F578" s="2" t="s">
        <v>20</v>
      </c>
      <c r="G578" s="2" t="s">
        <v>20</v>
      </c>
      <c r="H578" s="2" t="s">
        <v>20</v>
      </c>
      <c r="I578" s="6"/>
      <c r="J578" s="6"/>
      <c r="K578" s="6"/>
    </row>
    <row r="579" spans="1:11" x14ac:dyDescent="0.2">
      <c r="A579" s="7">
        <f>DATE(Configurações!$B$3,12,25)</f>
        <v>46381</v>
      </c>
      <c r="B579" s="2" t="str">
        <f t="shared" si="8"/>
        <v>sex</v>
      </c>
      <c r="C579" s="2" t="str">
        <f>Configurações!$A$28</f>
        <v>CAM 22</v>
      </c>
      <c r="D579" s="2" t="str">
        <f>Configurações!$B$28</f>
        <v>Reserva/Futura 09</v>
      </c>
      <c r="E579" s="2">
        <f>Configurações!$C$28</f>
        <v>0</v>
      </c>
      <c r="F579" s="2" t="s">
        <v>20</v>
      </c>
      <c r="G579" s="2" t="s">
        <v>20</v>
      </c>
      <c r="H579" s="2" t="s">
        <v>20</v>
      </c>
      <c r="I579" s="6"/>
      <c r="J579" s="6"/>
      <c r="K579" s="6"/>
    </row>
    <row r="580" spans="1:11" x14ac:dyDescent="0.2">
      <c r="A580" s="7">
        <f>DATE(Configurações!$B$3,12,25)</f>
        <v>46381</v>
      </c>
      <c r="B580" s="2" t="str">
        <f t="shared" si="8"/>
        <v>sex</v>
      </c>
      <c r="C580" s="2" t="str">
        <f>Configurações!$A$29</f>
        <v>CAM 23</v>
      </c>
      <c r="D580" s="2" t="str">
        <f>Configurações!$B$29</f>
        <v>Reserva/Futura 10</v>
      </c>
      <c r="E580" s="2">
        <f>Configurações!$C$29</f>
        <v>0</v>
      </c>
      <c r="F580" s="2" t="s">
        <v>20</v>
      </c>
      <c r="G580" s="2" t="s">
        <v>20</v>
      </c>
      <c r="H580" s="2" t="s">
        <v>20</v>
      </c>
      <c r="I580" s="6"/>
      <c r="J580" s="6"/>
      <c r="K580" s="6"/>
    </row>
    <row r="581" spans="1:11" x14ac:dyDescent="0.2">
      <c r="A581" s="7">
        <f>DATE(Configurações!$B$3,12,26)</f>
        <v>46382</v>
      </c>
      <c r="B581" s="2" t="str">
        <f t="shared" si="8"/>
        <v>sáb</v>
      </c>
      <c r="C581" s="2" t="str">
        <f>Configurações!$A$7</f>
        <v>CAM 01</v>
      </c>
      <c r="D581" s="2" t="str">
        <f>Configurações!$B$7</f>
        <v>BARU ANDES</v>
      </c>
      <c r="E581" s="2">
        <f>Configurações!$C$7</f>
        <v>0</v>
      </c>
      <c r="F581" s="2" t="s">
        <v>20</v>
      </c>
      <c r="G581" s="2" t="s">
        <v>20</v>
      </c>
      <c r="H581" s="2" t="s">
        <v>20</v>
      </c>
      <c r="I581" s="6"/>
      <c r="J581" s="6"/>
      <c r="K581" s="6"/>
    </row>
    <row r="582" spans="1:11" x14ac:dyDescent="0.2">
      <c r="A582" s="7">
        <f>DATE(Configurações!$B$3,12,26)</f>
        <v>46382</v>
      </c>
      <c r="B582" s="2" t="str">
        <f t="shared" ref="B582:B645" si="9">TEXT(A582,"ddd")</f>
        <v>sáb</v>
      </c>
      <c r="C582" s="2" t="str">
        <f>Configurações!$A$8</f>
        <v>CAM 02</v>
      </c>
      <c r="D582" s="2" t="str">
        <f>Configurações!$B$8</f>
        <v>Câmera 02</v>
      </c>
      <c r="E582" s="2">
        <f>Configurações!$C$8</f>
        <v>0</v>
      </c>
      <c r="F582" s="2" t="s">
        <v>20</v>
      </c>
      <c r="G582" s="2" t="s">
        <v>20</v>
      </c>
      <c r="H582" s="2" t="s">
        <v>20</v>
      </c>
      <c r="I582" s="6"/>
      <c r="J582" s="6"/>
      <c r="K582" s="6"/>
    </row>
    <row r="583" spans="1:11" x14ac:dyDescent="0.2">
      <c r="A583" s="7">
        <f>DATE(Configurações!$B$3,12,26)</f>
        <v>46382</v>
      </c>
      <c r="B583" s="2" t="str">
        <f t="shared" si="9"/>
        <v>sáb</v>
      </c>
      <c r="C583" s="2" t="str">
        <f>Configurações!$A$9</f>
        <v>CAM 03</v>
      </c>
      <c r="D583" s="2" t="str">
        <f>Configurações!$B$9</f>
        <v>Câmera 03</v>
      </c>
      <c r="E583" s="2">
        <f>Configurações!$C$9</f>
        <v>0</v>
      </c>
      <c r="F583" s="2" t="s">
        <v>20</v>
      </c>
      <c r="G583" s="2" t="s">
        <v>20</v>
      </c>
      <c r="H583" s="2" t="s">
        <v>20</v>
      </c>
      <c r="I583" s="6"/>
      <c r="J583" s="6"/>
      <c r="K583" s="6"/>
    </row>
    <row r="584" spans="1:11" x14ac:dyDescent="0.2">
      <c r="A584" s="7">
        <f>DATE(Configurações!$B$3,12,26)</f>
        <v>46382</v>
      </c>
      <c r="B584" s="2" t="str">
        <f t="shared" si="9"/>
        <v>sáb</v>
      </c>
      <c r="C584" s="2" t="str">
        <f>Configurações!$A$10</f>
        <v>CAM 04</v>
      </c>
      <c r="D584" s="2" t="str">
        <f>Configurações!$B$10</f>
        <v>Câmera 04</v>
      </c>
      <c r="E584" s="2">
        <f>Configurações!$C$10</f>
        <v>0</v>
      </c>
      <c r="F584" s="2" t="s">
        <v>20</v>
      </c>
      <c r="G584" s="2" t="s">
        <v>20</v>
      </c>
      <c r="H584" s="2" t="s">
        <v>20</v>
      </c>
      <c r="I584" s="6"/>
      <c r="J584" s="6"/>
      <c r="K584" s="6"/>
    </row>
    <row r="585" spans="1:11" x14ac:dyDescent="0.2">
      <c r="A585" s="7">
        <f>DATE(Configurações!$B$3,12,26)</f>
        <v>46382</v>
      </c>
      <c r="B585" s="2" t="str">
        <f t="shared" si="9"/>
        <v>sáb</v>
      </c>
      <c r="C585" s="2" t="str">
        <f>Configurações!$A$11</f>
        <v>CAM 05</v>
      </c>
      <c r="D585" s="2" t="str">
        <f>Configurações!$B$11</f>
        <v>Câmera 05</v>
      </c>
      <c r="E585" s="2">
        <f>Configurações!$C$11</f>
        <v>0</v>
      </c>
      <c r="F585" s="2" t="s">
        <v>20</v>
      </c>
      <c r="G585" s="2" t="s">
        <v>20</v>
      </c>
      <c r="H585" s="2" t="s">
        <v>20</v>
      </c>
      <c r="I585" s="6"/>
      <c r="J585" s="6"/>
      <c r="K585" s="6"/>
    </row>
    <row r="586" spans="1:11" x14ac:dyDescent="0.2">
      <c r="A586" s="7">
        <f>DATE(Configurações!$B$3,12,26)</f>
        <v>46382</v>
      </c>
      <c r="B586" s="2" t="str">
        <f t="shared" si="9"/>
        <v>sáb</v>
      </c>
      <c r="C586" s="2" t="str">
        <f>Configurações!$A$12</f>
        <v>CAM 06</v>
      </c>
      <c r="D586" s="2" t="str">
        <f>Configurações!$B$12</f>
        <v>Câmera 06</v>
      </c>
      <c r="E586" s="2">
        <f>Configurações!$C$12</f>
        <v>0</v>
      </c>
      <c r="F586" s="2" t="s">
        <v>20</v>
      </c>
      <c r="G586" s="2" t="s">
        <v>20</v>
      </c>
      <c r="H586" s="2" t="s">
        <v>20</v>
      </c>
      <c r="I586" s="6"/>
      <c r="J586" s="6"/>
      <c r="K586" s="6"/>
    </row>
    <row r="587" spans="1:11" x14ac:dyDescent="0.2">
      <c r="A587" s="7">
        <f>DATE(Configurações!$B$3,12,26)</f>
        <v>46382</v>
      </c>
      <c r="B587" s="2" t="str">
        <f t="shared" si="9"/>
        <v>sáb</v>
      </c>
      <c r="C587" s="2" t="str">
        <f>Configurações!$A$13</f>
        <v>CAM 07</v>
      </c>
      <c r="D587" s="2" t="str">
        <f>Configurações!$B$13</f>
        <v>Câmera 07</v>
      </c>
      <c r="E587" s="2">
        <f>Configurações!$C$13</f>
        <v>0</v>
      </c>
      <c r="F587" s="2" t="s">
        <v>20</v>
      </c>
      <c r="G587" s="2" t="s">
        <v>20</v>
      </c>
      <c r="H587" s="2" t="s">
        <v>20</v>
      </c>
      <c r="I587" s="6"/>
      <c r="J587" s="6"/>
      <c r="K587" s="6"/>
    </row>
    <row r="588" spans="1:11" x14ac:dyDescent="0.2">
      <c r="A588" s="7">
        <f>DATE(Configurações!$B$3,12,26)</f>
        <v>46382</v>
      </c>
      <c r="B588" s="2" t="str">
        <f t="shared" si="9"/>
        <v>sáb</v>
      </c>
      <c r="C588" s="2" t="str">
        <f>Configurações!$A$14</f>
        <v>CAM 08</v>
      </c>
      <c r="D588" s="2" t="str">
        <f>Configurações!$B$14</f>
        <v>Câmera 08</v>
      </c>
      <c r="E588" s="2">
        <f>Configurações!$C$14</f>
        <v>0</v>
      </c>
      <c r="F588" s="2" t="s">
        <v>20</v>
      </c>
      <c r="G588" s="2" t="s">
        <v>20</v>
      </c>
      <c r="H588" s="2" t="s">
        <v>20</v>
      </c>
      <c r="I588" s="6"/>
      <c r="J588" s="6"/>
      <c r="K588" s="6"/>
    </row>
    <row r="589" spans="1:11" x14ac:dyDescent="0.2">
      <c r="A589" s="7">
        <f>DATE(Configurações!$B$3,12,26)</f>
        <v>46382</v>
      </c>
      <c r="B589" s="2" t="str">
        <f t="shared" si="9"/>
        <v>sáb</v>
      </c>
      <c r="C589" s="2" t="str">
        <f>Configurações!$A$15</f>
        <v>CAM 09</v>
      </c>
      <c r="D589" s="2" t="str">
        <f>Configurações!$B$15</f>
        <v>Câmera 09</v>
      </c>
      <c r="E589" s="2">
        <f>Configurações!$C$15</f>
        <v>0</v>
      </c>
      <c r="F589" s="2" t="s">
        <v>20</v>
      </c>
      <c r="G589" s="2" t="s">
        <v>20</v>
      </c>
      <c r="H589" s="2" t="s">
        <v>20</v>
      </c>
      <c r="I589" s="6"/>
      <c r="J589" s="6"/>
      <c r="K589" s="6"/>
    </row>
    <row r="590" spans="1:11" x14ac:dyDescent="0.2">
      <c r="A590" s="7">
        <f>DATE(Configurações!$B$3,12,26)</f>
        <v>46382</v>
      </c>
      <c r="B590" s="2" t="str">
        <f t="shared" si="9"/>
        <v>sáb</v>
      </c>
      <c r="C590" s="2" t="str">
        <f>Configurações!$A$16</f>
        <v>CAM 10</v>
      </c>
      <c r="D590" s="2" t="str">
        <f>Configurações!$B$16</f>
        <v>Câmera 10</v>
      </c>
      <c r="E590" s="2">
        <f>Configurações!$C$16</f>
        <v>0</v>
      </c>
      <c r="F590" s="2" t="s">
        <v>20</v>
      </c>
      <c r="G590" s="2" t="s">
        <v>20</v>
      </c>
      <c r="H590" s="2" t="s">
        <v>20</v>
      </c>
      <c r="I590" s="6"/>
      <c r="J590" s="6"/>
      <c r="K590" s="6"/>
    </row>
    <row r="591" spans="1:11" x14ac:dyDescent="0.2">
      <c r="A591" s="7">
        <f>DATE(Configurações!$B$3,12,26)</f>
        <v>46382</v>
      </c>
      <c r="B591" s="2" t="str">
        <f t="shared" si="9"/>
        <v>sáb</v>
      </c>
      <c r="C591" s="2" t="str">
        <f>Configurações!$A$17</f>
        <v>CAM 11</v>
      </c>
      <c r="D591" s="2" t="str">
        <f>Configurações!$B$17</f>
        <v>Câmera 11</v>
      </c>
      <c r="E591" s="2">
        <f>Configurações!$C$17</f>
        <v>0</v>
      </c>
      <c r="F591" s="2" t="s">
        <v>20</v>
      </c>
      <c r="G591" s="2" t="s">
        <v>20</v>
      </c>
      <c r="H591" s="2" t="s">
        <v>20</v>
      </c>
      <c r="I591" s="6"/>
      <c r="J591" s="6"/>
      <c r="K591" s="6"/>
    </row>
    <row r="592" spans="1:11" x14ac:dyDescent="0.2">
      <c r="A592" s="7">
        <f>DATE(Configurações!$B$3,12,26)</f>
        <v>46382</v>
      </c>
      <c r="B592" s="2" t="str">
        <f t="shared" si="9"/>
        <v>sáb</v>
      </c>
      <c r="C592" s="2" t="str">
        <f>Configurações!$A$18</f>
        <v>CAM 12</v>
      </c>
      <c r="D592" s="2" t="str">
        <f>Configurações!$B$18</f>
        <v>Câmera 12</v>
      </c>
      <c r="E592" s="2">
        <f>Configurações!$C$18</f>
        <v>0</v>
      </c>
      <c r="F592" s="2" t="s">
        <v>20</v>
      </c>
      <c r="G592" s="2" t="s">
        <v>20</v>
      </c>
      <c r="H592" s="2" t="s">
        <v>20</v>
      </c>
      <c r="I592" s="6"/>
      <c r="J592" s="6"/>
      <c r="K592" s="6"/>
    </row>
    <row r="593" spans="1:11" x14ac:dyDescent="0.2">
      <c r="A593" s="7">
        <f>DATE(Configurações!$B$3,12,26)</f>
        <v>46382</v>
      </c>
      <c r="B593" s="2" t="str">
        <f t="shared" si="9"/>
        <v>sáb</v>
      </c>
      <c r="C593" s="2" t="str">
        <f>Configurações!$A$19</f>
        <v>CAM 13</v>
      </c>
      <c r="D593" s="2" t="str">
        <f>Configurações!$B$19</f>
        <v>Câmera 13</v>
      </c>
      <c r="E593" s="2">
        <f>Configurações!$C$19</f>
        <v>0</v>
      </c>
      <c r="F593" s="2" t="s">
        <v>20</v>
      </c>
      <c r="G593" s="2" t="s">
        <v>20</v>
      </c>
      <c r="H593" s="2" t="s">
        <v>20</v>
      </c>
      <c r="I593" s="6"/>
      <c r="J593" s="6"/>
      <c r="K593" s="6"/>
    </row>
    <row r="594" spans="1:11" x14ac:dyDescent="0.2">
      <c r="A594" s="7">
        <f>DATE(Configurações!$B$3,12,26)</f>
        <v>46382</v>
      </c>
      <c r="B594" s="2" t="str">
        <f t="shared" si="9"/>
        <v>sáb</v>
      </c>
      <c r="C594" s="2" t="str">
        <f>Configurações!$A$20</f>
        <v>CAM 14</v>
      </c>
      <c r="D594" s="2" t="str">
        <f>Configurações!$B$20</f>
        <v>Reserva/Futura 01</v>
      </c>
      <c r="E594" s="2">
        <f>Configurações!$C$20</f>
        <v>0</v>
      </c>
      <c r="F594" s="2" t="s">
        <v>20</v>
      </c>
      <c r="G594" s="2" t="s">
        <v>20</v>
      </c>
      <c r="H594" s="2" t="s">
        <v>20</v>
      </c>
      <c r="I594" s="6"/>
      <c r="J594" s="6"/>
      <c r="K594" s="6"/>
    </row>
    <row r="595" spans="1:11" x14ac:dyDescent="0.2">
      <c r="A595" s="7">
        <f>DATE(Configurações!$B$3,12,26)</f>
        <v>46382</v>
      </c>
      <c r="B595" s="2" t="str">
        <f t="shared" si="9"/>
        <v>sáb</v>
      </c>
      <c r="C595" s="2" t="str">
        <f>Configurações!$A$21</f>
        <v>CAM 15</v>
      </c>
      <c r="D595" s="2" t="str">
        <f>Configurações!$B$21</f>
        <v>Reserva/Futura 02</v>
      </c>
      <c r="E595" s="2">
        <f>Configurações!$C$21</f>
        <v>0</v>
      </c>
      <c r="F595" s="2" t="s">
        <v>20</v>
      </c>
      <c r="G595" s="2" t="s">
        <v>20</v>
      </c>
      <c r="H595" s="2" t="s">
        <v>20</v>
      </c>
      <c r="I595" s="6"/>
      <c r="J595" s="6"/>
      <c r="K595" s="6"/>
    </row>
    <row r="596" spans="1:11" x14ac:dyDescent="0.2">
      <c r="A596" s="7">
        <f>DATE(Configurações!$B$3,12,26)</f>
        <v>46382</v>
      </c>
      <c r="B596" s="2" t="str">
        <f t="shared" si="9"/>
        <v>sáb</v>
      </c>
      <c r="C596" s="2" t="str">
        <f>Configurações!$A$22</f>
        <v>CAM 16</v>
      </c>
      <c r="D596" s="2" t="str">
        <f>Configurações!$B$22</f>
        <v>Reserva/Futura 03</v>
      </c>
      <c r="E596" s="2">
        <f>Configurações!$C$22</f>
        <v>0</v>
      </c>
      <c r="F596" s="2" t="s">
        <v>20</v>
      </c>
      <c r="G596" s="2" t="s">
        <v>20</v>
      </c>
      <c r="H596" s="2" t="s">
        <v>20</v>
      </c>
      <c r="I596" s="6"/>
      <c r="J596" s="6"/>
      <c r="K596" s="6"/>
    </row>
    <row r="597" spans="1:11" x14ac:dyDescent="0.2">
      <c r="A597" s="7">
        <f>DATE(Configurações!$B$3,12,26)</f>
        <v>46382</v>
      </c>
      <c r="B597" s="2" t="str">
        <f t="shared" si="9"/>
        <v>sáb</v>
      </c>
      <c r="C597" s="2" t="str">
        <f>Configurações!$A$23</f>
        <v>CAM 17</v>
      </c>
      <c r="D597" s="2" t="str">
        <f>Configurações!$B$23</f>
        <v>Reserva/Futura 04</v>
      </c>
      <c r="E597" s="2">
        <f>Configurações!$C$23</f>
        <v>0</v>
      </c>
      <c r="F597" s="2" t="s">
        <v>20</v>
      </c>
      <c r="G597" s="2" t="s">
        <v>20</v>
      </c>
      <c r="H597" s="2" t="s">
        <v>20</v>
      </c>
      <c r="I597" s="6"/>
      <c r="J597" s="6"/>
      <c r="K597" s="6"/>
    </row>
    <row r="598" spans="1:11" x14ac:dyDescent="0.2">
      <c r="A598" s="7">
        <f>DATE(Configurações!$B$3,12,26)</f>
        <v>46382</v>
      </c>
      <c r="B598" s="2" t="str">
        <f t="shared" si="9"/>
        <v>sáb</v>
      </c>
      <c r="C598" s="2" t="str">
        <f>Configurações!$A$24</f>
        <v>CAM 18</v>
      </c>
      <c r="D598" s="2" t="str">
        <f>Configurações!$B$24</f>
        <v>Reserva/Futura 05</v>
      </c>
      <c r="E598" s="2">
        <f>Configurações!$C$24</f>
        <v>0</v>
      </c>
      <c r="F598" s="2" t="s">
        <v>20</v>
      </c>
      <c r="G598" s="2" t="s">
        <v>20</v>
      </c>
      <c r="H598" s="2" t="s">
        <v>20</v>
      </c>
      <c r="I598" s="6"/>
      <c r="J598" s="6"/>
      <c r="K598" s="6"/>
    </row>
    <row r="599" spans="1:11" x14ac:dyDescent="0.2">
      <c r="A599" s="7">
        <f>DATE(Configurações!$B$3,12,26)</f>
        <v>46382</v>
      </c>
      <c r="B599" s="2" t="str">
        <f t="shared" si="9"/>
        <v>sáb</v>
      </c>
      <c r="C599" s="2" t="str">
        <f>Configurações!$A$25</f>
        <v>CAM 19</v>
      </c>
      <c r="D599" s="2" t="str">
        <f>Configurações!$B$25</f>
        <v>Reserva/Futura 06</v>
      </c>
      <c r="E599" s="2">
        <f>Configurações!$C$25</f>
        <v>0</v>
      </c>
      <c r="F599" s="2" t="s">
        <v>20</v>
      </c>
      <c r="G599" s="2" t="s">
        <v>20</v>
      </c>
      <c r="H599" s="2" t="s">
        <v>20</v>
      </c>
      <c r="I599" s="6"/>
      <c r="J599" s="6"/>
      <c r="K599" s="6"/>
    </row>
    <row r="600" spans="1:11" x14ac:dyDescent="0.2">
      <c r="A600" s="7">
        <f>DATE(Configurações!$B$3,12,26)</f>
        <v>46382</v>
      </c>
      <c r="B600" s="2" t="str">
        <f t="shared" si="9"/>
        <v>sáb</v>
      </c>
      <c r="C600" s="2" t="str">
        <f>Configurações!$A$26</f>
        <v>CAM 20</v>
      </c>
      <c r="D600" s="2" t="str">
        <f>Configurações!$B$26</f>
        <v>Reserva/Futura 07</v>
      </c>
      <c r="E600" s="2">
        <f>Configurações!$C$26</f>
        <v>0</v>
      </c>
      <c r="F600" s="2" t="s">
        <v>20</v>
      </c>
      <c r="G600" s="2" t="s">
        <v>20</v>
      </c>
      <c r="H600" s="2" t="s">
        <v>20</v>
      </c>
      <c r="I600" s="6"/>
      <c r="J600" s="6"/>
      <c r="K600" s="6"/>
    </row>
    <row r="601" spans="1:11" x14ac:dyDescent="0.2">
      <c r="A601" s="7">
        <f>DATE(Configurações!$B$3,12,26)</f>
        <v>46382</v>
      </c>
      <c r="B601" s="2" t="str">
        <f t="shared" si="9"/>
        <v>sáb</v>
      </c>
      <c r="C601" s="2" t="str">
        <f>Configurações!$A$27</f>
        <v>CAM 21</v>
      </c>
      <c r="D601" s="2" t="str">
        <f>Configurações!$B$27</f>
        <v>Reserva/Futura 08</v>
      </c>
      <c r="E601" s="2">
        <f>Configurações!$C$27</f>
        <v>0</v>
      </c>
      <c r="F601" s="2" t="s">
        <v>20</v>
      </c>
      <c r="G601" s="2" t="s">
        <v>20</v>
      </c>
      <c r="H601" s="2" t="s">
        <v>20</v>
      </c>
      <c r="I601" s="6"/>
      <c r="J601" s="6"/>
      <c r="K601" s="6"/>
    </row>
    <row r="602" spans="1:11" x14ac:dyDescent="0.2">
      <c r="A602" s="7">
        <f>DATE(Configurações!$B$3,12,26)</f>
        <v>46382</v>
      </c>
      <c r="B602" s="2" t="str">
        <f t="shared" si="9"/>
        <v>sáb</v>
      </c>
      <c r="C602" s="2" t="str">
        <f>Configurações!$A$28</f>
        <v>CAM 22</v>
      </c>
      <c r="D602" s="2" t="str">
        <f>Configurações!$B$28</f>
        <v>Reserva/Futura 09</v>
      </c>
      <c r="E602" s="2">
        <f>Configurações!$C$28</f>
        <v>0</v>
      </c>
      <c r="F602" s="2" t="s">
        <v>20</v>
      </c>
      <c r="G602" s="2" t="s">
        <v>20</v>
      </c>
      <c r="H602" s="2" t="s">
        <v>20</v>
      </c>
      <c r="I602" s="6"/>
      <c r="J602" s="6"/>
      <c r="K602" s="6"/>
    </row>
    <row r="603" spans="1:11" x14ac:dyDescent="0.2">
      <c r="A603" s="7">
        <f>DATE(Configurações!$B$3,12,26)</f>
        <v>46382</v>
      </c>
      <c r="B603" s="2" t="str">
        <f t="shared" si="9"/>
        <v>sáb</v>
      </c>
      <c r="C603" s="2" t="str">
        <f>Configurações!$A$29</f>
        <v>CAM 23</v>
      </c>
      <c r="D603" s="2" t="str">
        <f>Configurações!$B$29</f>
        <v>Reserva/Futura 10</v>
      </c>
      <c r="E603" s="2">
        <f>Configurações!$C$29</f>
        <v>0</v>
      </c>
      <c r="F603" s="2" t="s">
        <v>20</v>
      </c>
      <c r="G603" s="2" t="s">
        <v>20</v>
      </c>
      <c r="H603" s="2" t="s">
        <v>20</v>
      </c>
      <c r="I603" s="6"/>
      <c r="J603" s="6"/>
      <c r="K603" s="6"/>
    </row>
    <row r="604" spans="1:11" x14ac:dyDescent="0.2">
      <c r="A604" s="7">
        <f>DATE(Configurações!$B$3,12,27)</f>
        <v>46383</v>
      </c>
      <c r="B604" s="2" t="str">
        <f t="shared" si="9"/>
        <v>dom</v>
      </c>
      <c r="C604" s="2" t="str">
        <f>Configurações!$A$7</f>
        <v>CAM 01</v>
      </c>
      <c r="D604" s="2" t="str">
        <f>Configurações!$B$7</f>
        <v>BARU ANDES</v>
      </c>
      <c r="E604" s="2">
        <f>Configurações!$C$7</f>
        <v>0</v>
      </c>
      <c r="F604" s="2" t="s">
        <v>20</v>
      </c>
      <c r="G604" s="2" t="s">
        <v>20</v>
      </c>
      <c r="H604" s="2" t="s">
        <v>20</v>
      </c>
      <c r="I604" s="6"/>
      <c r="J604" s="6"/>
      <c r="K604" s="6"/>
    </row>
    <row r="605" spans="1:11" x14ac:dyDescent="0.2">
      <c r="A605" s="7">
        <f>DATE(Configurações!$B$3,12,27)</f>
        <v>46383</v>
      </c>
      <c r="B605" s="2" t="str">
        <f t="shared" si="9"/>
        <v>dom</v>
      </c>
      <c r="C605" s="2" t="str">
        <f>Configurações!$A$8</f>
        <v>CAM 02</v>
      </c>
      <c r="D605" s="2" t="str">
        <f>Configurações!$B$8</f>
        <v>Câmera 02</v>
      </c>
      <c r="E605" s="2">
        <f>Configurações!$C$8</f>
        <v>0</v>
      </c>
      <c r="F605" s="2" t="s">
        <v>20</v>
      </c>
      <c r="G605" s="2" t="s">
        <v>20</v>
      </c>
      <c r="H605" s="2" t="s">
        <v>20</v>
      </c>
      <c r="I605" s="6"/>
      <c r="J605" s="6"/>
      <c r="K605" s="6"/>
    </row>
    <row r="606" spans="1:11" x14ac:dyDescent="0.2">
      <c r="A606" s="7">
        <f>DATE(Configurações!$B$3,12,27)</f>
        <v>46383</v>
      </c>
      <c r="B606" s="2" t="str">
        <f t="shared" si="9"/>
        <v>dom</v>
      </c>
      <c r="C606" s="2" t="str">
        <f>Configurações!$A$9</f>
        <v>CAM 03</v>
      </c>
      <c r="D606" s="2" t="str">
        <f>Configurações!$B$9</f>
        <v>Câmera 03</v>
      </c>
      <c r="E606" s="2">
        <f>Configurações!$C$9</f>
        <v>0</v>
      </c>
      <c r="F606" s="2" t="s">
        <v>20</v>
      </c>
      <c r="G606" s="2" t="s">
        <v>20</v>
      </c>
      <c r="H606" s="2" t="s">
        <v>20</v>
      </c>
      <c r="I606" s="6"/>
      <c r="J606" s="6"/>
      <c r="K606" s="6"/>
    </row>
    <row r="607" spans="1:11" x14ac:dyDescent="0.2">
      <c r="A607" s="7">
        <f>DATE(Configurações!$B$3,12,27)</f>
        <v>46383</v>
      </c>
      <c r="B607" s="2" t="str">
        <f t="shared" si="9"/>
        <v>dom</v>
      </c>
      <c r="C607" s="2" t="str">
        <f>Configurações!$A$10</f>
        <v>CAM 04</v>
      </c>
      <c r="D607" s="2" t="str">
        <f>Configurações!$B$10</f>
        <v>Câmera 04</v>
      </c>
      <c r="E607" s="2">
        <f>Configurações!$C$10</f>
        <v>0</v>
      </c>
      <c r="F607" s="2" t="s">
        <v>20</v>
      </c>
      <c r="G607" s="2" t="s">
        <v>20</v>
      </c>
      <c r="H607" s="2" t="s">
        <v>20</v>
      </c>
      <c r="I607" s="6"/>
      <c r="J607" s="6"/>
      <c r="K607" s="6"/>
    </row>
    <row r="608" spans="1:11" x14ac:dyDescent="0.2">
      <c r="A608" s="7">
        <f>DATE(Configurações!$B$3,12,27)</f>
        <v>46383</v>
      </c>
      <c r="B608" s="2" t="str">
        <f t="shared" si="9"/>
        <v>dom</v>
      </c>
      <c r="C608" s="2" t="str">
        <f>Configurações!$A$11</f>
        <v>CAM 05</v>
      </c>
      <c r="D608" s="2" t="str">
        <f>Configurações!$B$11</f>
        <v>Câmera 05</v>
      </c>
      <c r="E608" s="2">
        <f>Configurações!$C$11</f>
        <v>0</v>
      </c>
      <c r="F608" s="2" t="s">
        <v>20</v>
      </c>
      <c r="G608" s="2" t="s">
        <v>20</v>
      </c>
      <c r="H608" s="2" t="s">
        <v>20</v>
      </c>
      <c r="I608" s="6"/>
      <c r="J608" s="6"/>
      <c r="K608" s="6"/>
    </row>
    <row r="609" spans="1:11" x14ac:dyDescent="0.2">
      <c r="A609" s="7">
        <f>DATE(Configurações!$B$3,12,27)</f>
        <v>46383</v>
      </c>
      <c r="B609" s="2" t="str">
        <f t="shared" si="9"/>
        <v>dom</v>
      </c>
      <c r="C609" s="2" t="str">
        <f>Configurações!$A$12</f>
        <v>CAM 06</v>
      </c>
      <c r="D609" s="2" t="str">
        <f>Configurações!$B$12</f>
        <v>Câmera 06</v>
      </c>
      <c r="E609" s="2">
        <f>Configurações!$C$12</f>
        <v>0</v>
      </c>
      <c r="F609" s="2" t="s">
        <v>20</v>
      </c>
      <c r="G609" s="2" t="s">
        <v>20</v>
      </c>
      <c r="H609" s="2" t="s">
        <v>20</v>
      </c>
      <c r="I609" s="6"/>
      <c r="J609" s="6"/>
      <c r="K609" s="6"/>
    </row>
    <row r="610" spans="1:11" x14ac:dyDescent="0.2">
      <c r="A610" s="7">
        <f>DATE(Configurações!$B$3,12,27)</f>
        <v>46383</v>
      </c>
      <c r="B610" s="2" t="str">
        <f t="shared" si="9"/>
        <v>dom</v>
      </c>
      <c r="C610" s="2" t="str">
        <f>Configurações!$A$13</f>
        <v>CAM 07</v>
      </c>
      <c r="D610" s="2" t="str">
        <f>Configurações!$B$13</f>
        <v>Câmera 07</v>
      </c>
      <c r="E610" s="2">
        <f>Configurações!$C$13</f>
        <v>0</v>
      </c>
      <c r="F610" s="2" t="s">
        <v>20</v>
      </c>
      <c r="G610" s="2" t="s">
        <v>20</v>
      </c>
      <c r="H610" s="2" t="s">
        <v>20</v>
      </c>
      <c r="I610" s="6"/>
      <c r="J610" s="6"/>
      <c r="K610" s="6"/>
    </row>
    <row r="611" spans="1:11" x14ac:dyDescent="0.2">
      <c r="A611" s="7">
        <f>DATE(Configurações!$B$3,12,27)</f>
        <v>46383</v>
      </c>
      <c r="B611" s="2" t="str">
        <f t="shared" si="9"/>
        <v>dom</v>
      </c>
      <c r="C611" s="2" t="str">
        <f>Configurações!$A$14</f>
        <v>CAM 08</v>
      </c>
      <c r="D611" s="2" t="str">
        <f>Configurações!$B$14</f>
        <v>Câmera 08</v>
      </c>
      <c r="E611" s="2">
        <f>Configurações!$C$14</f>
        <v>0</v>
      </c>
      <c r="F611" s="2" t="s">
        <v>20</v>
      </c>
      <c r="G611" s="2" t="s">
        <v>20</v>
      </c>
      <c r="H611" s="2" t="s">
        <v>20</v>
      </c>
      <c r="I611" s="6"/>
      <c r="J611" s="6"/>
      <c r="K611" s="6"/>
    </row>
    <row r="612" spans="1:11" x14ac:dyDescent="0.2">
      <c r="A612" s="7">
        <f>DATE(Configurações!$B$3,12,27)</f>
        <v>46383</v>
      </c>
      <c r="B612" s="2" t="str">
        <f t="shared" si="9"/>
        <v>dom</v>
      </c>
      <c r="C612" s="2" t="str">
        <f>Configurações!$A$15</f>
        <v>CAM 09</v>
      </c>
      <c r="D612" s="2" t="str">
        <f>Configurações!$B$15</f>
        <v>Câmera 09</v>
      </c>
      <c r="E612" s="2">
        <f>Configurações!$C$15</f>
        <v>0</v>
      </c>
      <c r="F612" s="2" t="s">
        <v>20</v>
      </c>
      <c r="G612" s="2" t="s">
        <v>20</v>
      </c>
      <c r="H612" s="2" t="s">
        <v>20</v>
      </c>
      <c r="I612" s="6"/>
      <c r="J612" s="6"/>
      <c r="K612" s="6"/>
    </row>
    <row r="613" spans="1:11" x14ac:dyDescent="0.2">
      <c r="A613" s="7">
        <f>DATE(Configurações!$B$3,12,27)</f>
        <v>46383</v>
      </c>
      <c r="B613" s="2" t="str">
        <f t="shared" si="9"/>
        <v>dom</v>
      </c>
      <c r="C613" s="2" t="str">
        <f>Configurações!$A$16</f>
        <v>CAM 10</v>
      </c>
      <c r="D613" s="2" t="str">
        <f>Configurações!$B$16</f>
        <v>Câmera 10</v>
      </c>
      <c r="E613" s="2">
        <f>Configurações!$C$16</f>
        <v>0</v>
      </c>
      <c r="F613" s="2" t="s">
        <v>20</v>
      </c>
      <c r="G613" s="2" t="s">
        <v>20</v>
      </c>
      <c r="H613" s="2" t="s">
        <v>20</v>
      </c>
      <c r="I613" s="6"/>
      <c r="J613" s="6"/>
      <c r="K613" s="6"/>
    </row>
    <row r="614" spans="1:11" x14ac:dyDescent="0.2">
      <c r="A614" s="7">
        <f>DATE(Configurações!$B$3,12,27)</f>
        <v>46383</v>
      </c>
      <c r="B614" s="2" t="str">
        <f t="shared" si="9"/>
        <v>dom</v>
      </c>
      <c r="C614" s="2" t="str">
        <f>Configurações!$A$17</f>
        <v>CAM 11</v>
      </c>
      <c r="D614" s="2" t="str">
        <f>Configurações!$B$17</f>
        <v>Câmera 11</v>
      </c>
      <c r="E614" s="2">
        <f>Configurações!$C$17</f>
        <v>0</v>
      </c>
      <c r="F614" s="2" t="s">
        <v>20</v>
      </c>
      <c r="G614" s="2" t="s">
        <v>20</v>
      </c>
      <c r="H614" s="2" t="s">
        <v>20</v>
      </c>
      <c r="I614" s="6"/>
      <c r="J614" s="6"/>
      <c r="K614" s="6"/>
    </row>
    <row r="615" spans="1:11" x14ac:dyDescent="0.2">
      <c r="A615" s="7">
        <f>DATE(Configurações!$B$3,12,27)</f>
        <v>46383</v>
      </c>
      <c r="B615" s="2" t="str">
        <f t="shared" si="9"/>
        <v>dom</v>
      </c>
      <c r="C615" s="2" t="str">
        <f>Configurações!$A$18</f>
        <v>CAM 12</v>
      </c>
      <c r="D615" s="2" t="str">
        <f>Configurações!$B$18</f>
        <v>Câmera 12</v>
      </c>
      <c r="E615" s="2">
        <f>Configurações!$C$18</f>
        <v>0</v>
      </c>
      <c r="F615" s="2" t="s">
        <v>20</v>
      </c>
      <c r="G615" s="2" t="s">
        <v>20</v>
      </c>
      <c r="H615" s="2" t="s">
        <v>20</v>
      </c>
      <c r="I615" s="6"/>
      <c r="J615" s="6"/>
      <c r="K615" s="6"/>
    </row>
    <row r="616" spans="1:11" x14ac:dyDescent="0.2">
      <c r="A616" s="7">
        <f>DATE(Configurações!$B$3,12,27)</f>
        <v>46383</v>
      </c>
      <c r="B616" s="2" t="str">
        <f t="shared" si="9"/>
        <v>dom</v>
      </c>
      <c r="C616" s="2" t="str">
        <f>Configurações!$A$19</f>
        <v>CAM 13</v>
      </c>
      <c r="D616" s="2" t="str">
        <f>Configurações!$B$19</f>
        <v>Câmera 13</v>
      </c>
      <c r="E616" s="2">
        <f>Configurações!$C$19</f>
        <v>0</v>
      </c>
      <c r="F616" s="2" t="s">
        <v>20</v>
      </c>
      <c r="G616" s="2" t="s">
        <v>20</v>
      </c>
      <c r="H616" s="2" t="s">
        <v>20</v>
      </c>
      <c r="I616" s="6"/>
      <c r="J616" s="6"/>
      <c r="K616" s="6"/>
    </row>
    <row r="617" spans="1:11" x14ac:dyDescent="0.2">
      <c r="A617" s="7">
        <f>DATE(Configurações!$B$3,12,27)</f>
        <v>46383</v>
      </c>
      <c r="B617" s="2" t="str">
        <f t="shared" si="9"/>
        <v>dom</v>
      </c>
      <c r="C617" s="2" t="str">
        <f>Configurações!$A$20</f>
        <v>CAM 14</v>
      </c>
      <c r="D617" s="2" t="str">
        <f>Configurações!$B$20</f>
        <v>Reserva/Futura 01</v>
      </c>
      <c r="E617" s="2">
        <f>Configurações!$C$20</f>
        <v>0</v>
      </c>
      <c r="F617" s="2" t="s">
        <v>20</v>
      </c>
      <c r="G617" s="2" t="s">
        <v>20</v>
      </c>
      <c r="H617" s="2" t="s">
        <v>20</v>
      </c>
      <c r="I617" s="6"/>
      <c r="J617" s="6"/>
      <c r="K617" s="6"/>
    </row>
    <row r="618" spans="1:11" x14ac:dyDescent="0.2">
      <c r="A618" s="7">
        <f>DATE(Configurações!$B$3,12,27)</f>
        <v>46383</v>
      </c>
      <c r="B618" s="2" t="str">
        <f t="shared" si="9"/>
        <v>dom</v>
      </c>
      <c r="C618" s="2" t="str">
        <f>Configurações!$A$21</f>
        <v>CAM 15</v>
      </c>
      <c r="D618" s="2" t="str">
        <f>Configurações!$B$21</f>
        <v>Reserva/Futura 02</v>
      </c>
      <c r="E618" s="2">
        <f>Configurações!$C$21</f>
        <v>0</v>
      </c>
      <c r="F618" s="2" t="s">
        <v>20</v>
      </c>
      <c r="G618" s="2" t="s">
        <v>20</v>
      </c>
      <c r="H618" s="2" t="s">
        <v>20</v>
      </c>
      <c r="I618" s="6"/>
      <c r="J618" s="6"/>
      <c r="K618" s="6"/>
    </row>
    <row r="619" spans="1:11" x14ac:dyDescent="0.2">
      <c r="A619" s="7">
        <f>DATE(Configurações!$B$3,12,27)</f>
        <v>46383</v>
      </c>
      <c r="B619" s="2" t="str">
        <f t="shared" si="9"/>
        <v>dom</v>
      </c>
      <c r="C619" s="2" t="str">
        <f>Configurações!$A$22</f>
        <v>CAM 16</v>
      </c>
      <c r="D619" s="2" t="str">
        <f>Configurações!$B$22</f>
        <v>Reserva/Futura 03</v>
      </c>
      <c r="E619" s="2">
        <f>Configurações!$C$22</f>
        <v>0</v>
      </c>
      <c r="F619" s="2" t="s">
        <v>20</v>
      </c>
      <c r="G619" s="2" t="s">
        <v>20</v>
      </c>
      <c r="H619" s="2" t="s">
        <v>20</v>
      </c>
      <c r="I619" s="6"/>
      <c r="J619" s="6"/>
      <c r="K619" s="6"/>
    </row>
    <row r="620" spans="1:11" x14ac:dyDescent="0.2">
      <c r="A620" s="7">
        <f>DATE(Configurações!$B$3,12,27)</f>
        <v>46383</v>
      </c>
      <c r="B620" s="2" t="str">
        <f t="shared" si="9"/>
        <v>dom</v>
      </c>
      <c r="C620" s="2" t="str">
        <f>Configurações!$A$23</f>
        <v>CAM 17</v>
      </c>
      <c r="D620" s="2" t="str">
        <f>Configurações!$B$23</f>
        <v>Reserva/Futura 04</v>
      </c>
      <c r="E620" s="2">
        <f>Configurações!$C$23</f>
        <v>0</v>
      </c>
      <c r="F620" s="2" t="s">
        <v>20</v>
      </c>
      <c r="G620" s="2" t="s">
        <v>20</v>
      </c>
      <c r="H620" s="2" t="s">
        <v>20</v>
      </c>
      <c r="I620" s="6"/>
      <c r="J620" s="6"/>
      <c r="K620" s="6"/>
    </row>
    <row r="621" spans="1:11" x14ac:dyDescent="0.2">
      <c r="A621" s="7">
        <f>DATE(Configurações!$B$3,12,27)</f>
        <v>46383</v>
      </c>
      <c r="B621" s="2" t="str">
        <f t="shared" si="9"/>
        <v>dom</v>
      </c>
      <c r="C621" s="2" t="str">
        <f>Configurações!$A$24</f>
        <v>CAM 18</v>
      </c>
      <c r="D621" s="2" t="str">
        <f>Configurações!$B$24</f>
        <v>Reserva/Futura 05</v>
      </c>
      <c r="E621" s="2">
        <f>Configurações!$C$24</f>
        <v>0</v>
      </c>
      <c r="F621" s="2" t="s">
        <v>20</v>
      </c>
      <c r="G621" s="2" t="s">
        <v>20</v>
      </c>
      <c r="H621" s="2" t="s">
        <v>20</v>
      </c>
      <c r="I621" s="6"/>
      <c r="J621" s="6"/>
      <c r="K621" s="6"/>
    </row>
    <row r="622" spans="1:11" x14ac:dyDescent="0.2">
      <c r="A622" s="7">
        <f>DATE(Configurações!$B$3,12,27)</f>
        <v>46383</v>
      </c>
      <c r="B622" s="2" t="str">
        <f t="shared" si="9"/>
        <v>dom</v>
      </c>
      <c r="C622" s="2" t="str">
        <f>Configurações!$A$25</f>
        <v>CAM 19</v>
      </c>
      <c r="D622" s="2" t="str">
        <f>Configurações!$B$25</f>
        <v>Reserva/Futura 06</v>
      </c>
      <c r="E622" s="2">
        <f>Configurações!$C$25</f>
        <v>0</v>
      </c>
      <c r="F622" s="2" t="s">
        <v>20</v>
      </c>
      <c r="G622" s="2" t="s">
        <v>20</v>
      </c>
      <c r="H622" s="2" t="s">
        <v>20</v>
      </c>
      <c r="I622" s="6"/>
      <c r="J622" s="6"/>
      <c r="K622" s="6"/>
    </row>
    <row r="623" spans="1:11" x14ac:dyDescent="0.2">
      <c r="A623" s="7">
        <f>DATE(Configurações!$B$3,12,27)</f>
        <v>46383</v>
      </c>
      <c r="B623" s="2" t="str">
        <f t="shared" si="9"/>
        <v>dom</v>
      </c>
      <c r="C623" s="2" t="str">
        <f>Configurações!$A$26</f>
        <v>CAM 20</v>
      </c>
      <c r="D623" s="2" t="str">
        <f>Configurações!$B$26</f>
        <v>Reserva/Futura 07</v>
      </c>
      <c r="E623" s="2">
        <f>Configurações!$C$26</f>
        <v>0</v>
      </c>
      <c r="F623" s="2" t="s">
        <v>20</v>
      </c>
      <c r="G623" s="2" t="s">
        <v>20</v>
      </c>
      <c r="H623" s="2" t="s">
        <v>20</v>
      </c>
      <c r="I623" s="6"/>
      <c r="J623" s="6"/>
      <c r="K623" s="6"/>
    </row>
    <row r="624" spans="1:11" x14ac:dyDescent="0.2">
      <c r="A624" s="7">
        <f>DATE(Configurações!$B$3,12,27)</f>
        <v>46383</v>
      </c>
      <c r="B624" s="2" t="str">
        <f t="shared" si="9"/>
        <v>dom</v>
      </c>
      <c r="C624" s="2" t="str">
        <f>Configurações!$A$27</f>
        <v>CAM 21</v>
      </c>
      <c r="D624" s="2" t="str">
        <f>Configurações!$B$27</f>
        <v>Reserva/Futura 08</v>
      </c>
      <c r="E624" s="2">
        <f>Configurações!$C$27</f>
        <v>0</v>
      </c>
      <c r="F624" s="2" t="s">
        <v>20</v>
      </c>
      <c r="G624" s="2" t="s">
        <v>20</v>
      </c>
      <c r="H624" s="2" t="s">
        <v>20</v>
      </c>
      <c r="I624" s="6"/>
      <c r="J624" s="6"/>
      <c r="K624" s="6"/>
    </row>
    <row r="625" spans="1:11" x14ac:dyDescent="0.2">
      <c r="A625" s="7">
        <f>DATE(Configurações!$B$3,12,27)</f>
        <v>46383</v>
      </c>
      <c r="B625" s="2" t="str">
        <f t="shared" si="9"/>
        <v>dom</v>
      </c>
      <c r="C625" s="2" t="str">
        <f>Configurações!$A$28</f>
        <v>CAM 22</v>
      </c>
      <c r="D625" s="2" t="str">
        <f>Configurações!$B$28</f>
        <v>Reserva/Futura 09</v>
      </c>
      <c r="E625" s="2">
        <f>Configurações!$C$28</f>
        <v>0</v>
      </c>
      <c r="F625" s="2" t="s">
        <v>20</v>
      </c>
      <c r="G625" s="2" t="s">
        <v>20</v>
      </c>
      <c r="H625" s="2" t="s">
        <v>20</v>
      </c>
      <c r="I625" s="6"/>
      <c r="J625" s="6"/>
      <c r="K625" s="6"/>
    </row>
    <row r="626" spans="1:11" x14ac:dyDescent="0.2">
      <c r="A626" s="7">
        <f>DATE(Configurações!$B$3,12,27)</f>
        <v>46383</v>
      </c>
      <c r="B626" s="2" t="str">
        <f t="shared" si="9"/>
        <v>dom</v>
      </c>
      <c r="C626" s="2" t="str">
        <f>Configurações!$A$29</f>
        <v>CAM 23</v>
      </c>
      <c r="D626" s="2" t="str">
        <f>Configurações!$B$29</f>
        <v>Reserva/Futura 10</v>
      </c>
      <c r="E626" s="2">
        <f>Configurações!$C$29</f>
        <v>0</v>
      </c>
      <c r="F626" s="2" t="s">
        <v>20</v>
      </c>
      <c r="G626" s="2" t="s">
        <v>20</v>
      </c>
      <c r="H626" s="2" t="s">
        <v>20</v>
      </c>
      <c r="I626" s="6"/>
      <c r="J626" s="6"/>
      <c r="K626" s="6"/>
    </row>
    <row r="627" spans="1:11" x14ac:dyDescent="0.2">
      <c r="A627" s="7">
        <f>DATE(Configurações!$B$3,12,28)</f>
        <v>46384</v>
      </c>
      <c r="B627" s="2" t="str">
        <f t="shared" si="9"/>
        <v>seg</v>
      </c>
      <c r="C627" s="2" t="str">
        <f>Configurações!$A$7</f>
        <v>CAM 01</v>
      </c>
      <c r="D627" s="2" t="str">
        <f>Configurações!$B$7</f>
        <v>BARU ANDES</v>
      </c>
      <c r="E627" s="2">
        <f>Configurações!$C$7</f>
        <v>0</v>
      </c>
      <c r="F627" s="2" t="s">
        <v>20</v>
      </c>
      <c r="G627" s="2" t="s">
        <v>20</v>
      </c>
      <c r="H627" s="2" t="s">
        <v>20</v>
      </c>
      <c r="I627" s="6"/>
      <c r="J627" s="6"/>
      <c r="K627" s="6"/>
    </row>
    <row r="628" spans="1:11" x14ac:dyDescent="0.2">
      <c r="A628" s="7">
        <f>DATE(Configurações!$B$3,12,28)</f>
        <v>46384</v>
      </c>
      <c r="B628" s="2" t="str">
        <f t="shared" si="9"/>
        <v>seg</v>
      </c>
      <c r="C628" s="2" t="str">
        <f>Configurações!$A$8</f>
        <v>CAM 02</v>
      </c>
      <c r="D628" s="2" t="str">
        <f>Configurações!$B$8</f>
        <v>Câmera 02</v>
      </c>
      <c r="E628" s="2">
        <f>Configurações!$C$8</f>
        <v>0</v>
      </c>
      <c r="F628" s="2" t="s">
        <v>20</v>
      </c>
      <c r="G628" s="2" t="s">
        <v>20</v>
      </c>
      <c r="H628" s="2" t="s">
        <v>20</v>
      </c>
      <c r="I628" s="6"/>
      <c r="J628" s="6"/>
      <c r="K628" s="6"/>
    </row>
    <row r="629" spans="1:11" x14ac:dyDescent="0.2">
      <c r="A629" s="7">
        <f>DATE(Configurações!$B$3,12,28)</f>
        <v>46384</v>
      </c>
      <c r="B629" s="2" t="str">
        <f t="shared" si="9"/>
        <v>seg</v>
      </c>
      <c r="C629" s="2" t="str">
        <f>Configurações!$A$9</f>
        <v>CAM 03</v>
      </c>
      <c r="D629" s="2" t="str">
        <f>Configurações!$B$9</f>
        <v>Câmera 03</v>
      </c>
      <c r="E629" s="2">
        <f>Configurações!$C$9</f>
        <v>0</v>
      </c>
      <c r="F629" s="2" t="s">
        <v>20</v>
      </c>
      <c r="G629" s="2" t="s">
        <v>20</v>
      </c>
      <c r="H629" s="2" t="s">
        <v>20</v>
      </c>
      <c r="I629" s="6"/>
      <c r="J629" s="6"/>
      <c r="K629" s="6"/>
    </row>
    <row r="630" spans="1:11" x14ac:dyDescent="0.2">
      <c r="A630" s="7">
        <f>DATE(Configurações!$B$3,12,28)</f>
        <v>46384</v>
      </c>
      <c r="B630" s="2" t="str">
        <f t="shared" si="9"/>
        <v>seg</v>
      </c>
      <c r="C630" s="2" t="str">
        <f>Configurações!$A$10</f>
        <v>CAM 04</v>
      </c>
      <c r="D630" s="2" t="str">
        <f>Configurações!$B$10</f>
        <v>Câmera 04</v>
      </c>
      <c r="E630" s="2">
        <f>Configurações!$C$10</f>
        <v>0</v>
      </c>
      <c r="F630" s="2" t="s">
        <v>20</v>
      </c>
      <c r="G630" s="2" t="s">
        <v>20</v>
      </c>
      <c r="H630" s="2" t="s">
        <v>20</v>
      </c>
      <c r="I630" s="6"/>
      <c r="J630" s="6"/>
      <c r="K630" s="6"/>
    </row>
    <row r="631" spans="1:11" x14ac:dyDescent="0.2">
      <c r="A631" s="7">
        <f>DATE(Configurações!$B$3,12,28)</f>
        <v>46384</v>
      </c>
      <c r="B631" s="2" t="str">
        <f t="shared" si="9"/>
        <v>seg</v>
      </c>
      <c r="C631" s="2" t="str">
        <f>Configurações!$A$11</f>
        <v>CAM 05</v>
      </c>
      <c r="D631" s="2" t="str">
        <f>Configurações!$B$11</f>
        <v>Câmera 05</v>
      </c>
      <c r="E631" s="2">
        <f>Configurações!$C$11</f>
        <v>0</v>
      </c>
      <c r="F631" s="2" t="s">
        <v>20</v>
      </c>
      <c r="G631" s="2" t="s">
        <v>20</v>
      </c>
      <c r="H631" s="2" t="s">
        <v>20</v>
      </c>
      <c r="I631" s="6"/>
      <c r="J631" s="6"/>
      <c r="K631" s="6"/>
    </row>
    <row r="632" spans="1:11" x14ac:dyDescent="0.2">
      <c r="A632" s="7">
        <f>DATE(Configurações!$B$3,12,28)</f>
        <v>46384</v>
      </c>
      <c r="B632" s="2" t="str">
        <f t="shared" si="9"/>
        <v>seg</v>
      </c>
      <c r="C632" s="2" t="str">
        <f>Configurações!$A$12</f>
        <v>CAM 06</v>
      </c>
      <c r="D632" s="2" t="str">
        <f>Configurações!$B$12</f>
        <v>Câmera 06</v>
      </c>
      <c r="E632" s="2">
        <f>Configurações!$C$12</f>
        <v>0</v>
      </c>
      <c r="F632" s="2" t="s">
        <v>20</v>
      </c>
      <c r="G632" s="2" t="s">
        <v>20</v>
      </c>
      <c r="H632" s="2" t="s">
        <v>20</v>
      </c>
      <c r="I632" s="6"/>
      <c r="J632" s="6"/>
      <c r="K632" s="6"/>
    </row>
    <row r="633" spans="1:11" x14ac:dyDescent="0.2">
      <c r="A633" s="7">
        <f>DATE(Configurações!$B$3,12,28)</f>
        <v>46384</v>
      </c>
      <c r="B633" s="2" t="str">
        <f t="shared" si="9"/>
        <v>seg</v>
      </c>
      <c r="C633" s="2" t="str">
        <f>Configurações!$A$13</f>
        <v>CAM 07</v>
      </c>
      <c r="D633" s="2" t="str">
        <f>Configurações!$B$13</f>
        <v>Câmera 07</v>
      </c>
      <c r="E633" s="2">
        <f>Configurações!$C$13</f>
        <v>0</v>
      </c>
      <c r="F633" s="2" t="s">
        <v>20</v>
      </c>
      <c r="G633" s="2" t="s">
        <v>20</v>
      </c>
      <c r="H633" s="2" t="s">
        <v>20</v>
      </c>
      <c r="I633" s="6"/>
      <c r="J633" s="6"/>
      <c r="K633" s="6"/>
    </row>
    <row r="634" spans="1:11" x14ac:dyDescent="0.2">
      <c r="A634" s="7">
        <f>DATE(Configurações!$B$3,12,28)</f>
        <v>46384</v>
      </c>
      <c r="B634" s="2" t="str">
        <f t="shared" si="9"/>
        <v>seg</v>
      </c>
      <c r="C634" s="2" t="str">
        <f>Configurações!$A$14</f>
        <v>CAM 08</v>
      </c>
      <c r="D634" s="2" t="str">
        <f>Configurações!$B$14</f>
        <v>Câmera 08</v>
      </c>
      <c r="E634" s="2">
        <f>Configurações!$C$14</f>
        <v>0</v>
      </c>
      <c r="F634" s="2" t="s">
        <v>20</v>
      </c>
      <c r="G634" s="2" t="s">
        <v>20</v>
      </c>
      <c r="H634" s="2" t="s">
        <v>20</v>
      </c>
      <c r="I634" s="6"/>
      <c r="J634" s="6"/>
      <c r="K634" s="6"/>
    </row>
    <row r="635" spans="1:11" x14ac:dyDescent="0.2">
      <c r="A635" s="7">
        <f>DATE(Configurações!$B$3,12,28)</f>
        <v>46384</v>
      </c>
      <c r="B635" s="2" t="str">
        <f t="shared" si="9"/>
        <v>seg</v>
      </c>
      <c r="C635" s="2" t="str">
        <f>Configurações!$A$15</f>
        <v>CAM 09</v>
      </c>
      <c r="D635" s="2" t="str">
        <f>Configurações!$B$15</f>
        <v>Câmera 09</v>
      </c>
      <c r="E635" s="2">
        <f>Configurações!$C$15</f>
        <v>0</v>
      </c>
      <c r="F635" s="2" t="s">
        <v>20</v>
      </c>
      <c r="G635" s="2" t="s">
        <v>20</v>
      </c>
      <c r="H635" s="2" t="s">
        <v>20</v>
      </c>
      <c r="I635" s="6"/>
      <c r="J635" s="6"/>
      <c r="K635" s="6"/>
    </row>
    <row r="636" spans="1:11" x14ac:dyDescent="0.2">
      <c r="A636" s="7">
        <f>DATE(Configurações!$B$3,12,28)</f>
        <v>46384</v>
      </c>
      <c r="B636" s="2" t="str">
        <f t="shared" si="9"/>
        <v>seg</v>
      </c>
      <c r="C636" s="2" t="str">
        <f>Configurações!$A$16</f>
        <v>CAM 10</v>
      </c>
      <c r="D636" s="2" t="str">
        <f>Configurações!$B$16</f>
        <v>Câmera 10</v>
      </c>
      <c r="E636" s="2">
        <f>Configurações!$C$16</f>
        <v>0</v>
      </c>
      <c r="F636" s="2" t="s">
        <v>20</v>
      </c>
      <c r="G636" s="2" t="s">
        <v>20</v>
      </c>
      <c r="H636" s="2" t="s">
        <v>20</v>
      </c>
      <c r="I636" s="6"/>
      <c r="J636" s="6"/>
      <c r="K636" s="6"/>
    </row>
    <row r="637" spans="1:11" x14ac:dyDescent="0.2">
      <c r="A637" s="7">
        <f>DATE(Configurações!$B$3,12,28)</f>
        <v>46384</v>
      </c>
      <c r="B637" s="2" t="str">
        <f t="shared" si="9"/>
        <v>seg</v>
      </c>
      <c r="C637" s="2" t="str">
        <f>Configurações!$A$17</f>
        <v>CAM 11</v>
      </c>
      <c r="D637" s="2" t="str">
        <f>Configurações!$B$17</f>
        <v>Câmera 11</v>
      </c>
      <c r="E637" s="2">
        <f>Configurações!$C$17</f>
        <v>0</v>
      </c>
      <c r="F637" s="2" t="s">
        <v>20</v>
      </c>
      <c r="G637" s="2" t="s">
        <v>20</v>
      </c>
      <c r="H637" s="2" t="s">
        <v>20</v>
      </c>
      <c r="I637" s="6"/>
      <c r="J637" s="6"/>
      <c r="K637" s="6"/>
    </row>
    <row r="638" spans="1:11" x14ac:dyDescent="0.2">
      <c r="A638" s="7">
        <f>DATE(Configurações!$B$3,12,28)</f>
        <v>46384</v>
      </c>
      <c r="B638" s="2" t="str">
        <f t="shared" si="9"/>
        <v>seg</v>
      </c>
      <c r="C638" s="2" t="str">
        <f>Configurações!$A$18</f>
        <v>CAM 12</v>
      </c>
      <c r="D638" s="2" t="str">
        <f>Configurações!$B$18</f>
        <v>Câmera 12</v>
      </c>
      <c r="E638" s="2">
        <f>Configurações!$C$18</f>
        <v>0</v>
      </c>
      <c r="F638" s="2" t="s">
        <v>20</v>
      </c>
      <c r="G638" s="2" t="s">
        <v>20</v>
      </c>
      <c r="H638" s="2" t="s">
        <v>20</v>
      </c>
      <c r="I638" s="6"/>
      <c r="J638" s="6"/>
      <c r="K638" s="6"/>
    </row>
    <row r="639" spans="1:11" x14ac:dyDescent="0.2">
      <c r="A639" s="7">
        <f>DATE(Configurações!$B$3,12,28)</f>
        <v>46384</v>
      </c>
      <c r="B639" s="2" t="str">
        <f t="shared" si="9"/>
        <v>seg</v>
      </c>
      <c r="C639" s="2" t="str">
        <f>Configurações!$A$19</f>
        <v>CAM 13</v>
      </c>
      <c r="D639" s="2" t="str">
        <f>Configurações!$B$19</f>
        <v>Câmera 13</v>
      </c>
      <c r="E639" s="2">
        <f>Configurações!$C$19</f>
        <v>0</v>
      </c>
      <c r="F639" s="2" t="s">
        <v>20</v>
      </c>
      <c r="G639" s="2" t="s">
        <v>20</v>
      </c>
      <c r="H639" s="2" t="s">
        <v>20</v>
      </c>
      <c r="I639" s="6"/>
      <c r="J639" s="6"/>
      <c r="K639" s="6"/>
    </row>
    <row r="640" spans="1:11" x14ac:dyDescent="0.2">
      <c r="A640" s="7">
        <f>DATE(Configurações!$B$3,12,28)</f>
        <v>46384</v>
      </c>
      <c r="B640" s="2" t="str">
        <f t="shared" si="9"/>
        <v>seg</v>
      </c>
      <c r="C640" s="2" t="str">
        <f>Configurações!$A$20</f>
        <v>CAM 14</v>
      </c>
      <c r="D640" s="2" t="str">
        <f>Configurações!$B$20</f>
        <v>Reserva/Futura 01</v>
      </c>
      <c r="E640" s="2">
        <f>Configurações!$C$20</f>
        <v>0</v>
      </c>
      <c r="F640" s="2" t="s">
        <v>20</v>
      </c>
      <c r="G640" s="2" t="s">
        <v>20</v>
      </c>
      <c r="H640" s="2" t="s">
        <v>20</v>
      </c>
      <c r="I640" s="6"/>
      <c r="J640" s="6"/>
      <c r="K640" s="6"/>
    </row>
    <row r="641" spans="1:11" x14ac:dyDescent="0.2">
      <c r="A641" s="7">
        <f>DATE(Configurações!$B$3,12,28)</f>
        <v>46384</v>
      </c>
      <c r="B641" s="2" t="str">
        <f t="shared" si="9"/>
        <v>seg</v>
      </c>
      <c r="C641" s="2" t="str">
        <f>Configurações!$A$21</f>
        <v>CAM 15</v>
      </c>
      <c r="D641" s="2" t="str">
        <f>Configurações!$B$21</f>
        <v>Reserva/Futura 02</v>
      </c>
      <c r="E641" s="2">
        <f>Configurações!$C$21</f>
        <v>0</v>
      </c>
      <c r="F641" s="2" t="s">
        <v>20</v>
      </c>
      <c r="G641" s="2" t="s">
        <v>20</v>
      </c>
      <c r="H641" s="2" t="s">
        <v>20</v>
      </c>
      <c r="I641" s="6"/>
      <c r="J641" s="6"/>
      <c r="K641" s="6"/>
    </row>
    <row r="642" spans="1:11" x14ac:dyDescent="0.2">
      <c r="A642" s="7">
        <f>DATE(Configurações!$B$3,12,28)</f>
        <v>46384</v>
      </c>
      <c r="B642" s="2" t="str">
        <f t="shared" si="9"/>
        <v>seg</v>
      </c>
      <c r="C642" s="2" t="str">
        <f>Configurações!$A$22</f>
        <v>CAM 16</v>
      </c>
      <c r="D642" s="2" t="str">
        <f>Configurações!$B$22</f>
        <v>Reserva/Futura 03</v>
      </c>
      <c r="E642" s="2">
        <f>Configurações!$C$22</f>
        <v>0</v>
      </c>
      <c r="F642" s="2" t="s">
        <v>20</v>
      </c>
      <c r="G642" s="2" t="s">
        <v>20</v>
      </c>
      <c r="H642" s="2" t="s">
        <v>20</v>
      </c>
      <c r="I642" s="6"/>
      <c r="J642" s="6"/>
      <c r="K642" s="6"/>
    </row>
    <row r="643" spans="1:11" x14ac:dyDescent="0.2">
      <c r="A643" s="7">
        <f>DATE(Configurações!$B$3,12,28)</f>
        <v>46384</v>
      </c>
      <c r="B643" s="2" t="str">
        <f t="shared" si="9"/>
        <v>seg</v>
      </c>
      <c r="C643" s="2" t="str">
        <f>Configurações!$A$23</f>
        <v>CAM 17</v>
      </c>
      <c r="D643" s="2" t="str">
        <f>Configurações!$B$23</f>
        <v>Reserva/Futura 04</v>
      </c>
      <c r="E643" s="2">
        <f>Configurações!$C$23</f>
        <v>0</v>
      </c>
      <c r="F643" s="2" t="s">
        <v>20</v>
      </c>
      <c r="G643" s="2" t="s">
        <v>20</v>
      </c>
      <c r="H643" s="2" t="s">
        <v>20</v>
      </c>
      <c r="I643" s="6"/>
      <c r="J643" s="6"/>
      <c r="K643" s="6"/>
    </row>
    <row r="644" spans="1:11" x14ac:dyDescent="0.2">
      <c r="A644" s="7">
        <f>DATE(Configurações!$B$3,12,28)</f>
        <v>46384</v>
      </c>
      <c r="B644" s="2" t="str">
        <f t="shared" si="9"/>
        <v>seg</v>
      </c>
      <c r="C644" s="2" t="str">
        <f>Configurações!$A$24</f>
        <v>CAM 18</v>
      </c>
      <c r="D644" s="2" t="str">
        <f>Configurações!$B$24</f>
        <v>Reserva/Futura 05</v>
      </c>
      <c r="E644" s="2">
        <f>Configurações!$C$24</f>
        <v>0</v>
      </c>
      <c r="F644" s="2" t="s">
        <v>20</v>
      </c>
      <c r="G644" s="2" t="s">
        <v>20</v>
      </c>
      <c r="H644" s="2" t="s">
        <v>20</v>
      </c>
      <c r="I644" s="6"/>
      <c r="J644" s="6"/>
      <c r="K644" s="6"/>
    </row>
    <row r="645" spans="1:11" x14ac:dyDescent="0.2">
      <c r="A645" s="7">
        <f>DATE(Configurações!$B$3,12,28)</f>
        <v>46384</v>
      </c>
      <c r="B645" s="2" t="str">
        <f t="shared" si="9"/>
        <v>seg</v>
      </c>
      <c r="C645" s="2" t="str">
        <f>Configurações!$A$25</f>
        <v>CAM 19</v>
      </c>
      <c r="D645" s="2" t="str">
        <f>Configurações!$B$25</f>
        <v>Reserva/Futura 06</v>
      </c>
      <c r="E645" s="2">
        <f>Configurações!$C$25</f>
        <v>0</v>
      </c>
      <c r="F645" s="2" t="s">
        <v>20</v>
      </c>
      <c r="G645" s="2" t="s">
        <v>20</v>
      </c>
      <c r="H645" s="2" t="s">
        <v>20</v>
      </c>
      <c r="I645" s="6"/>
      <c r="J645" s="6"/>
      <c r="K645" s="6"/>
    </row>
    <row r="646" spans="1:11" x14ac:dyDescent="0.2">
      <c r="A646" s="7">
        <f>DATE(Configurações!$B$3,12,28)</f>
        <v>46384</v>
      </c>
      <c r="B646" s="2" t="str">
        <f t="shared" ref="B646:B709" si="10">TEXT(A646,"ddd")</f>
        <v>seg</v>
      </c>
      <c r="C646" s="2" t="str">
        <f>Configurações!$A$26</f>
        <v>CAM 20</v>
      </c>
      <c r="D646" s="2" t="str">
        <f>Configurações!$B$26</f>
        <v>Reserva/Futura 07</v>
      </c>
      <c r="E646" s="2">
        <f>Configurações!$C$26</f>
        <v>0</v>
      </c>
      <c r="F646" s="2" t="s">
        <v>20</v>
      </c>
      <c r="G646" s="2" t="s">
        <v>20</v>
      </c>
      <c r="H646" s="2" t="s">
        <v>20</v>
      </c>
      <c r="I646" s="6"/>
      <c r="J646" s="6"/>
      <c r="K646" s="6"/>
    </row>
    <row r="647" spans="1:11" x14ac:dyDescent="0.2">
      <c r="A647" s="7">
        <f>DATE(Configurações!$B$3,12,28)</f>
        <v>46384</v>
      </c>
      <c r="B647" s="2" t="str">
        <f t="shared" si="10"/>
        <v>seg</v>
      </c>
      <c r="C647" s="2" t="str">
        <f>Configurações!$A$27</f>
        <v>CAM 21</v>
      </c>
      <c r="D647" s="2" t="str">
        <f>Configurações!$B$27</f>
        <v>Reserva/Futura 08</v>
      </c>
      <c r="E647" s="2">
        <f>Configurações!$C$27</f>
        <v>0</v>
      </c>
      <c r="F647" s="2" t="s">
        <v>20</v>
      </c>
      <c r="G647" s="2" t="s">
        <v>20</v>
      </c>
      <c r="H647" s="2" t="s">
        <v>20</v>
      </c>
      <c r="I647" s="6"/>
      <c r="J647" s="6"/>
      <c r="K647" s="6"/>
    </row>
    <row r="648" spans="1:11" x14ac:dyDescent="0.2">
      <c r="A648" s="7">
        <f>DATE(Configurações!$B$3,12,28)</f>
        <v>46384</v>
      </c>
      <c r="B648" s="2" t="str">
        <f t="shared" si="10"/>
        <v>seg</v>
      </c>
      <c r="C648" s="2" t="str">
        <f>Configurações!$A$28</f>
        <v>CAM 22</v>
      </c>
      <c r="D648" s="2" t="str">
        <f>Configurações!$B$28</f>
        <v>Reserva/Futura 09</v>
      </c>
      <c r="E648" s="2">
        <f>Configurações!$C$28</f>
        <v>0</v>
      </c>
      <c r="F648" s="2" t="s">
        <v>20</v>
      </c>
      <c r="G648" s="2" t="s">
        <v>20</v>
      </c>
      <c r="H648" s="2" t="s">
        <v>20</v>
      </c>
      <c r="I648" s="6"/>
      <c r="J648" s="6"/>
      <c r="K648" s="6"/>
    </row>
    <row r="649" spans="1:11" x14ac:dyDescent="0.2">
      <c r="A649" s="7">
        <f>DATE(Configurações!$B$3,12,28)</f>
        <v>46384</v>
      </c>
      <c r="B649" s="2" t="str">
        <f t="shared" si="10"/>
        <v>seg</v>
      </c>
      <c r="C649" s="2" t="str">
        <f>Configurações!$A$29</f>
        <v>CAM 23</v>
      </c>
      <c r="D649" s="2" t="str">
        <f>Configurações!$B$29</f>
        <v>Reserva/Futura 10</v>
      </c>
      <c r="E649" s="2">
        <f>Configurações!$C$29</f>
        <v>0</v>
      </c>
      <c r="F649" s="2" t="s">
        <v>20</v>
      </c>
      <c r="G649" s="2" t="s">
        <v>20</v>
      </c>
      <c r="H649" s="2" t="s">
        <v>20</v>
      </c>
      <c r="I649" s="6"/>
      <c r="J649" s="6"/>
      <c r="K649" s="6"/>
    </row>
    <row r="650" spans="1:11" x14ac:dyDescent="0.2">
      <c r="A650" s="7">
        <f>DATE(Configurações!$B$3,12,29)</f>
        <v>46385</v>
      </c>
      <c r="B650" s="2" t="str">
        <f t="shared" si="10"/>
        <v>ter</v>
      </c>
      <c r="C650" s="2" t="str">
        <f>Configurações!$A$7</f>
        <v>CAM 01</v>
      </c>
      <c r="D650" s="2" t="str">
        <f>Configurações!$B$7</f>
        <v>BARU ANDES</v>
      </c>
      <c r="E650" s="2">
        <f>Configurações!$C$7</f>
        <v>0</v>
      </c>
      <c r="F650" s="2" t="s">
        <v>20</v>
      </c>
      <c r="G650" s="2" t="s">
        <v>20</v>
      </c>
      <c r="H650" s="2" t="s">
        <v>20</v>
      </c>
      <c r="I650" s="6"/>
      <c r="J650" s="6"/>
      <c r="K650" s="6"/>
    </row>
    <row r="651" spans="1:11" x14ac:dyDescent="0.2">
      <c r="A651" s="7">
        <f>DATE(Configurações!$B$3,12,29)</f>
        <v>46385</v>
      </c>
      <c r="B651" s="2" t="str">
        <f t="shared" si="10"/>
        <v>ter</v>
      </c>
      <c r="C651" s="2" t="str">
        <f>Configurações!$A$8</f>
        <v>CAM 02</v>
      </c>
      <c r="D651" s="2" t="str">
        <f>Configurações!$B$8</f>
        <v>Câmera 02</v>
      </c>
      <c r="E651" s="2">
        <f>Configurações!$C$8</f>
        <v>0</v>
      </c>
      <c r="F651" s="2" t="s">
        <v>20</v>
      </c>
      <c r="G651" s="2" t="s">
        <v>20</v>
      </c>
      <c r="H651" s="2" t="s">
        <v>20</v>
      </c>
      <c r="I651" s="6"/>
      <c r="J651" s="6"/>
      <c r="K651" s="6"/>
    </row>
    <row r="652" spans="1:11" x14ac:dyDescent="0.2">
      <c r="A652" s="7">
        <f>DATE(Configurações!$B$3,12,29)</f>
        <v>46385</v>
      </c>
      <c r="B652" s="2" t="str">
        <f t="shared" si="10"/>
        <v>ter</v>
      </c>
      <c r="C652" s="2" t="str">
        <f>Configurações!$A$9</f>
        <v>CAM 03</v>
      </c>
      <c r="D652" s="2" t="str">
        <f>Configurações!$B$9</f>
        <v>Câmera 03</v>
      </c>
      <c r="E652" s="2">
        <f>Configurações!$C$9</f>
        <v>0</v>
      </c>
      <c r="F652" s="2" t="s">
        <v>20</v>
      </c>
      <c r="G652" s="2" t="s">
        <v>20</v>
      </c>
      <c r="H652" s="2" t="s">
        <v>20</v>
      </c>
      <c r="I652" s="6"/>
      <c r="J652" s="6"/>
      <c r="K652" s="6"/>
    </row>
    <row r="653" spans="1:11" x14ac:dyDescent="0.2">
      <c r="A653" s="7">
        <f>DATE(Configurações!$B$3,12,29)</f>
        <v>46385</v>
      </c>
      <c r="B653" s="2" t="str">
        <f t="shared" si="10"/>
        <v>ter</v>
      </c>
      <c r="C653" s="2" t="str">
        <f>Configurações!$A$10</f>
        <v>CAM 04</v>
      </c>
      <c r="D653" s="2" t="str">
        <f>Configurações!$B$10</f>
        <v>Câmera 04</v>
      </c>
      <c r="E653" s="2">
        <f>Configurações!$C$10</f>
        <v>0</v>
      </c>
      <c r="F653" s="2" t="s">
        <v>20</v>
      </c>
      <c r="G653" s="2" t="s">
        <v>20</v>
      </c>
      <c r="H653" s="2" t="s">
        <v>20</v>
      </c>
      <c r="I653" s="6"/>
      <c r="J653" s="6"/>
      <c r="K653" s="6"/>
    </row>
    <row r="654" spans="1:11" x14ac:dyDescent="0.2">
      <c r="A654" s="7">
        <f>DATE(Configurações!$B$3,12,29)</f>
        <v>46385</v>
      </c>
      <c r="B654" s="2" t="str">
        <f t="shared" si="10"/>
        <v>ter</v>
      </c>
      <c r="C654" s="2" t="str">
        <f>Configurações!$A$11</f>
        <v>CAM 05</v>
      </c>
      <c r="D654" s="2" t="str">
        <f>Configurações!$B$11</f>
        <v>Câmera 05</v>
      </c>
      <c r="E654" s="2">
        <f>Configurações!$C$11</f>
        <v>0</v>
      </c>
      <c r="F654" s="2" t="s">
        <v>20</v>
      </c>
      <c r="G654" s="2" t="s">
        <v>20</v>
      </c>
      <c r="H654" s="2" t="s">
        <v>20</v>
      </c>
      <c r="I654" s="6"/>
      <c r="J654" s="6"/>
      <c r="K654" s="6"/>
    </row>
    <row r="655" spans="1:11" x14ac:dyDescent="0.2">
      <c r="A655" s="7">
        <f>DATE(Configurações!$B$3,12,29)</f>
        <v>46385</v>
      </c>
      <c r="B655" s="2" t="str">
        <f t="shared" si="10"/>
        <v>ter</v>
      </c>
      <c r="C655" s="2" t="str">
        <f>Configurações!$A$12</f>
        <v>CAM 06</v>
      </c>
      <c r="D655" s="2" t="str">
        <f>Configurações!$B$12</f>
        <v>Câmera 06</v>
      </c>
      <c r="E655" s="2">
        <f>Configurações!$C$12</f>
        <v>0</v>
      </c>
      <c r="F655" s="2" t="s">
        <v>20</v>
      </c>
      <c r="G655" s="2" t="s">
        <v>20</v>
      </c>
      <c r="H655" s="2" t="s">
        <v>20</v>
      </c>
      <c r="I655" s="6"/>
      <c r="J655" s="6"/>
      <c r="K655" s="6"/>
    </row>
    <row r="656" spans="1:11" x14ac:dyDescent="0.2">
      <c r="A656" s="7">
        <f>DATE(Configurações!$B$3,12,29)</f>
        <v>46385</v>
      </c>
      <c r="B656" s="2" t="str">
        <f t="shared" si="10"/>
        <v>ter</v>
      </c>
      <c r="C656" s="2" t="str">
        <f>Configurações!$A$13</f>
        <v>CAM 07</v>
      </c>
      <c r="D656" s="2" t="str">
        <f>Configurações!$B$13</f>
        <v>Câmera 07</v>
      </c>
      <c r="E656" s="2">
        <f>Configurações!$C$13</f>
        <v>0</v>
      </c>
      <c r="F656" s="2" t="s">
        <v>20</v>
      </c>
      <c r="G656" s="2" t="s">
        <v>20</v>
      </c>
      <c r="H656" s="2" t="s">
        <v>20</v>
      </c>
      <c r="I656" s="6"/>
      <c r="J656" s="6"/>
      <c r="K656" s="6"/>
    </row>
    <row r="657" spans="1:11" x14ac:dyDescent="0.2">
      <c r="A657" s="7">
        <f>DATE(Configurações!$B$3,12,29)</f>
        <v>46385</v>
      </c>
      <c r="B657" s="2" t="str">
        <f t="shared" si="10"/>
        <v>ter</v>
      </c>
      <c r="C657" s="2" t="str">
        <f>Configurações!$A$14</f>
        <v>CAM 08</v>
      </c>
      <c r="D657" s="2" t="str">
        <f>Configurações!$B$14</f>
        <v>Câmera 08</v>
      </c>
      <c r="E657" s="2">
        <f>Configurações!$C$14</f>
        <v>0</v>
      </c>
      <c r="F657" s="2" t="s">
        <v>20</v>
      </c>
      <c r="G657" s="2" t="s">
        <v>20</v>
      </c>
      <c r="H657" s="2" t="s">
        <v>20</v>
      </c>
      <c r="I657" s="6"/>
      <c r="J657" s="6"/>
      <c r="K657" s="6"/>
    </row>
    <row r="658" spans="1:11" x14ac:dyDescent="0.2">
      <c r="A658" s="7">
        <f>DATE(Configurações!$B$3,12,29)</f>
        <v>46385</v>
      </c>
      <c r="B658" s="2" t="str">
        <f t="shared" si="10"/>
        <v>ter</v>
      </c>
      <c r="C658" s="2" t="str">
        <f>Configurações!$A$15</f>
        <v>CAM 09</v>
      </c>
      <c r="D658" s="2" t="str">
        <f>Configurações!$B$15</f>
        <v>Câmera 09</v>
      </c>
      <c r="E658" s="2">
        <f>Configurações!$C$15</f>
        <v>0</v>
      </c>
      <c r="F658" s="2" t="s">
        <v>20</v>
      </c>
      <c r="G658" s="2" t="s">
        <v>20</v>
      </c>
      <c r="H658" s="2" t="s">
        <v>20</v>
      </c>
      <c r="I658" s="6"/>
      <c r="J658" s="6"/>
      <c r="K658" s="6"/>
    </row>
    <row r="659" spans="1:11" x14ac:dyDescent="0.2">
      <c r="A659" s="7">
        <f>DATE(Configurações!$B$3,12,29)</f>
        <v>46385</v>
      </c>
      <c r="B659" s="2" t="str">
        <f t="shared" si="10"/>
        <v>ter</v>
      </c>
      <c r="C659" s="2" t="str">
        <f>Configurações!$A$16</f>
        <v>CAM 10</v>
      </c>
      <c r="D659" s="2" t="str">
        <f>Configurações!$B$16</f>
        <v>Câmera 10</v>
      </c>
      <c r="E659" s="2">
        <f>Configurações!$C$16</f>
        <v>0</v>
      </c>
      <c r="F659" s="2" t="s">
        <v>20</v>
      </c>
      <c r="G659" s="2" t="s">
        <v>20</v>
      </c>
      <c r="H659" s="2" t="s">
        <v>20</v>
      </c>
      <c r="I659" s="6"/>
      <c r="J659" s="6"/>
      <c r="K659" s="6"/>
    </row>
    <row r="660" spans="1:11" x14ac:dyDescent="0.2">
      <c r="A660" s="7">
        <f>DATE(Configurações!$B$3,12,29)</f>
        <v>46385</v>
      </c>
      <c r="B660" s="2" t="str">
        <f t="shared" si="10"/>
        <v>ter</v>
      </c>
      <c r="C660" s="2" t="str">
        <f>Configurações!$A$17</f>
        <v>CAM 11</v>
      </c>
      <c r="D660" s="2" t="str">
        <f>Configurações!$B$17</f>
        <v>Câmera 11</v>
      </c>
      <c r="E660" s="2">
        <f>Configurações!$C$17</f>
        <v>0</v>
      </c>
      <c r="F660" s="2" t="s">
        <v>20</v>
      </c>
      <c r="G660" s="2" t="s">
        <v>20</v>
      </c>
      <c r="H660" s="2" t="s">
        <v>20</v>
      </c>
      <c r="I660" s="6"/>
      <c r="J660" s="6"/>
      <c r="K660" s="6"/>
    </row>
    <row r="661" spans="1:11" x14ac:dyDescent="0.2">
      <c r="A661" s="7">
        <f>DATE(Configurações!$B$3,12,29)</f>
        <v>46385</v>
      </c>
      <c r="B661" s="2" t="str">
        <f t="shared" si="10"/>
        <v>ter</v>
      </c>
      <c r="C661" s="2" t="str">
        <f>Configurações!$A$18</f>
        <v>CAM 12</v>
      </c>
      <c r="D661" s="2" t="str">
        <f>Configurações!$B$18</f>
        <v>Câmera 12</v>
      </c>
      <c r="E661" s="2">
        <f>Configurações!$C$18</f>
        <v>0</v>
      </c>
      <c r="F661" s="2" t="s">
        <v>20</v>
      </c>
      <c r="G661" s="2" t="s">
        <v>20</v>
      </c>
      <c r="H661" s="2" t="s">
        <v>20</v>
      </c>
      <c r="I661" s="6"/>
      <c r="J661" s="6"/>
      <c r="K661" s="6"/>
    </row>
    <row r="662" spans="1:11" x14ac:dyDescent="0.2">
      <c r="A662" s="7">
        <f>DATE(Configurações!$B$3,12,29)</f>
        <v>46385</v>
      </c>
      <c r="B662" s="2" t="str">
        <f t="shared" si="10"/>
        <v>ter</v>
      </c>
      <c r="C662" s="2" t="str">
        <f>Configurações!$A$19</f>
        <v>CAM 13</v>
      </c>
      <c r="D662" s="2" t="str">
        <f>Configurações!$B$19</f>
        <v>Câmera 13</v>
      </c>
      <c r="E662" s="2">
        <f>Configurações!$C$19</f>
        <v>0</v>
      </c>
      <c r="F662" s="2" t="s">
        <v>20</v>
      </c>
      <c r="G662" s="2" t="s">
        <v>20</v>
      </c>
      <c r="H662" s="2" t="s">
        <v>20</v>
      </c>
      <c r="I662" s="6"/>
      <c r="J662" s="6"/>
      <c r="K662" s="6"/>
    </row>
    <row r="663" spans="1:11" x14ac:dyDescent="0.2">
      <c r="A663" s="7">
        <f>DATE(Configurações!$B$3,12,29)</f>
        <v>46385</v>
      </c>
      <c r="B663" s="2" t="str">
        <f t="shared" si="10"/>
        <v>ter</v>
      </c>
      <c r="C663" s="2" t="str">
        <f>Configurações!$A$20</f>
        <v>CAM 14</v>
      </c>
      <c r="D663" s="2" t="str">
        <f>Configurações!$B$20</f>
        <v>Reserva/Futura 01</v>
      </c>
      <c r="E663" s="2">
        <f>Configurações!$C$20</f>
        <v>0</v>
      </c>
      <c r="F663" s="2" t="s">
        <v>20</v>
      </c>
      <c r="G663" s="2" t="s">
        <v>20</v>
      </c>
      <c r="H663" s="2" t="s">
        <v>20</v>
      </c>
      <c r="I663" s="6"/>
      <c r="J663" s="6"/>
      <c r="K663" s="6"/>
    </row>
    <row r="664" spans="1:11" x14ac:dyDescent="0.2">
      <c r="A664" s="7">
        <f>DATE(Configurações!$B$3,12,29)</f>
        <v>46385</v>
      </c>
      <c r="B664" s="2" t="str">
        <f t="shared" si="10"/>
        <v>ter</v>
      </c>
      <c r="C664" s="2" t="str">
        <f>Configurações!$A$21</f>
        <v>CAM 15</v>
      </c>
      <c r="D664" s="2" t="str">
        <f>Configurações!$B$21</f>
        <v>Reserva/Futura 02</v>
      </c>
      <c r="E664" s="2">
        <f>Configurações!$C$21</f>
        <v>0</v>
      </c>
      <c r="F664" s="2" t="s">
        <v>20</v>
      </c>
      <c r="G664" s="2" t="s">
        <v>20</v>
      </c>
      <c r="H664" s="2" t="s">
        <v>20</v>
      </c>
      <c r="I664" s="6"/>
      <c r="J664" s="6"/>
      <c r="K664" s="6"/>
    </row>
    <row r="665" spans="1:11" x14ac:dyDescent="0.2">
      <c r="A665" s="7">
        <f>DATE(Configurações!$B$3,12,29)</f>
        <v>46385</v>
      </c>
      <c r="B665" s="2" t="str">
        <f t="shared" si="10"/>
        <v>ter</v>
      </c>
      <c r="C665" s="2" t="str">
        <f>Configurações!$A$22</f>
        <v>CAM 16</v>
      </c>
      <c r="D665" s="2" t="str">
        <f>Configurações!$B$22</f>
        <v>Reserva/Futura 03</v>
      </c>
      <c r="E665" s="2">
        <f>Configurações!$C$22</f>
        <v>0</v>
      </c>
      <c r="F665" s="2" t="s">
        <v>20</v>
      </c>
      <c r="G665" s="2" t="s">
        <v>20</v>
      </c>
      <c r="H665" s="2" t="s">
        <v>20</v>
      </c>
      <c r="I665" s="6"/>
      <c r="J665" s="6"/>
      <c r="K665" s="6"/>
    </row>
    <row r="666" spans="1:11" x14ac:dyDescent="0.2">
      <c r="A666" s="7">
        <f>DATE(Configurações!$B$3,12,29)</f>
        <v>46385</v>
      </c>
      <c r="B666" s="2" t="str">
        <f t="shared" si="10"/>
        <v>ter</v>
      </c>
      <c r="C666" s="2" t="str">
        <f>Configurações!$A$23</f>
        <v>CAM 17</v>
      </c>
      <c r="D666" s="2" t="str">
        <f>Configurações!$B$23</f>
        <v>Reserva/Futura 04</v>
      </c>
      <c r="E666" s="2">
        <f>Configurações!$C$23</f>
        <v>0</v>
      </c>
      <c r="F666" s="2" t="s">
        <v>20</v>
      </c>
      <c r="G666" s="2" t="s">
        <v>20</v>
      </c>
      <c r="H666" s="2" t="s">
        <v>20</v>
      </c>
      <c r="I666" s="6"/>
      <c r="J666" s="6"/>
      <c r="K666" s="6"/>
    </row>
    <row r="667" spans="1:11" x14ac:dyDescent="0.2">
      <c r="A667" s="7">
        <f>DATE(Configurações!$B$3,12,29)</f>
        <v>46385</v>
      </c>
      <c r="B667" s="2" t="str">
        <f t="shared" si="10"/>
        <v>ter</v>
      </c>
      <c r="C667" s="2" t="str">
        <f>Configurações!$A$24</f>
        <v>CAM 18</v>
      </c>
      <c r="D667" s="2" t="str">
        <f>Configurações!$B$24</f>
        <v>Reserva/Futura 05</v>
      </c>
      <c r="E667" s="2">
        <f>Configurações!$C$24</f>
        <v>0</v>
      </c>
      <c r="F667" s="2" t="s">
        <v>20</v>
      </c>
      <c r="G667" s="2" t="s">
        <v>20</v>
      </c>
      <c r="H667" s="2" t="s">
        <v>20</v>
      </c>
      <c r="I667" s="6"/>
      <c r="J667" s="6"/>
      <c r="K667" s="6"/>
    </row>
    <row r="668" spans="1:11" x14ac:dyDescent="0.2">
      <c r="A668" s="7">
        <f>DATE(Configurações!$B$3,12,29)</f>
        <v>46385</v>
      </c>
      <c r="B668" s="2" t="str">
        <f t="shared" si="10"/>
        <v>ter</v>
      </c>
      <c r="C668" s="2" t="str">
        <f>Configurações!$A$25</f>
        <v>CAM 19</v>
      </c>
      <c r="D668" s="2" t="str">
        <f>Configurações!$B$25</f>
        <v>Reserva/Futura 06</v>
      </c>
      <c r="E668" s="2">
        <f>Configurações!$C$25</f>
        <v>0</v>
      </c>
      <c r="F668" s="2" t="s">
        <v>20</v>
      </c>
      <c r="G668" s="2" t="s">
        <v>20</v>
      </c>
      <c r="H668" s="2" t="s">
        <v>20</v>
      </c>
      <c r="I668" s="6"/>
      <c r="J668" s="6"/>
      <c r="K668" s="6"/>
    </row>
    <row r="669" spans="1:11" x14ac:dyDescent="0.2">
      <c r="A669" s="7">
        <f>DATE(Configurações!$B$3,12,29)</f>
        <v>46385</v>
      </c>
      <c r="B669" s="2" t="str">
        <f t="shared" si="10"/>
        <v>ter</v>
      </c>
      <c r="C669" s="2" t="str">
        <f>Configurações!$A$26</f>
        <v>CAM 20</v>
      </c>
      <c r="D669" s="2" t="str">
        <f>Configurações!$B$26</f>
        <v>Reserva/Futura 07</v>
      </c>
      <c r="E669" s="2">
        <f>Configurações!$C$26</f>
        <v>0</v>
      </c>
      <c r="F669" s="2" t="s">
        <v>20</v>
      </c>
      <c r="G669" s="2" t="s">
        <v>20</v>
      </c>
      <c r="H669" s="2" t="s">
        <v>20</v>
      </c>
      <c r="I669" s="6"/>
      <c r="J669" s="6"/>
      <c r="K669" s="6"/>
    </row>
    <row r="670" spans="1:11" x14ac:dyDescent="0.2">
      <c r="A670" s="7">
        <f>DATE(Configurações!$B$3,12,29)</f>
        <v>46385</v>
      </c>
      <c r="B670" s="2" t="str">
        <f t="shared" si="10"/>
        <v>ter</v>
      </c>
      <c r="C670" s="2" t="str">
        <f>Configurações!$A$27</f>
        <v>CAM 21</v>
      </c>
      <c r="D670" s="2" t="str">
        <f>Configurações!$B$27</f>
        <v>Reserva/Futura 08</v>
      </c>
      <c r="E670" s="2">
        <f>Configurações!$C$27</f>
        <v>0</v>
      </c>
      <c r="F670" s="2" t="s">
        <v>20</v>
      </c>
      <c r="G670" s="2" t="s">
        <v>20</v>
      </c>
      <c r="H670" s="2" t="s">
        <v>20</v>
      </c>
      <c r="I670" s="6"/>
      <c r="J670" s="6"/>
      <c r="K670" s="6"/>
    </row>
    <row r="671" spans="1:11" x14ac:dyDescent="0.2">
      <c r="A671" s="7">
        <f>DATE(Configurações!$B$3,12,29)</f>
        <v>46385</v>
      </c>
      <c r="B671" s="2" t="str">
        <f t="shared" si="10"/>
        <v>ter</v>
      </c>
      <c r="C671" s="2" t="str">
        <f>Configurações!$A$28</f>
        <v>CAM 22</v>
      </c>
      <c r="D671" s="2" t="str">
        <f>Configurações!$B$28</f>
        <v>Reserva/Futura 09</v>
      </c>
      <c r="E671" s="2">
        <f>Configurações!$C$28</f>
        <v>0</v>
      </c>
      <c r="F671" s="2" t="s">
        <v>20</v>
      </c>
      <c r="G671" s="2" t="s">
        <v>20</v>
      </c>
      <c r="H671" s="2" t="s">
        <v>20</v>
      </c>
      <c r="I671" s="6"/>
      <c r="J671" s="6"/>
      <c r="K671" s="6"/>
    </row>
    <row r="672" spans="1:11" x14ac:dyDescent="0.2">
      <c r="A672" s="7">
        <f>DATE(Configurações!$B$3,12,29)</f>
        <v>46385</v>
      </c>
      <c r="B672" s="2" t="str">
        <f t="shared" si="10"/>
        <v>ter</v>
      </c>
      <c r="C672" s="2" t="str">
        <f>Configurações!$A$29</f>
        <v>CAM 23</v>
      </c>
      <c r="D672" s="2" t="str">
        <f>Configurações!$B$29</f>
        <v>Reserva/Futura 10</v>
      </c>
      <c r="E672" s="2">
        <f>Configurações!$C$29</f>
        <v>0</v>
      </c>
      <c r="F672" s="2" t="s">
        <v>20</v>
      </c>
      <c r="G672" s="2" t="s">
        <v>20</v>
      </c>
      <c r="H672" s="2" t="s">
        <v>20</v>
      </c>
      <c r="I672" s="6"/>
      <c r="J672" s="6"/>
      <c r="K672" s="6"/>
    </row>
    <row r="673" spans="1:11" x14ac:dyDescent="0.2">
      <c r="A673" s="7">
        <f>DATE(Configurações!$B$3,12,30)</f>
        <v>46386</v>
      </c>
      <c r="B673" s="2" t="str">
        <f t="shared" si="10"/>
        <v>qua</v>
      </c>
      <c r="C673" s="2" t="str">
        <f>Configurações!$A$7</f>
        <v>CAM 01</v>
      </c>
      <c r="D673" s="2" t="str">
        <f>Configurações!$B$7</f>
        <v>BARU ANDES</v>
      </c>
      <c r="E673" s="2">
        <f>Configurações!$C$7</f>
        <v>0</v>
      </c>
      <c r="F673" s="2" t="s">
        <v>20</v>
      </c>
      <c r="G673" s="2" t="s">
        <v>20</v>
      </c>
      <c r="H673" s="2" t="s">
        <v>20</v>
      </c>
      <c r="I673" s="6"/>
      <c r="J673" s="6"/>
      <c r="K673" s="6"/>
    </row>
    <row r="674" spans="1:11" x14ac:dyDescent="0.2">
      <c r="A674" s="7">
        <f>DATE(Configurações!$B$3,12,30)</f>
        <v>46386</v>
      </c>
      <c r="B674" s="2" t="str">
        <f t="shared" si="10"/>
        <v>qua</v>
      </c>
      <c r="C674" s="2" t="str">
        <f>Configurações!$A$8</f>
        <v>CAM 02</v>
      </c>
      <c r="D674" s="2" t="str">
        <f>Configurações!$B$8</f>
        <v>Câmera 02</v>
      </c>
      <c r="E674" s="2">
        <f>Configurações!$C$8</f>
        <v>0</v>
      </c>
      <c r="F674" s="2" t="s">
        <v>20</v>
      </c>
      <c r="G674" s="2" t="s">
        <v>20</v>
      </c>
      <c r="H674" s="2" t="s">
        <v>20</v>
      </c>
      <c r="I674" s="6"/>
      <c r="J674" s="6"/>
      <c r="K674" s="6"/>
    </row>
    <row r="675" spans="1:11" x14ac:dyDescent="0.2">
      <c r="A675" s="7">
        <f>DATE(Configurações!$B$3,12,30)</f>
        <v>46386</v>
      </c>
      <c r="B675" s="2" t="str">
        <f t="shared" si="10"/>
        <v>qua</v>
      </c>
      <c r="C675" s="2" t="str">
        <f>Configurações!$A$9</f>
        <v>CAM 03</v>
      </c>
      <c r="D675" s="2" t="str">
        <f>Configurações!$B$9</f>
        <v>Câmera 03</v>
      </c>
      <c r="E675" s="2">
        <f>Configurações!$C$9</f>
        <v>0</v>
      </c>
      <c r="F675" s="2" t="s">
        <v>20</v>
      </c>
      <c r="G675" s="2" t="s">
        <v>20</v>
      </c>
      <c r="H675" s="2" t="s">
        <v>20</v>
      </c>
      <c r="I675" s="6"/>
      <c r="J675" s="6"/>
      <c r="K675" s="6"/>
    </row>
    <row r="676" spans="1:11" x14ac:dyDescent="0.2">
      <c r="A676" s="7">
        <f>DATE(Configurações!$B$3,12,30)</f>
        <v>46386</v>
      </c>
      <c r="B676" s="2" t="str">
        <f t="shared" si="10"/>
        <v>qua</v>
      </c>
      <c r="C676" s="2" t="str">
        <f>Configurações!$A$10</f>
        <v>CAM 04</v>
      </c>
      <c r="D676" s="2" t="str">
        <f>Configurações!$B$10</f>
        <v>Câmera 04</v>
      </c>
      <c r="E676" s="2">
        <f>Configurações!$C$10</f>
        <v>0</v>
      </c>
      <c r="F676" s="2" t="s">
        <v>20</v>
      </c>
      <c r="G676" s="2" t="s">
        <v>20</v>
      </c>
      <c r="H676" s="2" t="s">
        <v>20</v>
      </c>
      <c r="I676" s="6"/>
      <c r="J676" s="6"/>
      <c r="K676" s="6"/>
    </row>
    <row r="677" spans="1:11" x14ac:dyDescent="0.2">
      <c r="A677" s="7">
        <f>DATE(Configurações!$B$3,12,30)</f>
        <v>46386</v>
      </c>
      <c r="B677" s="2" t="str">
        <f t="shared" si="10"/>
        <v>qua</v>
      </c>
      <c r="C677" s="2" t="str">
        <f>Configurações!$A$11</f>
        <v>CAM 05</v>
      </c>
      <c r="D677" s="2" t="str">
        <f>Configurações!$B$11</f>
        <v>Câmera 05</v>
      </c>
      <c r="E677" s="2">
        <f>Configurações!$C$11</f>
        <v>0</v>
      </c>
      <c r="F677" s="2" t="s">
        <v>20</v>
      </c>
      <c r="G677" s="2" t="s">
        <v>20</v>
      </c>
      <c r="H677" s="2" t="s">
        <v>20</v>
      </c>
      <c r="I677" s="6"/>
      <c r="J677" s="6"/>
      <c r="K677" s="6"/>
    </row>
    <row r="678" spans="1:11" x14ac:dyDescent="0.2">
      <c r="A678" s="7">
        <f>DATE(Configurações!$B$3,12,30)</f>
        <v>46386</v>
      </c>
      <c r="B678" s="2" t="str">
        <f t="shared" si="10"/>
        <v>qua</v>
      </c>
      <c r="C678" s="2" t="str">
        <f>Configurações!$A$12</f>
        <v>CAM 06</v>
      </c>
      <c r="D678" s="2" t="str">
        <f>Configurações!$B$12</f>
        <v>Câmera 06</v>
      </c>
      <c r="E678" s="2">
        <f>Configurações!$C$12</f>
        <v>0</v>
      </c>
      <c r="F678" s="2" t="s">
        <v>20</v>
      </c>
      <c r="G678" s="2" t="s">
        <v>20</v>
      </c>
      <c r="H678" s="2" t="s">
        <v>20</v>
      </c>
      <c r="I678" s="6"/>
      <c r="J678" s="6"/>
      <c r="K678" s="6"/>
    </row>
    <row r="679" spans="1:11" x14ac:dyDescent="0.2">
      <c r="A679" s="7">
        <f>DATE(Configurações!$B$3,12,30)</f>
        <v>46386</v>
      </c>
      <c r="B679" s="2" t="str">
        <f t="shared" si="10"/>
        <v>qua</v>
      </c>
      <c r="C679" s="2" t="str">
        <f>Configurações!$A$13</f>
        <v>CAM 07</v>
      </c>
      <c r="D679" s="2" t="str">
        <f>Configurações!$B$13</f>
        <v>Câmera 07</v>
      </c>
      <c r="E679" s="2">
        <f>Configurações!$C$13</f>
        <v>0</v>
      </c>
      <c r="F679" s="2" t="s">
        <v>20</v>
      </c>
      <c r="G679" s="2" t="s">
        <v>20</v>
      </c>
      <c r="H679" s="2" t="s">
        <v>20</v>
      </c>
      <c r="I679" s="6"/>
      <c r="J679" s="6"/>
      <c r="K679" s="6"/>
    </row>
    <row r="680" spans="1:11" x14ac:dyDescent="0.2">
      <c r="A680" s="7">
        <f>DATE(Configurações!$B$3,12,30)</f>
        <v>46386</v>
      </c>
      <c r="B680" s="2" t="str">
        <f t="shared" si="10"/>
        <v>qua</v>
      </c>
      <c r="C680" s="2" t="str">
        <f>Configurações!$A$14</f>
        <v>CAM 08</v>
      </c>
      <c r="D680" s="2" t="str">
        <f>Configurações!$B$14</f>
        <v>Câmera 08</v>
      </c>
      <c r="E680" s="2">
        <f>Configurações!$C$14</f>
        <v>0</v>
      </c>
      <c r="F680" s="2" t="s">
        <v>20</v>
      </c>
      <c r="G680" s="2" t="s">
        <v>20</v>
      </c>
      <c r="H680" s="2" t="s">
        <v>20</v>
      </c>
      <c r="I680" s="6"/>
      <c r="J680" s="6"/>
      <c r="K680" s="6"/>
    </row>
    <row r="681" spans="1:11" x14ac:dyDescent="0.2">
      <c r="A681" s="7">
        <f>DATE(Configurações!$B$3,12,30)</f>
        <v>46386</v>
      </c>
      <c r="B681" s="2" t="str">
        <f t="shared" si="10"/>
        <v>qua</v>
      </c>
      <c r="C681" s="2" t="str">
        <f>Configurações!$A$15</f>
        <v>CAM 09</v>
      </c>
      <c r="D681" s="2" t="str">
        <f>Configurações!$B$15</f>
        <v>Câmera 09</v>
      </c>
      <c r="E681" s="2">
        <f>Configurações!$C$15</f>
        <v>0</v>
      </c>
      <c r="F681" s="2" t="s">
        <v>20</v>
      </c>
      <c r="G681" s="2" t="s">
        <v>20</v>
      </c>
      <c r="H681" s="2" t="s">
        <v>20</v>
      </c>
      <c r="I681" s="6"/>
      <c r="J681" s="6"/>
      <c r="K681" s="6"/>
    </row>
    <row r="682" spans="1:11" x14ac:dyDescent="0.2">
      <c r="A682" s="7">
        <f>DATE(Configurações!$B$3,12,30)</f>
        <v>46386</v>
      </c>
      <c r="B682" s="2" t="str">
        <f t="shared" si="10"/>
        <v>qua</v>
      </c>
      <c r="C682" s="2" t="str">
        <f>Configurações!$A$16</f>
        <v>CAM 10</v>
      </c>
      <c r="D682" s="2" t="str">
        <f>Configurações!$B$16</f>
        <v>Câmera 10</v>
      </c>
      <c r="E682" s="2">
        <f>Configurações!$C$16</f>
        <v>0</v>
      </c>
      <c r="F682" s="2" t="s">
        <v>20</v>
      </c>
      <c r="G682" s="2" t="s">
        <v>20</v>
      </c>
      <c r="H682" s="2" t="s">
        <v>20</v>
      </c>
      <c r="I682" s="6"/>
      <c r="J682" s="6"/>
      <c r="K682" s="6"/>
    </row>
    <row r="683" spans="1:11" x14ac:dyDescent="0.2">
      <c r="A683" s="7">
        <f>DATE(Configurações!$B$3,12,30)</f>
        <v>46386</v>
      </c>
      <c r="B683" s="2" t="str">
        <f t="shared" si="10"/>
        <v>qua</v>
      </c>
      <c r="C683" s="2" t="str">
        <f>Configurações!$A$17</f>
        <v>CAM 11</v>
      </c>
      <c r="D683" s="2" t="str">
        <f>Configurações!$B$17</f>
        <v>Câmera 11</v>
      </c>
      <c r="E683" s="2">
        <f>Configurações!$C$17</f>
        <v>0</v>
      </c>
      <c r="F683" s="2" t="s">
        <v>20</v>
      </c>
      <c r="G683" s="2" t="s">
        <v>20</v>
      </c>
      <c r="H683" s="2" t="s">
        <v>20</v>
      </c>
      <c r="I683" s="6"/>
      <c r="J683" s="6"/>
      <c r="K683" s="6"/>
    </row>
    <row r="684" spans="1:11" x14ac:dyDescent="0.2">
      <c r="A684" s="7">
        <f>DATE(Configurações!$B$3,12,30)</f>
        <v>46386</v>
      </c>
      <c r="B684" s="2" t="str">
        <f t="shared" si="10"/>
        <v>qua</v>
      </c>
      <c r="C684" s="2" t="str">
        <f>Configurações!$A$18</f>
        <v>CAM 12</v>
      </c>
      <c r="D684" s="2" t="str">
        <f>Configurações!$B$18</f>
        <v>Câmera 12</v>
      </c>
      <c r="E684" s="2">
        <f>Configurações!$C$18</f>
        <v>0</v>
      </c>
      <c r="F684" s="2" t="s">
        <v>20</v>
      </c>
      <c r="G684" s="2" t="s">
        <v>20</v>
      </c>
      <c r="H684" s="2" t="s">
        <v>20</v>
      </c>
      <c r="I684" s="6"/>
      <c r="J684" s="6"/>
      <c r="K684" s="6"/>
    </row>
    <row r="685" spans="1:11" x14ac:dyDescent="0.2">
      <c r="A685" s="7">
        <f>DATE(Configurações!$B$3,12,30)</f>
        <v>46386</v>
      </c>
      <c r="B685" s="2" t="str">
        <f t="shared" si="10"/>
        <v>qua</v>
      </c>
      <c r="C685" s="2" t="str">
        <f>Configurações!$A$19</f>
        <v>CAM 13</v>
      </c>
      <c r="D685" s="2" t="str">
        <f>Configurações!$B$19</f>
        <v>Câmera 13</v>
      </c>
      <c r="E685" s="2">
        <f>Configurações!$C$19</f>
        <v>0</v>
      </c>
      <c r="F685" s="2" t="s">
        <v>20</v>
      </c>
      <c r="G685" s="2" t="s">
        <v>20</v>
      </c>
      <c r="H685" s="2" t="s">
        <v>20</v>
      </c>
      <c r="I685" s="6"/>
      <c r="J685" s="6"/>
      <c r="K685" s="6"/>
    </row>
    <row r="686" spans="1:11" x14ac:dyDescent="0.2">
      <c r="A686" s="7">
        <f>DATE(Configurações!$B$3,12,30)</f>
        <v>46386</v>
      </c>
      <c r="B686" s="2" t="str">
        <f t="shared" si="10"/>
        <v>qua</v>
      </c>
      <c r="C686" s="2" t="str">
        <f>Configurações!$A$20</f>
        <v>CAM 14</v>
      </c>
      <c r="D686" s="2" t="str">
        <f>Configurações!$B$20</f>
        <v>Reserva/Futura 01</v>
      </c>
      <c r="E686" s="2">
        <f>Configurações!$C$20</f>
        <v>0</v>
      </c>
      <c r="F686" s="2" t="s">
        <v>20</v>
      </c>
      <c r="G686" s="2" t="s">
        <v>20</v>
      </c>
      <c r="H686" s="2" t="s">
        <v>20</v>
      </c>
      <c r="I686" s="6"/>
      <c r="J686" s="6"/>
      <c r="K686" s="6"/>
    </row>
    <row r="687" spans="1:11" x14ac:dyDescent="0.2">
      <c r="A687" s="7">
        <f>DATE(Configurações!$B$3,12,30)</f>
        <v>46386</v>
      </c>
      <c r="B687" s="2" t="str">
        <f t="shared" si="10"/>
        <v>qua</v>
      </c>
      <c r="C687" s="2" t="str">
        <f>Configurações!$A$21</f>
        <v>CAM 15</v>
      </c>
      <c r="D687" s="2" t="str">
        <f>Configurações!$B$21</f>
        <v>Reserva/Futura 02</v>
      </c>
      <c r="E687" s="2">
        <f>Configurações!$C$21</f>
        <v>0</v>
      </c>
      <c r="F687" s="2" t="s">
        <v>20</v>
      </c>
      <c r="G687" s="2" t="s">
        <v>20</v>
      </c>
      <c r="H687" s="2" t="s">
        <v>20</v>
      </c>
      <c r="I687" s="6"/>
      <c r="J687" s="6"/>
      <c r="K687" s="6"/>
    </row>
    <row r="688" spans="1:11" x14ac:dyDescent="0.2">
      <c r="A688" s="7">
        <f>DATE(Configurações!$B$3,12,30)</f>
        <v>46386</v>
      </c>
      <c r="B688" s="2" t="str">
        <f t="shared" si="10"/>
        <v>qua</v>
      </c>
      <c r="C688" s="2" t="str">
        <f>Configurações!$A$22</f>
        <v>CAM 16</v>
      </c>
      <c r="D688" s="2" t="str">
        <f>Configurações!$B$22</f>
        <v>Reserva/Futura 03</v>
      </c>
      <c r="E688" s="2">
        <f>Configurações!$C$22</f>
        <v>0</v>
      </c>
      <c r="F688" s="2" t="s">
        <v>20</v>
      </c>
      <c r="G688" s="2" t="s">
        <v>20</v>
      </c>
      <c r="H688" s="2" t="s">
        <v>20</v>
      </c>
      <c r="I688" s="6"/>
      <c r="J688" s="6"/>
      <c r="K688" s="6"/>
    </row>
    <row r="689" spans="1:11" x14ac:dyDescent="0.2">
      <c r="A689" s="7">
        <f>DATE(Configurações!$B$3,12,30)</f>
        <v>46386</v>
      </c>
      <c r="B689" s="2" t="str">
        <f t="shared" si="10"/>
        <v>qua</v>
      </c>
      <c r="C689" s="2" t="str">
        <f>Configurações!$A$23</f>
        <v>CAM 17</v>
      </c>
      <c r="D689" s="2" t="str">
        <f>Configurações!$B$23</f>
        <v>Reserva/Futura 04</v>
      </c>
      <c r="E689" s="2">
        <f>Configurações!$C$23</f>
        <v>0</v>
      </c>
      <c r="F689" s="2" t="s">
        <v>20</v>
      </c>
      <c r="G689" s="2" t="s">
        <v>20</v>
      </c>
      <c r="H689" s="2" t="s">
        <v>20</v>
      </c>
      <c r="I689" s="6"/>
      <c r="J689" s="6"/>
      <c r="K689" s="6"/>
    </row>
    <row r="690" spans="1:11" x14ac:dyDescent="0.2">
      <c r="A690" s="7">
        <f>DATE(Configurações!$B$3,12,30)</f>
        <v>46386</v>
      </c>
      <c r="B690" s="2" t="str">
        <f t="shared" si="10"/>
        <v>qua</v>
      </c>
      <c r="C690" s="2" t="str">
        <f>Configurações!$A$24</f>
        <v>CAM 18</v>
      </c>
      <c r="D690" s="2" t="str">
        <f>Configurações!$B$24</f>
        <v>Reserva/Futura 05</v>
      </c>
      <c r="E690" s="2">
        <f>Configurações!$C$24</f>
        <v>0</v>
      </c>
      <c r="F690" s="2" t="s">
        <v>20</v>
      </c>
      <c r="G690" s="2" t="s">
        <v>20</v>
      </c>
      <c r="H690" s="2" t="s">
        <v>20</v>
      </c>
      <c r="I690" s="6"/>
      <c r="J690" s="6"/>
      <c r="K690" s="6"/>
    </row>
    <row r="691" spans="1:11" x14ac:dyDescent="0.2">
      <c r="A691" s="7">
        <f>DATE(Configurações!$B$3,12,30)</f>
        <v>46386</v>
      </c>
      <c r="B691" s="2" t="str">
        <f t="shared" si="10"/>
        <v>qua</v>
      </c>
      <c r="C691" s="2" t="str">
        <f>Configurações!$A$25</f>
        <v>CAM 19</v>
      </c>
      <c r="D691" s="2" t="str">
        <f>Configurações!$B$25</f>
        <v>Reserva/Futura 06</v>
      </c>
      <c r="E691" s="2">
        <f>Configurações!$C$25</f>
        <v>0</v>
      </c>
      <c r="F691" s="2" t="s">
        <v>20</v>
      </c>
      <c r="G691" s="2" t="s">
        <v>20</v>
      </c>
      <c r="H691" s="2" t="s">
        <v>20</v>
      </c>
      <c r="I691" s="6"/>
      <c r="J691" s="6"/>
      <c r="K691" s="6"/>
    </row>
    <row r="692" spans="1:11" x14ac:dyDescent="0.2">
      <c r="A692" s="7">
        <f>DATE(Configurações!$B$3,12,30)</f>
        <v>46386</v>
      </c>
      <c r="B692" s="2" t="str">
        <f t="shared" si="10"/>
        <v>qua</v>
      </c>
      <c r="C692" s="2" t="str">
        <f>Configurações!$A$26</f>
        <v>CAM 20</v>
      </c>
      <c r="D692" s="2" t="str">
        <f>Configurações!$B$26</f>
        <v>Reserva/Futura 07</v>
      </c>
      <c r="E692" s="2">
        <f>Configurações!$C$26</f>
        <v>0</v>
      </c>
      <c r="F692" s="2" t="s">
        <v>20</v>
      </c>
      <c r="G692" s="2" t="s">
        <v>20</v>
      </c>
      <c r="H692" s="2" t="s">
        <v>20</v>
      </c>
      <c r="I692" s="6"/>
      <c r="J692" s="6"/>
      <c r="K692" s="6"/>
    </row>
    <row r="693" spans="1:11" x14ac:dyDescent="0.2">
      <c r="A693" s="7">
        <f>DATE(Configurações!$B$3,12,30)</f>
        <v>46386</v>
      </c>
      <c r="B693" s="2" t="str">
        <f t="shared" si="10"/>
        <v>qua</v>
      </c>
      <c r="C693" s="2" t="str">
        <f>Configurações!$A$27</f>
        <v>CAM 21</v>
      </c>
      <c r="D693" s="2" t="str">
        <f>Configurações!$B$27</f>
        <v>Reserva/Futura 08</v>
      </c>
      <c r="E693" s="2">
        <f>Configurações!$C$27</f>
        <v>0</v>
      </c>
      <c r="F693" s="2" t="s">
        <v>20</v>
      </c>
      <c r="G693" s="2" t="s">
        <v>20</v>
      </c>
      <c r="H693" s="2" t="s">
        <v>20</v>
      </c>
      <c r="I693" s="6"/>
      <c r="J693" s="6"/>
      <c r="K693" s="6"/>
    </row>
    <row r="694" spans="1:11" x14ac:dyDescent="0.2">
      <c r="A694" s="7">
        <f>DATE(Configurações!$B$3,12,30)</f>
        <v>46386</v>
      </c>
      <c r="B694" s="2" t="str">
        <f t="shared" si="10"/>
        <v>qua</v>
      </c>
      <c r="C694" s="2" t="str">
        <f>Configurações!$A$28</f>
        <v>CAM 22</v>
      </c>
      <c r="D694" s="2" t="str">
        <f>Configurações!$B$28</f>
        <v>Reserva/Futura 09</v>
      </c>
      <c r="E694" s="2">
        <f>Configurações!$C$28</f>
        <v>0</v>
      </c>
      <c r="F694" s="2" t="s">
        <v>20</v>
      </c>
      <c r="G694" s="2" t="s">
        <v>20</v>
      </c>
      <c r="H694" s="2" t="s">
        <v>20</v>
      </c>
      <c r="I694" s="6"/>
      <c r="J694" s="6"/>
      <c r="K694" s="6"/>
    </row>
    <row r="695" spans="1:11" x14ac:dyDescent="0.2">
      <c r="A695" s="7">
        <f>DATE(Configurações!$B$3,12,30)</f>
        <v>46386</v>
      </c>
      <c r="B695" s="2" t="str">
        <f t="shared" si="10"/>
        <v>qua</v>
      </c>
      <c r="C695" s="2" t="str">
        <f>Configurações!$A$29</f>
        <v>CAM 23</v>
      </c>
      <c r="D695" s="2" t="str">
        <f>Configurações!$B$29</f>
        <v>Reserva/Futura 10</v>
      </c>
      <c r="E695" s="2">
        <f>Configurações!$C$29</f>
        <v>0</v>
      </c>
      <c r="F695" s="2" t="s">
        <v>20</v>
      </c>
      <c r="G695" s="2" t="s">
        <v>20</v>
      </c>
      <c r="H695" s="2" t="s">
        <v>20</v>
      </c>
      <c r="I695" s="6"/>
      <c r="J695" s="6"/>
      <c r="K695" s="6"/>
    </row>
    <row r="696" spans="1:11" x14ac:dyDescent="0.2">
      <c r="A696" s="7">
        <f>DATE(Configurações!$B$3,12,31)</f>
        <v>46387</v>
      </c>
      <c r="B696" s="2" t="str">
        <f t="shared" si="10"/>
        <v>qui</v>
      </c>
      <c r="C696" s="2" t="str">
        <f>Configurações!$A$7</f>
        <v>CAM 01</v>
      </c>
      <c r="D696" s="2" t="str">
        <f>Configurações!$B$7</f>
        <v>BARU ANDES</v>
      </c>
      <c r="E696" s="2">
        <f>Configurações!$C$7</f>
        <v>0</v>
      </c>
      <c r="F696" s="2" t="s">
        <v>20</v>
      </c>
      <c r="G696" s="2" t="s">
        <v>20</v>
      </c>
      <c r="H696" s="2" t="s">
        <v>20</v>
      </c>
      <c r="I696" s="6"/>
      <c r="J696" s="6"/>
      <c r="K696" s="6"/>
    </row>
    <row r="697" spans="1:11" x14ac:dyDescent="0.2">
      <c r="A697" s="7">
        <f>DATE(Configurações!$B$3,12,31)</f>
        <v>46387</v>
      </c>
      <c r="B697" s="2" t="str">
        <f t="shared" si="10"/>
        <v>qui</v>
      </c>
      <c r="C697" s="2" t="str">
        <f>Configurações!$A$8</f>
        <v>CAM 02</v>
      </c>
      <c r="D697" s="2" t="str">
        <f>Configurações!$B$8</f>
        <v>Câmera 02</v>
      </c>
      <c r="E697" s="2">
        <f>Configurações!$C$8</f>
        <v>0</v>
      </c>
      <c r="F697" s="2" t="s">
        <v>20</v>
      </c>
      <c r="G697" s="2" t="s">
        <v>20</v>
      </c>
      <c r="H697" s="2" t="s">
        <v>20</v>
      </c>
      <c r="I697" s="6"/>
      <c r="J697" s="6"/>
      <c r="K697" s="6"/>
    </row>
    <row r="698" spans="1:11" x14ac:dyDescent="0.2">
      <c r="A698" s="7">
        <f>DATE(Configurações!$B$3,12,31)</f>
        <v>46387</v>
      </c>
      <c r="B698" s="2" t="str">
        <f t="shared" si="10"/>
        <v>qui</v>
      </c>
      <c r="C698" s="2" t="str">
        <f>Configurações!$A$9</f>
        <v>CAM 03</v>
      </c>
      <c r="D698" s="2" t="str">
        <f>Configurações!$B$9</f>
        <v>Câmera 03</v>
      </c>
      <c r="E698" s="2">
        <f>Configurações!$C$9</f>
        <v>0</v>
      </c>
      <c r="F698" s="2" t="s">
        <v>20</v>
      </c>
      <c r="G698" s="2" t="s">
        <v>20</v>
      </c>
      <c r="H698" s="2" t="s">
        <v>20</v>
      </c>
      <c r="I698" s="6"/>
      <c r="J698" s="6"/>
      <c r="K698" s="6"/>
    </row>
    <row r="699" spans="1:11" x14ac:dyDescent="0.2">
      <c r="A699" s="7">
        <f>DATE(Configurações!$B$3,12,31)</f>
        <v>46387</v>
      </c>
      <c r="B699" s="2" t="str">
        <f t="shared" si="10"/>
        <v>qui</v>
      </c>
      <c r="C699" s="2" t="str">
        <f>Configurações!$A$10</f>
        <v>CAM 04</v>
      </c>
      <c r="D699" s="2" t="str">
        <f>Configurações!$B$10</f>
        <v>Câmera 04</v>
      </c>
      <c r="E699" s="2">
        <f>Configurações!$C$10</f>
        <v>0</v>
      </c>
      <c r="F699" s="2" t="s">
        <v>20</v>
      </c>
      <c r="G699" s="2" t="s">
        <v>20</v>
      </c>
      <c r="H699" s="2" t="s">
        <v>20</v>
      </c>
      <c r="I699" s="6"/>
      <c r="J699" s="6"/>
      <c r="K699" s="6"/>
    </row>
    <row r="700" spans="1:11" x14ac:dyDescent="0.2">
      <c r="A700" s="7">
        <f>DATE(Configurações!$B$3,12,31)</f>
        <v>46387</v>
      </c>
      <c r="B700" s="2" t="str">
        <f t="shared" si="10"/>
        <v>qui</v>
      </c>
      <c r="C700" s="2" t="str">
        <f>Configurações!$A$11</f>
        <v>CAM 05</v>
      </c>
      <c r="D700" s="2" t="str">
        <f>Configurações!$B$11</f>
        <v>Câmera 05</v>
      </c>
      <c r="E700" s="2">
        <f>Configurações!$C$11</f>
        <v>0</v>
      </c>
      <c r="F700" s="2" t="s">
        <v>20</v>
      </c>
      <c r="G700" s="2" t="s">
        <v>20</v>
      </c>
      <c r="H700" s="2" t="s">
        <v>20</v>
      </c>
      <c r="I700" s="6"/>
      <c r="J700" s="6"/>
      <c r="K700" s="6"/>
    </row>
    <row r="701" spans="1:11" x14ac:dyDescent="0.2">
      <c r="A701" s="7">
        <f>DATE(Configurações!$B$3,12,31)</f>
        <v>46387</v>
      </c>
      <c r="B701" s="2" t="str">
        <f t="shared" si="10"/>
        <v>qui</v>
      </c>
      <c r="C701" s="2" t="str">
        <f>Configurações!$A$12</f>
        <v>CAM 06</v>
      </c>
      <c r="D701" s="2" t="str">
        <f>Configurações!$B$12</f>
        <v>Câmera 06</v>
      </c>
      <c r="E701" s="2">
        <f>Configurações!$C$12</f>
        <v>0</v>
      </c>
      <c r="F701" s="2" t="s">
        <v>20</v>
      </c>
      <c r="G701" s="2" t="s">
        <v>20</v>
      </c>
      <c r="H701" s="2" t="s">
        <v>20</v>
      </c>
      <c r="I701" s="6"/>
      <c r="J701" s="6"/>
      <c r="K701" s="6"/>
    </row>
    <row r="702" spans="1:11" x14ac:dyDescent="0.2">
      <c r="A702" s="7">
        <f>DATE(Configurações!$B$3,12,31)</f>
        <v>46387</v>
      </c>
      <c r="B702" s="2" t="str">
        <f t="shared" si="10"/>
        <v>qui</v>
      </c>
      <c r="C702" s="2" t="str">
        <f>Configurações!$A$13</f>
        <v>CAM 07</v>
      </c>
      <c r="D702" s="2" t="str">
        <f>Configurações!$B$13</f>
        <v>Câmera 07</v>
      </c>
      <c r="E702" s="2">
        <f>Configurações!$C$13</f>
        <v>0</v>
      </c>
      <c r="F702" s="2" t="s">
        <v>20</v>
      </c>
      <c r="G702" s="2" t="s">
        <v>20</v>
      </c>
      <c r="H702" s="2" t="s">
        <v>20</v>
      </c>
      <c r="I702" s="6"/>
      <c r="J702" s="6"/>
      <c r="K702" s="6"/>
    </row>
    <row r="703" spans="1:11" x14ac:dyDescent="0.2">
      <c r="A703" s="7">
        <f>DATE(Configurações!$B$3,12,31)</f>
        <v>46387</v>
      </c>
      <c r="B703" s="2" t="str">
        <f t="shared" si="10"/>
        <v>qui</v>
      </c>
      <c r="C703" s="2" t="str">
        <f>Configurações!$A$14</f>
        <v>CAM 08</v>
      </c>
      <c r="D703" s="2" t="str">
        <f>Configurações!$B$14</f>
        <v>Câmera 08</v>
      </c>
      <c r="E703" s="2">
        <f>Configurações!$C$14</f>
        <v>0</v>
      </c>
      <c r="F703" s="2" t="s">
        <v>20</v>
      </c>
      <c r="G703" s="2" t="s">
        <v>20</v>
      </c>
      <c r="H703" s="2" t="s">
        <v>20</v>
      </c>
      <c r="I703" s="6"/>
      <c r="J703" s="6"/>
      <c r="K703" s="6"/>
    </row>
    <row r="704" spans="1:11" x14ac:dyDescent="0.2">
      <c r="A704" s="7">
        <f>DATE(Configurações!$B$3,12,31)</f>
        <v>46387</v>
      </c>
      <c r="B704" s="2" t="str">
        <f t="shared" si="10"/>
        <v>qui</v>
      </c>
      <c r="C704" s="2" t="str">
        <f>Configurações!$A$15</f>
        <v>CAM 09</v>
      </c>
      <c r="D704" s="2" t="str">
        <f>Configurações!$B$15</f>
        <v>Câmera 09</v>
      </c>
      <c r="E704" s="2">
        <f>Configurações!$C$15</f>
        <v>0</v>
      </c>
      <c r="F704" s="2" t="s">
        <v>20</v>
      </c>
      <c r="G704" s="2" t="s">
        <v>20</v>
      </c>
      <c r="H704" s="2" t="s">
        <v>20</v>
      </c>
      <c r="I704" s="6"/>
      <c r="J704" s="6"/>
      <c r="K704" s="6"/>
    </row>
    <row r="705" spans="1:11" x14ac:dyDescent="0.2">
      <c r="A705" s="7">
        <f>DATE(Configurações!$B$3,12,31)</f>
        <v>46387</v>
      </c>
      <c r="B705" s="2" t="str">
        <f t="shared" si="10"/>
        <v>qui</v>
      </c>
      <c r="C705" s="2" t="str">
        <f>Configurações!$A$16</f>
        <v>CAM 10</v>
      </c>
      <c r="D705" s="2" t="str">
        <f>Configurações!$B$16</f>
        <v>Câmera 10</v>
      </c>
      <c r="E705" s="2">
        <f>Configurações!$C$16</f>
        <v>0</v>
      </c>
      <c r="F705" s="2" t="s">
        <v>20</v>
      </c>
      <c r="G705" s="2" t="s">
        <v>20</v>
      </c>
      <c r="H705" s="2" t="s">
        <v>20</v>
      </c>
      <c r="I705" s="6"/>
      <c r="J705" s="6"/>
      <c r="K705" s="6"/>
    </row>
    <row r="706" spans="1:11" x14ac:dyDescent="0.2">
      <c r="A706" s="7">
        <f>DATE(Configurações!$B$3,12,31)</f>
        <v>46387</v>
      </c>
      <c r="B706" s="2" t="str">
        <f t="shared" si="10"/>
        <v>qui</v>
      </c>
      <c r="C706" s="2" t="str">
        <f>Configurações!$A$17</f>
        <v>CAM 11</v>
      </c>
      <c r="D706" s="2" t="str">
        <f>Configurações!$B$17</f>
        <v>Câmera 11</v>
      </c>
      <c r="E706" s="2">
        <f>Configurações!$C$17</f>
        <v>0</v>
      </c>
      <c r="F706" s="2" t="s">
        <v>20</v>
      </c>
      <c r="G706" s="2" t="s">
        <v>20</v>
      </c>
      <c r="H706" s="2" t="s">
        <v>20</v>
      </c>
      <c r="I706" s="6"/>
      <c r="J706" s="6"/>
      <c r="K706" s="6"/>
    </row>
    <row r="707" spans="1:11" x14ac:dyDescent="0.2">
      <c r="A707" s="7">
        <f>DATE(Configurações!$B$3,12,31)</f>
        <v>46387</v>
      </c>
      <c r="B707" s="2" t="str">
        <f t="shared" si="10"/>
        <v>qui</v>
      </c>
      <c r="C707" s="2" t="str">
        <f>Configurações!$A$18</f>
        <v>CAM 12</v>
      </c>
      <c r="D707" s="2" t="str">
        <f>Configurações!$B$18</f>
        <v>Câmera 12</v>
      </c>
      <c r="E707" s="2">
        <f>Configurações!$C$18</f>
        <v>0</v>
      </c>
      <c r="F707" s="2" t="s">
        <v>20</v>
      </c>
      <c r="G707" s="2" t="s">
        <v>20</v>
      </c>
      <c r="H707" s="2" t="s">
        <v>20</v>
      </c>
      <c r="I707" s="6"/>
      <c r="J707" s="6"/>
      <c r="K707" s="6"/>
    </row>
    <row r="708" spans="1:11" x14ac:dyDescent="0.2">
      <c r="A708" s="7">
        <f>DATE(Configurações!$B$3,12,31)</f>
        <v>46387</v>
      </c>
      <c r="B708" s="2" t="str">
        <f t="shared" si="10"/>
        <v>qui</v>
      </c>
      <c r="C708" s="2" t="str">
        <f>Configurações!$A$19</f>
        <v>CAM 13</v>
      </c>
      <c r="D708" s="2" t="str">
        <f>Configurações!$B$19</f>
        <v>Câmera 13</v>
      </c>
      <c r="E708" s="2">
        <f>Configurações!$C$19</f>
        <v>0</v>
      </c>
      <c r="F708" s="2" t="s">
        <v>20</v>
      </c>
      <c r="G708" s="2" t="s">
        <v>20</v>
      </c>
      <c r="H708" s="2" t="s">
        <v>20</v>
      </c>
      <c r="I708" s="6"/>
      <c r="J708" s="6"/>
      <c r="K708" s="6"/>
    </row>
    <row r="709" spans="1:11" x14ac:dyDescent="0.2">
      <c r="A709" s="7">
        <f>DATE(Configurações!$B$3,12,31)</f>
        <v>46387</v>
      </c>
      <c r="B709" s="2" t="str">
        <f t="shared" si="10"/>
        <v>qui</v>
      </c>
      <c r="C709" s="2" t="str">
        <f>Configurações!$A$20</f>
        <v>CAM 14</v>
      </c>
      <c r="D709" s="2" t="str">
        <f>Configurações!$B$20</f>
        <v>Reserva/Futura 01</v>
      </c>
      <c r="E709" s="2">
        <f>Configurações!$C$20</f>
        <v>0</v>
      </c>
      <c r="F709" s="2" t="s">
        <v>20</v>
      </c>
      <c r="G709" s="2" t="s">
        <v>20</v>
      </c>
      <c r="H709" s="2" t="s">
        <v>20</v>
      </c>
      <c r="I709" s="6"/>
      <c r="J709" s="6"/>
      <c r="K709" s="6"/>
    </row>
    <row r="710" spans="1:11" x14ac:dyDescent="0.2">
      <c r="A710" s="7">
        <f>DATE(Configurações!$B$3,12,31)</f>
        <v>46387</v>
      </c>
      <c r="B710" s="2" t="str">
        <f t="shared" ref="B710:B773" si="11">TEXT(A710,"ddd")</f>
        <v>qui</v>
      </c>
      <c r="C710" s="2" t="str">
        <f>Configurações!$A$21</f>
        <v>CAM 15</v>
      </c>
      <c r="D710" s="2" t="str">
        <f>Configurações!$B$21</f>
        <v>Reserva/Futura 02</v>
      </c>
      <c r="E710" s="2">
        <f>Configurações!$C$21</f>
        <v>0</v>
      </c>
      <c r="F710" s="2" t="s">
        <v>20</v>
      </c>
      <c r="G710" s="2" t="s">
        <v>20</v>
      </c>
      <c r="H710" s="2" t="s">
        <v>20</v>
      </c>
      <c r="I710" s="6"/>
      <c r="J710" s="6"/>
      <c r="K710" s="6"/>
    </row>
    <row r="711" spans="1:11" x14ac:dyDescent="0.2">
      <c r="A711" s="7">
        <f>DATE(Configurações!$B$3,12,31)</f>
        <v>46387</v>
      </c>
      <c r="B711" s="2" t="str">
        <f t="shared" si="11"/>
        <v>qui</v>
      </c>
      <c r="C711" s="2" t="str">
        <f>Configurações!$A$22</f>
        <v>CAM 16</v>
      </c>
      <c r="D711" s="2" t="str">
        <f>Configurações!$B$22</f>
        <v>Reserva/Futura 03</v>
      </c>
      <c r="E711" s="2">
        <f>Configurações!$C$22</f>
        <v>0</v>
      </c>
      <c r="F711" s="2" t="s">
        <v>20</v>
      </c>
      <c r="G711" s="2" t="s">
        <v>20</v>
      </c>
      <c r="H711" s="2" t="s">
        <v>20</v>
      </c>
      <c r="I711" s="6"/>
      <c r="J711" s="6"/>
      <c r="K711" s="6"/>
    </row>
    <row r="712" spans="1:11" x14ac:dyDescent="0.2">
      <c r="A712" s="7">
        <f>DATE(Configurações!$B$3,12,31)</f>
        <v>46387</v>
      </c>
      <c r="B712" s="2" t="str">
        <f t="shared" si="11"/>
        <v>qui</v>
      </c>
      <c r="C712" s="2" t="str">
        <f>Configurações!$A$23</f>
        <v>CAM 17</v>
      </c>
      <c r="D712" s="2" t="str">
        <f>Configurações!$B$23</f>
        <v>Reserva/Futura 04</v>
      </c>
      <c r="E712" s="2">
        <f>Configurações!$C$23</f>
        <v>0</v>
      </c>
      <c r="F712" s="2" t="s">
        <v>20</v>
      </c>
      <c r="G712" s="2" t="s">
        <v>20</v>
      </c>
      <c r="H712" s="2" t="s">
        <v>20</v>
      </c>
      <c r="I712" s="6"/>
      <c r="J712" s="6"/>
      <c r="K712" s="6"/>
    </row>
    <row r="713" spans="1:11" x14ac:dyDescent="0.2">
      <c r="A713" s="7">
        <f>DATE(Configurações!$B$3,12,31)</f>
        <v>46387</v>
      </c>
      <c r="B713" s="2" t="str">
        <f t="shared" si="11"/>
        <v>qui</v>
      </c>
      <c r="C713" s="2" t="str">
        <f>Configurações!$A$24</f>
        <v>CAM 18</v>
      </c>
      <c r="D713" s="2" t="str">
        <f>Configurações!$B$24</f>
        <v>Reserva/Futura 05</v>
      </c>
      <c r="E713" s="2">
        <f>Configurações!$C$24</f>
        <v>0</v>
      </c>
      <c r="F713" s="2" t="s">
        <v>20</v>
      </c>
      <c r="G713" s="2" t="s">
        <v>20</v>
      </c>
      <c r="H713" s="2" t="s">
        <v>20</v>
      </c>
      <c r="I713" s="6"/>
      <c r="J713" s="6"/>
      <c r="K713" s="6"/>
    </row>
    <row r="714" spans="1:11" x14ac:dyDescent="0.2">
      <c r="A714" s="7">
        <f>DATE(Configurações!$B$3,12,31)</f>
        <v>46387</v>
      </c>
      <c r="B714" s="2" t="str">
        <f t="shared" si="11"/>
        <v>qui</v>
      </c>
      <c r="C714" s="2" t="str">
        <f>Configurações!$A$25</f>
        <v>CAM 19</v>
      </c>
      <c r="D714" s="2" t="str">
        <f>Configurações!$B$25</f>
        <v>Reserva/Futura 06</v>
      </c>
      <c r="E714" s="2">
        <f>Configurações!$C$25</f>
        <v>0</v>
      </c>
      <c r="F714" s="2" t="s">
        <v>20</v>
      </c>
      <c r="G714" s="2" t="s">
        <v>20</v>
      </c>
      <c r="H714" s="2" t="s">
        <v>20</v>
      </c>
      <c r="I714" s="6"/>
      <c r="J714" s="6"/>
      <c r="K714" s="6"/>
    </row>
    <row r="715" spans="1:11" x14ac:dyDescent="0.2">
      <c r="A715" s="7">
        <f>DATE(Configurações!$B$3,12,31)</f>
        <v>46387</v>
      </c>
      <c r="B715" s="2" t="str">
        <f t="shared" si="11"/>
        <v>qui</v>
      </c>
      <c r="C715" s="2" t="str">
        <f>Configurações!$A$26</f>
        <v>CAM 20</v>
      </c>
      <c r="D715" s="2" t="str">
        <f>Configurações!$B$26</f>
        <v>Reserva/Futura 07</v>
      </c>
      <c r="E715" s="2">
        <f>Configurações!$C$26</f>
        <v>0</v>
      </c>
      <c r="F715" s="2" t="s">
        <v>20</v>
      </c>
      <c r="G715" s="2" t="s">
        <v>20</v>
      </c>
      <c r="H715" s="2" t="s">
        <v>20</v>
      </c>
      <c r="I715" s="6"/>
      <c r="J715" s="6"/>
      <c r="K715" s="6"/>
    </row>
    <row r="716" spans="1:11" x14ac:dyDescent="0.2">
      <c r="A716" s="7">
        <f>DATE(Configurações!$B$3,12,31)</f>
        <v>46387</v>
      </c>
      <c r="B716" s="2" t="str">
        <f t="shared" si="11"/>
        <v>qui</v>
      </c>
      <c r="C716" s="2" t="str">
        <f>Configurações!$A$27</f>
        <v>CAM 21</v>
      </c>
      <c r="D716" s="2" t="str">
        <f>Configurações!$B$27</f>
        <v>Reserva/Futura 08</v>
      </c>
      <c r="E716" s="2">
        <f>Configurações!$C$27</f>
        <v>0</v>
      </c>
      <c r="F716" s="2" t="s">
        <v>20</v>
      </c>
      <c r="G716" s="2" t="s">
        <v>20</v>
      </c>
      <c r="H716" s="2" t="s">
        <v>20</v>
      </c>
      <c r="I716" s="6"/>
      <c r="J716" s="6"/>
      <c r="K716" s="6"/>
    </row>
    <row r="717" spans="1:11" x14ac:dyDescent="0.2">
      <c r="A717" s="7">
        <f>DATE(Configurações!$B$3,12,31)</f>
        <v>46387</v>
      </c>
      <c r="B717" s="2" t="str">
        <f t="shared" si="11"/>
        <v>qui</v>
      </c>
      <c r="C717" s="2" t="str">
        <f>Configurações!$A$28</f>
        <v>CAM 22</v>
      </c>
      <c r="D717" s="2" t="str">
        <f>Configurações!$B$28</f>
        <v>Reserva/Futura 09</v>
      </c>
      <c r="E717" s="2">
        <f>Configurações!$C$28</f>
        <v>0</v>
      </c>
      <c r="F717" s="2" t="s">
        <v>20</v>
      </c>
      <c r="G717" s="2" t="s">
        <v>20</v>
      </c>
      <c r="H717" s="2" t="s">
        <v>20</v>
      </c>
      <c r="I717" s="6"/>
      <c r="J717" s="6"/>
      <c r="K717" s="6"/>
    </row>
    <row r="718" spans="1:11" x14ac:dyDescent="0.2">
      <c r="A718" s="7">
        <f>DATE(Configurações!$B$3,12,31)</f>
        <v>46387</v>
      </c>
      <c r="B718" s="2" t="str">
        <f t="shared" si="11"/>
        <v>qui</v>
      </c>
      <c r="C718" s="2" t="str">
        <f>Configurações!$A$29</f>
        <v>CAM 23</v>
      </c>
      <c r="D718" s="2" t="str">
        <f>Configurações!$B$29</f>
        <v>Reserva/Futura 10</v>
      </c>
      <c r="E718" s="2">
        <f>Configurações!$C$29</f>
        <v>0</v>
      </c>
      <c r="F718" s="2" t="s">
        <v>20</v>
      </c>
      <c r="G718" s="2" t="s">
        <v>20</v>
      </c>
      <c r="H718" s="2" t="s">
        <v>20</v>
      </c>
      <c r="I718" s="6"/>
      <c r="J718" s="6"/>
      <c r="K718" s="6"/>
    </row>
  </sheetData>
  <mergeCells count="3">
    <mergeCell ref="A2:K2"/>
    <mergeCell ref="A1:K1"/>
    <mergeCell ref="M4:Q4"/>
  </mergeCells>
  <conditionalFormatting sqref="F6:H718">
    <cfRule type="expression" dxfId="3" priority="1">
      <formula>F6="Online"</formula>
    </cfRule>
    <cfRule type="expression" dxfId="2" priority="2">
      <formula>F6="Offline"</formula>
    </cfRule>
    <cfRule type="expression" dxfId="1" priority="3">
      <formula>F6="Manutenção"</formula>
    </cfRule>
    <cfRule type="expression" dxfId="0" priority="4">
      <formula>F6="Não verificado"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D00-000000000000}">
          <x14:formula1>
            <xm:f>Configurações!$D$4:$D$7</xm:f>
          </x14:formula1>
          <xm:sqref>F6:H718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2" width="12" customWidth="1"/>
    <col min="3" max="3" width="22" customWidth="1"/>
    <col min="4" max="5" width="24" customWidth="1"/>
    <col min="6" max="6" width="50" customWidth="1"/>
    <col min="7" max="7" width="20" customWidth="1"/>
    <col min="8" max="8" width="24" customWidth="1"/>
  </cols>
  <sheetData>
    <row r="1" spans="1:8" ht="28" customHeight="1" x14ac:dyDescent="0.2">
      <c r="A1" s="15" t="s">
        <v>119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92</v>
      </c>
      <c r="B3" s="1" t="s">
        <v>6</v>
      </c>
      <c r="C3" s="1" t="s">
        <v>120</v>
      </c>
      <c r="D3" s="1" t="s">
        <v>38</v>
      </c>
      <c r="E3" s="1" t="s">
        <v>121</v>
      </c>
      <c r="F3" s="1" t="s">
        <v>122</v>
      </c>
      <c r="G3" s="1" t="s">
        <v>99</v>
      </c>
      <c r="H3" s="1" t="s">
        <v>123</v>
      </c>
    </row>
  </sheetData>
  <mergeCells count="1">
    <mergeCell ref="A1:H1"/>
  </mergeCells>
  <dataValidations count="1">
    <dataValidation type="list" sqref="E4:E503" xr:uid="{00000000-0002-0000-0E00-000000000000}">
      <formula1>"Técnico - Online/Offline,Comportamento colaborador,Manutenção,Outro"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Dashboard BI</vt:lpstr>
      <vt:lpstr>Configurações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Ocorrências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a44084</cp:lastModifiedBy>
  <dcterms:created xsi:type="dcterms:W3CDTF">2026-05-20T16:54:50Z</dcterms:created>
  <dcterms:modified xsi:type="dcterms:W3CDTF">2026-05-21T01:02:38Z</dcterms:modified>
</cp:coreProperties>
</file>